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9775" yWindow="1095" windowWidth="23040" windowHeight="14145"/>
  </bookViews>
  <sheets>
    <sheet sheetId="5" name="202608" state="visible" r:id="rId4"/>
    <sheet sheetId="4" name="202607" state="visible" r:id="rId5"/>
    <sheet sheetId="3" name="202606" state="visible" r:id="rId6"/>
    <sheet sheetId="2" name="202605" state="visible" r:id="rId7"/>
    <sheet sheetId="1" name="202604" state="visible" r:id="rId8"/>
  </sheets>
  <calcPr calcId="171027"/>
</workbook>
</file>

<file path=xl/sharedStrings.xml><?xml version="1.0" encoding="utf-8"?>
<sst xmlns="http://schemas.openxmlformats.org/spreadsheetml/2006/main" count="28652" uniqueCount="13784">
  <si>
    <t>Date of shipment</t>
  </si>
  <si>
    <t>Flight#</t>
  </si>
  <si>
    <t>MAWB#</t>
  </si>
  <si>
    <t>Dest</t>
  </si>
  <si>
    <t>PCS</t>
  </si>
  <si>
    <t>est WT</t>
  </si>
  <si>
    <t>Exe date on..</t>
  </si>
  <si>
    <t>CX257</t>
  </si>
  <si>
    <t>160-15102662</t>
  </si>
  <si>
    <t>LHR</t>
  </si>
  <si>
    <t>160-15102651</t>
  </si>
  <si>
    <t>160-15102732</t>
  </si>
  <si>
    <t>5Y8052</t>
  </si>
  <si>
    <t>160-15102721</t>
  </si>
  <si>
    <t>369-99865102</t>
  </si>
  <si>
    <t>GRU</t>
  </si>
  <si>
    <t>369-99865113</t>
  </si>
  <si>
    <t>369-99865124</t>
  </si>
  <si>
    <t>369-99865146</t>
  </si>
  <si>
    <t>369-99865150</t>
  </si>
  <si>
    <t>369-99865161</t>
  </si>
  <si>
    <t>369-99865323</t>
  </si>
  <si>
    <t>369-99865334</t>
  </si>
  <si>
    <t>369-99865920</t>
  </si>
  <si>
    <t>369-99865931</t>
  </si>
  <si>
    <t>369-99865301</t>
  </si>
  <si>
    <t>VCP</t>
  </si>
  <si>
    <t>369-99865312</t>
  </si>
  <si>
    <t>369-99865916</t>
  </si>
  <si>
    <t>369-99865080</t>
  </si>
  <si>
    <t>SCL</t>
  </si>
  <si>
    <t>369-99865091</t>
  </si>
  <si>
    <t>369-99865135</t>
  </si>
  <si>
    <t>369-99865835</t>
  </si>
  <si>
    <t>369-99865846</t>
  </si>
  <si>
    <t>369-99865345</t>
  </si>
  <si>
    <t>BOG</t>
  </si>
  <si>
    <t>369-99865356</t>
  </si>
  <si>
    <t>369-99865802</t>
  </si>
  <si>
    <t>369-99865813</t>
  </si>
  <si>
    <t>369-99865824</t>
  </si>
  <si>
    <t>369-99865872</t>
  </si>
  <si>
    <t>LIM</t>
  </si>
  <si>
    <t>369-99865883</t>
  </si>
  <si>
    <t>369-99865964</t>
  </si>
  <si>
    <t>369-99865975</t>
  </si>
  <si>
    <t>369-99865986</t>
  </si>
  <si>
    <t>369-99864925</t>
  </si>
  <si>
    <t>(OPEN)</t>
  </si>
  <si>
    <t>369-99431150</t>
  </si>
  <si>
    <t>369-99431161</t>
  </si>
  <si>
    <t>369-99431231</t>
  </si>
  <si>
    <t>369-99431006</t>
  </si>
  <si>
    <t>EZE</t>
  </si>
  <si>
    <t>369-99431205</t>
  </si>
  <si>
    <t>369-99431172</t>
  </si>
  <si>
    <t>369-99431183</t>
  </si>
  <si>
    <t>5C852</t>
  </si>
  <si>
    <t>752-30214251</t>
  </si>
  <si>
    <t>TLV</t>
  </si>
  <si>
    <t>752-30214240</t>
  </si>
  <si>
    <t>752-30214225</t>
  </si>
  <si>
    <t>752-30214214</t>
  </si>
  <si>
    <t>752-30214192</t>
  </si>
  <si>
    <t>752-30213632</t>
  </si>
  <si>
    <t>752-30214203</t>
  </si>
  <si>
    <t>752-30214236</t>
  </si>
  <si>
    <t>752-30214262</t>
  </si>
  <si>
    <t>KZ202</t>
  </si>
  <si>
    <t>933-34945444</t>
  </si>
  <si>
    <t>LAX</t>
  </si>
  <si>
    <t>SV987</t>
  </si>
  <si>
    <t>065-49997161</t>
  </si>
  <si>
    <t>RUH</t>
  </si>
  <si>
    <t>065-49996656</t>
  </si>
  <si>
    <t>065-49997183</t>
  </si>
  <si>
    <t>065-49997172</t>
  </si>
  <si>
    <t>065-49996634</t>
  </si>
  <si>
    <t>065-49996623</t>
  </si>
  <si>
    <t>065-49996645</t>
  </si>
  <si>
    <t>QR8465</t>
  </si>
  <si>
    <t>157-47740722</t>
  </si>
  <si>
    <t>LGG</t>
  </si>
  <si>
    <t>157-47740733</t>
  </si>
  <si>
    <t>157-47740851</t>
  </si>
  <si>
    <t>157-47740862</t>
  </si>
  <si>
    <t>157-47740744</t>
  </si>
  <si>
    <t>157-47740873</t>
  </si>
  <si>
    <t>157-47740840</t>
  </si>
  <si>
    <t>157-47740895</t>
  </si>
  <si>
    <t>157-47740781</t>
  </si>
  <si>
    <t>157-47740884</t>
  </si>
  <si>
    <t>157-47740770</t>
  </si>
  <si>
    <t>157-47740766</t>
  </si>
  <si>
    <t>157-47740755</t>
  </si>
  <si>
    <t>157-47740803</t>
  </si>
  <si>
    <t>157-47740792</t>
  </si>
  <si>
    <t>157-47740906</t>
  </si>
  <si>
    <t>157-47740814</t>
  </si>
  <si>
    <t>157-47740696</t>
  </si>
  <si>
    <t>157-47741024</t>
  </si>
  <si>
    <t>157-47740836</t>
  </si>
  <si>
    <t>157-47740825</t>
  </si>
  <si>
    <t>157-47740685</t>
  </si>
  <si>
    <t>157-47740965</t>
  </si>
  <si>
    <t>157-47741083</t>
  </si>
  <si>
    <t>157-47740932</t>
  </si>
  <si>
    <t>157-47741046</t>
  </si>
  <si>
    <t>157-47740943</t>
  </si>
  <si>
    <t>157-47740991</t>
  </si>
  <si>
    <t>157-47741013</t>
  </si>
  <si>
    <t>157-47741061</t>
  </si>
  <si>
    <t>157-47740954</t>
  </si>
  <si>
    <t>157-47740711</t>
  </si>
  <si>
    <t>157-47741002</t>
  </si>
  <si>
    <t>157-47740980</t>
  </si>
  <si>
    <t>157-47741035</t>
  </si>
  <si>
    <t>157-47741072</t>
  </si>
  <si>
    <t>157-47740921</t>
  </si>
  <si>
    <t>157-47740976</t>
  </si>
  <si>
    <t>157-47740700</t>
  </si>
  <si>
    <t>157-47740910</t>
  </si>
  <si>
    <t>CX007</t>
  </si>
  <si>
    <t>160-15102695</t>
  </si>
  <si>
    <t>160-15102706</t>
  </si>
  <si>
    <t>160-15102710</t>
  </si>
  <si>
    <t>160-15102684</t>
  </si>
  <si>
    <t>160-15102673</t>
  </si>
  <si>
    <t>5Y8230</t>
  </si>
  <si>
    <t>369-99866281</t>
  </si>
  <si>
    <t>369-99866270</t>
  </si>
  <si>
    <t>369-99866266</t>
  </si>
  <si>
    <t>369-99866255</t>
  </si>
  <si>
    <t>369-99866244</t>
  </si>
  <si>
    <t>369-99866233</t>
  </si>
  <si>
    <t>369-99866222</t>
  </si>
  <si>
    <t>MIA</t>
  </si>
  <si>
    <t>369-99866211</t>
  </si>
  <si>
    <t>369-99866200</t>
  </si>
  <si>
    <t>369-99866196</t>
  </si>
  <si>
    <t>369-99866185</t>
  </si>
  <si>
    <t>369-99866174</t>
  </si>
  <si>
    <t>369-99866163</t>
  </si>
  <si>
    <t>369-99866152</t>
  </si>
  <si>
    <t>369-99866141</t>
  </si>
  <si>
    <t>369-99866130</t>
  </si>
  <si>
    <t>369-99866115</t>
  </si>
  <si>
    <t>369-99866082</t>
  </si>
  <si>
    <t>369-99866071</t>
  </si>
  <si>
    <t>369-99866060</t>
  </si>
  <si>
    <t>369-99866056</t>
  </si>
  <si>
    <t>369-99866045</t>
  </si>
  <si>
    <t>369-99866034</t>
  </si>
  <si>
    <t>369-99866023</t>
  </si>
  <si>
    <t>369-99866012</t>
  </si>
  <si>
    <t>369-99866104</t>
  </si>
  <si>
    <t>369-99866093</t>
  </si>
  <si>
    <t>369-99866126</t>
  </si>
  <si>
    <t>369-99426305</t>
  </si>
  <si>
    <t>369-99426294</t>
  </si>
  <si>
    <t>369-99426283</t>
  </si>
  <si>
    <t>369-99431345</t>
  </si>
  <si>
    <t>369-99431356</t>
  </si>
  <si>
    <t>369-99431360</t>
  </si>
  <si>
    <t>369-99430995</t>
  </si>
  <si>
    <t>369-99431286</t>
  </si>
  <si>
    <t>369-99431404</t>
  </si>
  <si>
    <t>752-30214435</t>
  </si>
  <si>
    <t>752-30214321</t>
  </si>
  <si>
    <t>752-30214310</t>
  </si>
  <si>
    <t>752-30214295</t>
  </si>
  <si>
    <t>752-30214273</t>
  </si>
  <si>
    <t>752-30213643</t>
  </si>
  <si>
    <t>752-30214424</t>
  </si>
  <si>
    <t>752-30214306</t>
  </si>
  <si>
    <t>752-30214413</t>
  </si>
  <si>
    <t>QR8409</t>
  </si>
  <si>
    <t>157-48207213</t>
  </si>
  <si>
    <t>MAD</t>
  </si>
  <si>
    <t>157-48207224</t>
  </si>
  <si>
    <t>157-87750596</t>
  </si>
  <si>
    <t>157-87750600</t>
  </si>
  <si>
    <t>157-87750611</t>
  </si>
  <si>
    <t>157-87750622</t>
  </si>
  <si>
    <t>157-87750633</t>
  </si>
  <si>
    <t>157-48207364</t>
  </si>
  <si>
    <t>157-48207375</t>
  </si>
  <si>
    <t>157-48207386</t>
  </si>
  <si>
    <t>157-48207390</t>
  </si>
  <si>
    <t>157-48207423</t>
  </si>
  <si>
    <t>157-48207235</t>
  </si>
  <si>
    <t>157-48207331</t>
  </si>
  <si>
    <t>157-48207342</t>
  </si>
  <si>
    <t>157-48207353</t>
  </si>
  <si>
    <t>157-48207412</t>
  </si>
  <si>
    <t>157-48207401</t>
  </si>
  <si>
    <t>157-48207434</t>
  </si>
  <si>
    <t>157-48207445</t>
  </si>
  <si>
    <t>157-87750806</t>
  </si>
  <si>
    <t>157-48207456</t>
  </si>
  <si>
    <t>157-87750751</t>
  </si>
  <si>
    <t>157-87750740</t>
  </si>
  <si>
    <t>157-87750762</t>
  </si>
  <si>
    <t>157-87750795</t>
  </si>
  <si>
    <t>157-87750810</t>
  </si>
  <si>
    <t>157-87750821</t>
  </si>
  <si>
    <t>157-87750832</t>
  </si>
  <si>
    <t>157-87750854</t>
  </si>
  <si>
    <t>157-87750843</t>
  </si>
  <si>
    <t>157-87751016</t>
  </si>
  <si>
    <t>157-48207246</t>
  </si>
  <si>
    <t>157-48207250</t>
  </si>
  <si>
    <t>157-48207261</t>
  </si>
  <si>
    <t>157-48207272</t>
  </si>
  <si>
    <t>157-48207283</t>
  </si>
  <si>
    <t>157-48207320</t>
  </si>
  <si>
    <t>157-87750773</t>
  </si>
  <si>
    <t>157-48207294</t>
  </si>
  <si>
    <t>157-48207316</t>
  </si>
  <si>
    <t>157-87750784</t>
  </si>
  <si>
    <t>157-87751112</t>
  </si>
  <si>
    <t>157-48207305</t>
  </si>
  <si>
    <t>157-87751064</t>
  </si>
  <si>
    <t>157-87751075</t>
  </si>
  <si>
    <t>157-87751086</t>
  </si>
  <si>
    <t>157-87751020</t>
  </si>
  <si>
    <t>157-87751031</t>
  </si>
  <si>
    <t>157-87751053</t>
  </si>
  <si>
    <t>157-87751101</t>
  </si>
  <si>
    <t>QR8411</t>
  </si>
  <si>
    <t>157-47741131</t>
  </si>
  <si>
    <t>157-47741142</t>
  </si>
  <si>
    <t>157-47741153</t>
  </si>
  <si>
    <t>157-47741164</t>
  </si>
  <si>
    <t>157-48205566</t>
  </si>
  <si>
    <t>157-47741175</t>
  </si>
  <si>
    <t>157-48205581</t>
  </si>
  <si>
    <t>157-48257462</t>
  </si>
  <si>
    <t>157-48205592</t>
  </si>
  <si>
    <t>157-48205662</t>
  </si>
  <si>
    <t>157-48205695</t>
  </si>
  <si>
    <t>157-48205496</t>
  </si>
  <si>
    <t>157-48205500</t>
  </si>
  <si>
    <t>157-48205511</t>
  </si>
  <si>
    <t>157-48205522</t>
  </si>
  <si>
    <t>157-48205555</t>
  </si>
  <si>
    <t>157-48205710</t>
  </si>
  <si>
    <t>157-48205603</t>
  </si>
  <si>
    <t>157-48205636</t>
  </si>
  <si>
    <t>157-48205485</t>
  </si>
  <si>
    <t>157-48205614</t>
  </si>
  <si>
    <t>157-48205625</t>
  </si>
  <si>
    <t>157-48205684</t>
  </si>
  <si>
    <t>157-48205533</t>
  </si>
  <si>
    <t>157-48205544</t>
  </si>
  <si>
    <t>157-48257473</t>
  </si>
  <si>
    <t>157-48257484</t>
  </si>
  <si>
    <t>157-48205651</t>
  </si>
  <si>
    <t>157-48205640</t>
  </si>
  <si>
    <t>157-48205673</t>
  </si>
  <si>
    <t>157-48205570</t>
  </si>
  <si>
    <t>157-54213773</t>
  </si>
  <si>
    <t>157-54190485</t>
  </si>
  <si>
    <t>157-47741094</t>
  </si>
  <si>
    <t>157-47741105</t>
  </si>
  <si>
    <t>157-47741116</t>
  </si>
  <si>
    <t>157-54737712</t>
  </si>
  <si>
    <t>157-47741120</t>
  </si>
  <si>
    <t>157-54737723</t>
  </si>
  <si>
    <t>157-79778215</t>
  </si>
  <si>
    <t>157-79778226</t>
  </si>
  <si>
    <t>157-47741186</t>
  </si>
  <si>
    <t>157-79778241</t>
  </si>
  <si>
    <t>157-47741190</t>
  </si>
  <si>
    <t>157-79778252</t>
  </si>
  <si>
    <t>157-47741201</t>
  </si>
  <si>
    <t>157-79778263</t>
  </si>
  <si>
    <t>157-48205441</t>
  </si>
  <si>
    <t>157-79778274</t>
  </si>
  <si>
    <t>157-79778230</t>
  </si>
  <si>
    <t>157-48205452</t>
  </si>
  <si>
    <t>157-79778285</t>
  </si>
  <si>
    <t>157-79778296</t>
  </si>
  <si>
    <t>157-79778300</t>
  </si>
  <si>
    <t>157-48205463</t>
  </si>
  <si>
    <t>157-87750983</t>
  </si>
  <si>
    <t>157-93077681</t>
  </si>
  <si>
    <t>157-87750994</t>
  </si>
  <si>
    <t>157-87750972</t>
  </si>
  <si>
    <t>157-48205474</t>
  </si>
  <si>
    <t>QR8435</t>
  </si>
  <si>
    <t>157-48206502</t>
  </si>
  <si>
    <t>BUD</t>
  </si>
  <si>
    <t>157-48206410</t>
  </si>
  <si>
    <t>157-48206406</t>
  </si>
  <si>
    <t>157-48206476</t>
  </si>
  <si>
    <t>157-48206465</t>
  </si>
  <si>
    <t>157-48206454</t>
  </si>
  <si>
    <t>157-48206432</t>
  </si>
  <si>
    <t>157-48206443</t>
  </si>
  <si>
    <t>157-48206421</t>
  </si>
  <si>
    <t>157-48206605</t>
  </si>
  <si>
    <t>157-48206395</t>
  </si>
  <si>
    <t>157-48206616</t>
  </si>
  <si>
    <t>157-48206480</t>
  </si>
  <si>
    <t>157-48206524</t>
  </si>
  <si>
    <t>157-48206491</t>
  </si>
  <si>
    <t>157-87750714</t>
  </si>
  <si>
    <t>157-87750692</t>
  </si>
  <si>
    <t>157-48206631</t>
  </si>
  <si>
    <t>157-87750681</t>
  </si>
  <si>
    <t>157-48206620</t>
  </si>
  <si>
    <t>157-48206572</t>
  </si>
  <si>
    <t>157-48206535</t>
  </si>
  <si>
    <t>157-48206675</t>
  </si>
  <si>
    <t>157-48206664</t>
  </si>
  <si>
    <t>157-87750891</t>
  </si>
  <si>
    <t>157-48206550</t>
  </si>
  <si>
    <t>157-87750913</t>
  </si>
  <si>
    <t>157-48206546</t>
  </si>
  <si>
    <t>157-87750902</t>
  </si>
  <si>
    <t>157-48206594</t>
  </si>
  <si>
    <t>157-48206561</t>
  </si>
  <si>
    <t>157-48206513</t>
  </si>
  <si>
    <t>157-87750880</t>
  </si>
  <si>
    <t>157-87750876</t>
  </si>
  <si>
    <t>157-48206583</t>
  </si>
  <si>
    <t>157-87750725</t>
  </si>
  <si>
    <t>157-87750736</t>
  </si>
  <si>
    <t>157-87750865</t>
  </si>
  <si>
    <t>157-87750703</t>
  </si>
  <si>
    <t>157-87750670</t>
  </si>
  <si>
    <t>157-87751005</t>
  </si>
  <si>
    <t>157-87750961</t>
  </si>
  <si>
    <t>157-87750950</t>
  </si>
  <si>
    <t>157-87750946</t>
  </si>
  <si>
    <t>157-87750935</t>
  </si>
  <si>
    <t>157-87750924</t>
  </si>
  <si>
    <t>157-48206653</t>
  </si>
  <si>
    <t>157-48206642</t>
  </si>
  <si>
    <t>157-48206384</t>
  </si>
  <si>
    <t>157-87750644</t>
  </si>
  <si>
    <t>157-87750666</t>
  </si>
  <si>
    <t>157-87750655</t>
  </si>
  <si>
    <t>157-48206701</t>
  </si>
  <si>
    <t>157-48206690</t>
  </si>
  <si>
    <t>157-48206686</t>
  </si>
  <si>
    <t>K4702</t>
  </si>
  <si>
    <t>752-30214505</t>
  </si>
  <si>
    <t>752-30214472</t>
  </si>
  <si>
    <t>752-30214450</t>
  </si>
  <si>
    <t>752-30214332</t>
  </si>
  <si>
    <t>752-30214494</t>
  </si>
  <si>
    <t>752-30214483</t>
  </si>
  <si>
    <t>752-30214461</t>
  </si>
  <si>
    <t>752-30214446</t>
  </si>
  <si>
    <t>160-15102754</t>
  </si>
  <si>
    <t>160-15102743</t>
  </si>
  <si>
    <t>K4241</t>
  </si>
  <si>
    <t>936-02866743</t>
  </si>
  <si>
    <t>936-02866721</t>
  </si>
  <si>
    <t>KJ968</t>
  </si>
  <si>
    <t>994-30368111</t>
  </si>
  <si>
    <t>SV985</t>
  </si>
  <si>
    <t>065-49996903</t>
  </si>
  <si>
    <t>065-49996892</t>
  </si>
  <si>
    <t>065-49997194</t>
  </si>
  <si>
    <t>065-49996914</t>
  </si>
  <si>
    <t>065-49996925</t>
  </si>
  <si>
    <t>065-49997216</t>
  </si>
  <si>
    <t>065-49997205</t>
  </si>
  <si>
    <t>160-15102776</t>
  </si>
  <si>
    <t>160-15102765</t>
  </si>
  <si>
    <t>CV9933</t>
  </si>
  <si>
    <t>172-04323734</t>
  </si>
  <si>
    <t>172-04323712</t>
  </si>
  <si>
    <t>172-04323723</t>
  </si>
  <si>
    <t>172-04323653</t>
  </si>
  <si>
    <t>5Y8030</t>
  </si>
  <si>
    <t>369-99865953</t>
  </si>
  <si>
    <t>369-99866373</t>
  </si>
  <si>
    <t>369-99866384</t>
  </si>
  <si>
    <t>369-99866410</t>
  </si>
  <si>
    <t>369-99866421</t>
  </si>
  <si>
    <t>369-99866432</t>
  </si>
  <si>
    <t>369-99866443</t>
  </si>
  <si>
    <t>369-99866454</t>
  </si>
  <si>
    <t>369-99866465</t>
  </si>
  <si>
    <t>369-99866583</t>
  </si>
  <si>
    <t>369-99866594</t>
  </si>
  <si>
    <t>369-99866631</t>
  </si>
  <si>
    <t>369-99866616</t>
  </si>
  <si>
    <t>369-99866620</t>
  </si>
  <si>
    <t>369-99866642</t>
  </si>
  <si>
    <t>369-99866653</t>
  </si>
  <si>
    <t>369-99866292</t>
  </si>
  <si>
    <t>369-99866303</t>
  </si>
  <si>
    <t>369-99866314</t>
  </si>
  <si>
    <t>369-99866325</t>
  </si>
  <si>
    <t>369-99866336</t>
  </si>
  <si>
    <t>369-99866340</t>
  </si>
  <si>
    <t>369-99866351</t>
  </si>
  <si>
    <t>369-99866362</t>
  </si>
  <si>
    <t>369-99866476</t>
  </si>
  <si>
    <t>369-99866480</t>
  </si>
  <si>
    <t>369-99866491</t>
  </si>
  <si>
    <t>369-99866502</t>
  </si>
  <si>
    <t>369-99866513</t>
  </si>
  <si>
    <t>369-99866524</t>
  </si>
  <si>
    <t>369-99866535</t>
  </si>
  <si>
    <t>369-99866546</t>
  </si>
  <si>
    <t>369-99866572</t>
  </si>
  <si>
    <t>369-99866550</t>
  </si>
  <si>
    <t>369-99866561</t>
  </si>
  <si>
    <t>369-99866605</t>
  </si>
  <si>
    <t>369-99431371</t>
  </si>
  <si>
    <t>369-99431382</t>
  </si>
  <si>
    <t>369-99431393</t>
  </si>
  <si>
    <t>369-99431242</t>
  </si>
  <si>
    <t>369-99431415</t>
  </si>
  <si>
    <t>5C850</t>
  </si>
  <si>
    <t>752-30214623</t>
  </si>
  <si>
    <t>752-30214601</t>
  </si>
  <si>
    <t>752-30214354</t>
  </si>
  <si>
    <t>752-30214612</t>
  </si>
  <si>
    <t>752-30214586</t>
  </si>
  <si>
    <t>752-30214590</t>
  </si>
  <si>
    <t>K4270</t>
  </si>
  <si>
    <t>936-00321495</t>
  </si>
  <si>
    <t>933-34946041</t>
  </si>
  <si>
    <t>TK6351</t>
  </si>
  <si>
    <t>235-96277790</t>
  </si>
  <si>
    <t>235-96277801</t>
  </si>
  <si>
    <t>SV981</t>
  </si>
  <si>
    <t>065-49997220</t>
  </si>
  <si>
    <t>065-49996951</t>
  </si>
  <si>
    <t>065-49996940</t>
  </si>
  <si>
    <t>065-49996936</t>
  </si>
  <si>
    <t>065-49997231</t>
  </si>
  <si>
    <t>065-49996962</t>
  </si>
  <si>
    <t>065-49997242</t>
  </si>
  <si>
    <t>157-88413415</t>
  </si>
  <si>
    <t>157-88413205</t>
  </si>
  <si>
    <t>157-88413194</t>
  </si>
  <si>
    <t>157-88413080</t>
  </si>
  <si>
    <t>157-88413183</t>
  </si>
  <si>
    <t>157-88413076</t>
  </si>
  <si>
    <t>157-88413065</t>
  </si>
  <si>
    <t>157-88413356</t>
  </si>
  <si>
    <t>157-88413220</t>
  </si>
  <si>
    <t>157-88413091</t>
  </si>
  <si>
    <t>157-88413102</t>
  </si>
  <si>
    <t>157-88413231</t>
  </si>
  <si>
    <t>157-88413242</t>
  </si>
  <si>
    <t>157-88413253</t>
  </si>
  <si>
    <t>157-88413021</t>
  </si>
  <si>
    <t>157-88413032</t>
  </si>
  <si>
    <t>157-88413286</t>
  </si>
  <si>
    <t>157-88413290</t>
  </si>
  <si>
    <t>157-88413043</t>
  </si>
  <si>
    <t>157-88413301</t>
  </si>
  <si>
    <t>157-88413312</t>
  </si>
  <si>
    <t>157-88413323</t>
  </si>
  <si>
    <t>157-88413054</t>
  </si>
  <si>
    <t>157-88413334</t>
  </si>
  <si>
    <t>157-88413113</t>
  </si>
  <si>
    <t>157-88413345</t>
  </si>
  <si>
    <t>157-88413124</t>
  </si>
  <si>
    <t>157-87752781</t>
  </si>
  <si>
    <t>157-88413404</t>
  </si>
  <si>
    <t>157-87752792</t>
  </si>
  <si>
    <t>157-87752825</t>
  </si>
  <si>
    <t>157-88413264</t>
  </si>
  <si>
    <t>157-88413393</t>
  </si>
  <si>
    <t>157-88413382</t>
  </si>
  <si>
    <t>157-88413275</t>
  </si>
  <si>
    <t>157-87752840</t>
  </si>
  <si>
    <t>157-87752851</t>
  </si>
  <si>
    <t>157-88413135</t>
  </si>
  <si>
    <t>157-88413146</t>
  </si>
  <si>
    <t>157-88413150</t>
  </si>
  <si>
    <t>157-87752803</t>
  </si>
  <si>
    <t>157-88413360</t>
  </si>
  <si>
    <t>157-87752836</t>
  </si>
  <si>
    <t>157-88413371</t>
  </si>
  <si>
    <t>157-88413216</t>
  </si>
  <si>
    <t>157-87752862</t>
  </si>
  <si>
    <t>157-87752873</t>
  </si>
  <si>
    <t>157-87752884</t>
  </si>
  <si>
    <t>157-88413161</t>
  </si>
  <si>
    <t>157-87752814</t>
  </si>
  <si>
    <t>157-88413172</t>
  </si>
  <si>
    <t>QR8417</t>
  </si>
  <si>
    <t>157-58955503</t>
  </si>
  <si>
    <t>157-54795996</t>
  </si>
  <si>
    <t>QR8433</t>
  </si>
  <si>
    <t>157-88412660</t>
  </si>
  <si>
    <t>157-88412671</t>
  </si>
  <si>
    <t>157-88412682</t>
  </si>
  <si>
    <t>157-88412693</t>
  </si>
  <si>
    <t>157-88412704</t>
  </si>
  <si>
    <t>157-88412951</t>
  </si>
  <si>
    <t>157-88412962</t>
  </si>
  <si>
    <t>157-88412940</t>
  </si>
  <si>
    <t>157-88412973</t>
  </si>
  <si>
    <t>157-88412936</t>
  </si>
  <si>
    <t>157-88412925</t>
  </si>
  <si>
    <t>157-88412984</t>
  </si>
  <si>
    <t>157-88412995</t>
  </si>
  <si>
    <t>157-88413006</t>
  </si>
  <si>
    <t>157-88413010</t>
  </si>
  <si>
    <t>157-88412785</t>
  </si>
  <si>
    <t>157-88412796</t>
  </si>
  <si>
    <t>157-88412844</t>
  </si>
  <si>
    <t>157-88412623</t>
  </si>
  <si>
    <t>157-88412634</t>
  </si>
  <si>
    <t>157-88412800</t>
  </si>
  <si>
    <t>157-88412645</t>
  </si>
  <si>
    <t>157-88412811</t>
  </si>
  <si>
    <t>157-88412822</t>
  </si>
  <si>
    <t>157-88412833</t>
  </si>
  <si>
    <t>157-88412656</t>
  </si>
  <si>
    <t>157-88412715</t>
  </si>
  <si>
    <t>157-88412866</t>
  </si>
  <si>
    <t>157-88412870</t>
  </si>
  <si>
    <t>157-88412881</t>
  </si>
  <si>
    <t>157-88412726</t>
  </si>
  <si>
    <t>157-88412892</t>
  </si>
  <si>
    <t>157-88412730</t>
  </si>
  <si>
    <t>157-88412903</t>
  </si>
  <si>
    <t>157-88412741</t>
  </si>
  <si>
    <t>157-88412914</t>
  </si>
  <si>
    <t>157-87752486</t>
  </si>
  <si>
    <t>157-87752490</t>
  </si>
  <si>
    <t>157-88412855</t>
  </si>
  <si>
    <t>157-88412774</t>
  </si>
  <si>
    <t>157-88412752</t>
  </si>
  <si>
    <t>157-87752501</t>
  </si>
  <si>
    <t>157-87752512</t>
  </si>
  <si>
    <t>157-87752523</t>
  </si>
  <si>
    <t>157-87752534</t>
  </si>
  <si>
    <t>157-87752545</t>
  </si>
  <si>
    <t>157-87752556</t>
  </si>
  <si>
    <t>157-88412763</t>
  </si>
  <si>
    <t>157-87752560</t>
  </si>
  <si>
    <t>157-87752571</t>
  </si>
  <si>
    <t>BR892</t>
  </si>
  <si>
    <t>695-59493733</t>
  </si>
  <si>
    <t>752-30214645</t>
  </si>
  <si>
    <t>752-30214634</t>
  </si>
  <si>
    <t>752-30214365</t>
  </si>
  <si>
    <t>936-02866754</t>
  </si>
  <si>
    <t>936-02866732</t>
  </si>
  <si>
    <t>5Y8228</t>
  </si>
  <si>
    <t>369-99866992</t>
  </si>
  <si>
    <t>369-99866981</t>
  </si>
  <si>
    <t>369-99866970</t>
  </si>
  <si>
    <t>369-99866966</t>
  </si>
  <si>
    <t>369-99866955</t>
  </si>
  <si>
    <t>369-99867025</t>
  </si>
  <si>
    <t>369-99867014</t>
  </si>
  <si>
    <t>369-99866933</t>
  </si>
  <si>
    <t>369-99866922</t>
  </si>
  <si>
    <t>369-99866944</t>
  </si>
  <si>
    <t>369-99866863</t>
  </si>
  <si>
    <t>369-99866852</t>
  </si>
  <si>
    <t>369-99866841</t>
  </si>
  <si>
    <t>369-99866830</t>
  </si>
  <si>
    <t>369-99866911</t>
  </si>
  <si>
    <t>369-99866900</t>
  </si>
  <si>
    <t>369-99866756</t>
  </si>
  <si>
    <t>369-99866896</t>
  </si>
  <si>
    <t>369-99866885</t>
  </si>
  <si>
    <t>369-99866874</t>
  </si>
  <si>
    <t>369-99866771</t>
  </si>
  <si>
    <t>369-99866760</t>
  </si>
  <si>
    <t>369-99866793</t>
  </si>
  <si>
    <t>369-99866782</t>
  </si>
  <si>
    <t>369-99866690</t>
  </si>
  <si>
    <t>369-99866701</t>
  </si>
  <si>
    <t>369-99866826</t>
  </si>
  <si>
    <t>369-99866815</t>
  </si>
  <si>
    <t>369-99866804</t>
  </si>
  <si>
    <t>369-99866745</t>
  </si>
  <si>
    <t>369-99866734</t>
  </si>
  <si>
    <t>369-99866723</t>
  </si>
  <si>
    <t>369-99866712</t>
  </si>
  <si>
    <t>369-99431430</t>
  </si>
  <si>
    <t>369-99431253</t>
  </si>
  <si>
    <t>369-99431441</t>
  </si>
  <si>
    <t>369-99431426</t>
  </si>
  <si>
    <t>369-99431452</t>
  </si>
  <si>
    <t>157-88414233</t>
  </si>
  <si>
    <t>157-88414266</t>
  </si>
  <si>
    <t>157-88414255</t>
  </si>
  <si>
    <t>157-88414244</t>
  </si>
  <si>
    <t>157-88414362</t>
  </si>
  <si>
    <t>157-88414325</t>
  </si>
  <si>
    <t>157-88414303</t>
  </si>
  <si>
    <t>157-88414465</t>
  </si>
  <si>
    <t>157-87751204</t>
  </si>
  <si>
    <t>157-87751215</t>
  </si>
  <si>
    <t>157-88414292</t>
  </si>
  <si>
    <t>157-88414454</t>
  </si>
  <si>
    <t>157-87751241</t>
  </si>
  <si>
    <t>157-87751230</t>
  </si>
  <si>
    <t>157-88414491</t>
  </si>
  <si>
    <t>157-88414502</t>
  </si>
  <si>
    <t>157-88414443</t>
  </si>
  <si>
    <t>157-88414281</t>
  </si>
  <si>
    <t>157-88414270</t>
  </si>
  <si>
    <t>157-88414410</t>
  </si>
  <si>
    <t>157-87752700</t>
  </si>
  <si>
    <t>157-87752696</t>
  </si>
  <si>
    <t>157-87752685</t>
  </si>
  <si>
    <t>157-87752674</t>
  </si>
  <si>
    <t>157-87752663</t>
  </si>
  <si>
    <t>157-88414351</t>
  </si>
  <si>
    <t>157-88414336</t>
  </si>
  <si>
    <t>157-88414314</t>
  </si>
  <si>
    <t>157-87751226</t>
  </si>
  <si>
    <t>157-88414546</t>
  </si>
  <si>
    <t>157-88414535</t>
  </si>
  <si>
    <t>157-88414524</t>
  </si>
  <si>
    <t>157-88414513</t>
  </si>
  <si>
    <t>157-87751182</t>
  </si>
  <si>
    <t>157-87751171</t>
  </si>
  <si>
    <t>157-87751156</t>
  </si>
  <si>
    <t>157-87751145</t>
  </si>
  <si>
    <t>157-87751134</t>
  </si>
  <si>
    <t>157-87751160</t>
  </si>
  <si>
    <t>157-87751123</t>
  </si>
  <si>
    <t>157-88414395</t>
  </si>
  <si>
    <t>157-87752615</t>
  </si>
  <si>
    <t>157-87752604</t>
  </si>
  <si>
    <t>157-88414421</t>
  </si>
  <si>
    <t>157-87752593</t>
  </si>
  <si>
    <t>157-88414384</t>
  </si>
  <si>
    <t>157-87752582</t>
  </si>
  <si>
    <t>157-88414373</t>
  </si>
  <si>
    <t>157-87752652</t>
  </si>
  <si>
    <t>157-88414432</t>
  </si>
  <si>
    <t>157-88414406</t>
  </si>
  <si>
    <t>157-87751193</t>
  </si>
  <si>
    <t>157-88414340</t>
  </si>
  <si>
    <t>157-87753013</t>
  </si>
  <si>
    <t>157-87752641</t>
  </si>
  <si>
    <t>157-88414480</t>
  </si>
  <si>
    <t>157-88414476</t>
  </si>
  <si>
    <t>157-88414222</t>
  </si>
  <si>
    <t>157-87752630</t>
  </si>
  <si>
    <t>157-87752626</t>
  </si>
  <si>
    <t>752-30214376</t>
  </si>
  <si>
    <t>752-30214704</t>
  </si>
  <si>
    <t>752-30214693</t>
  </si>
  <si>
    <t>752-30214656</t>
  </si>
  <si>
    <t>752-30214660</t>
  </si>
  <si>
    <t>752-30214671</t>
  </si>
  <si>
    <t>752-30214682</t>
  </si>
  <si>
    <t>752-30214380</t>
  </si>
  <si>
    <t>752-30214715</t>
  </si>
  <si>
    <t>752-30214726</t>
  </si>
  <si>
    <t>752-30214730</t>
  </si>
  <si>
    <t>752-30214741</t>
  </si>
  <si>
    <t>K4243</t>
  </si>
  <si>
    <t>936-02866802</t>
  </si>
  <si>
    <t>K4272</t>
  </si>
  <si>
    <t>936-00321510</t>
  </si>
  <si>
    <t>936-00321506</t>
  </si>
  <si>
    <t>no. of MAWB:</t>
  </si>
  <si>
    <t>est WT:</t>
  </si>
  <si>
    <t>*x HKD 0.04 = &gt;</t>
  </si>
  <si>
    <t>157-52885195</t>
  </si>
  <si>
    <t>157-52885103</t>
  </si>
  <si>
    <t>157-52885114</t>
  </si>
  <si>
    <t>157-52885125</t>
  </si>
  <si>
    <t>157-52883714</t>
  </si>
  <si>
    <t>157-52883703</t>
  </si>
  <si>
    <t>157-52970271</t>
  </si>
  <si>
    <t>157-52970260</t>
  </si>
  <si>
    <t>157-52970142</t>
  </si>
  <si>
    <t>157-52970131</t>
  </si>
  <si>
    <t>157-52970105</t>
  </si>
  <si>
    <t>157-52970256</t>
  </si>
  <si>
    <t>157-52970116</t>
  </si>
  <si>
    <t>157-67477104</t>
  </si>
  <si>
    <t>157-52970164</t>
  </si>
  <si>
    <t>157-52970153</t>
  </si>
  <si>
    <t>157-52970190</t>
  </si>
  <si>
    <t>157-52885136</t>
  </si>
  <si>
    <t>157-52970234</t>
  </si>
  <si>
    <t>157-52970245</t>
  </si>
  <si>
    <t>157-52970282</t>
  </si>
  <si>
    <t>157-52970201</t>
  </si>
  <si>
    <t>157-67477115</t>
  </si>
  <si>
    <t>157-52970304</t>
  </si>
  <si>
    <t>157-52970293</t>
  </si>
  <si>
    <t>157-52970094</t>
  </si>
  <si>
    <t>157-52970175</t>
  </si>
  <si>
    <t>157-52970186</t>
  </si>
  <si>
    <t>157-52970120</t>
  </si>
  <si>
    <t>157-52883736</t>
  </si>
  <si>
    <t>157-52883725</t>
  </si>
  <si>
    <t>157-52970341</t>
  </si>
  <si>
    <t>157-52970330</t>
  </si>
  <si>
    <t>157-52970326</t>
  </si>
  <si>
    <t>157-52970223</t>
  </si>
  <si>
    <t>157-52970212</t>
  </si>
  <si>
    <t>157-52970083</t>
  </si>
  <si>
    <t>157-52885184</t>
  </si>
  <si>
    <t>157-52885173</t>
  </si>
  <si>
    <t>157-52885140</t>
  </si>
  <si>
    <t>157-52885162</t>
  </si>
  <si>
    <t>157-52885151</t>
  </si>
  <si>
    <t>157-52970315</t>
  </si>
  <si>
    <t>157-52883773</t>
  </si>
  <si>
    <t>157-52883740</t>
  </si>
  <si>
    <t>157-52970713</t>
  </si>
  <si>
    <t>157-52970702</t>
  </si>
  <si>
    <t>157-52883762</t>
  </si>
  <si>
    <t>157-52883751</t>
  </si>
  <si>
    <t>160-13895361</t>
  </si>
  <si>
    <t>160-13895350</t>
  </si>
  <si>
    <t>369-99854123</t>
  </si>
  <si>
    <t>369-99854215</t>
  </si>
  <si>
    <t>369-99854193</t>
  </si>
  <si>
    <t>369-99854204</t>
  </si>
  <si>
    <t>369-99854182</t>
  </si>
  <si>
    <t>369-99854171</t>
  </si>
  <si>
    <t>369-99854160</t>
  </si>
  <si>
    <t>369-99854156</t>
  </si>
  <si>
    <t>369-99854145</t>
  </si>
  <si>
    <t>369-99854134</t>
  </si>
  <si>
    <t>369-99854112</t>
  </si>
  <si>
    <t>369-99854090</t>
  </si>
  <si>
    <t>369-99854086</t>
  </si>
  <si>
    <t>369-99854075</t>
  </si>
  <si>
    <t>369-99854064</t>
  </si>
  <si>
    <t>369-99854053</t>
  </si>
  <si>
    <t>369-99854042</t>
  </si>
  <si>
    <t>369-99853983</t>
  </si>
  <si>
    <t>369-99853972</t>
  </si>
  <si>
    <t>369-99853961</t>
  </si>
  <si>
    <t>369-99853950</t>
  </si>
  <si>
    <t>369-99853946</t>
  </si>
  <si>
    <t>369-99853865</t>
  </si>
  <si>
    <t>369-99853924</t>
  </si>
  <si>
    <t>369-99853913</t>
  </si>
  <si>
    <t>369-99853902</t>
  </si>
  <si>
    <t>369-99853891</t>
  </si>
  <si>
    <t>369-99853880</t>
  </si>
  <si>
    <t>369-99853876</t>
  </si>
  <si>
    <t>369-99854101</t>
  </si>
  <si>
    <t>369-99430166</t>
  </si>
  <si>
    <t>369-99430155</t>
  </si>
  <si>
    <t>369-99430085</t>
  </si>
  <si>
    <t>936-00318684</t>
  </si>
  <si>
    <t>157-52885803</t>
  </si>
  <si>
    <t>157-52885652</t>
  </si>
  <si>
    <t>157-52885512</t>
  </si>
  <si>
    <t>157-52885825</t>
  </si>
  <si>
    <t>157-52885663</t>
  </si>
  <si>
    <t>157-52885744</t>
  </si>
  <si>
    <t>157-52885755</t>
  </si>
  <si>
    <t>157-52885766</t>
  </si>
  <si>
    <t>157-52885545</t>
  </si>
  <si>
    <t>157-52885534</t>
  </si>
  <si>
    <t>157-52885523</t>
  </si>
  <si>
    <t>157-52885814</t>
  </si>
  <si>
    <t>157-52885674</t>
  </si>
  <si>
    <t>157-52885475</t>
  </si>
  <si>
    <t>157-52885685</t>
  </si>
  <si>
    <t>157-52885851</t>
  </si>
  <si>
    <t>157-52885556</t>
  </si>
  <si>
    <t>157-52885711</t>
  </si>
  <si>
    <t>157-52885490</t>
  </si>
  <si>
    <t>157-52885501</t>
  </si>
  <si>
    <t>157-52885700</t>
  </si>
  <si>
    <t>157-52885361</t>
  </si>
  <si>
    <t>157-52885486</t>
  </si>
  <si>
    <t>157-52885696</t>
  </si>
  <si>
    <t>157-52885722</t>
  </si>
  <si>
    <t>157-52885733</t>
  </si>
  <si>
    <t>157-52883795</t>
  </si>
  <si>
    <t>157-52885862</t>
  </si>
  <si>
    <t>157-52885641</t>
  </si>
  <si>
    <t>157-52885836</t>
  </si>
  <si>
    <t>157-52885770</t>
  </si>
  <si>
    <t>157-52885781</t>
  </si>
  <si>
    <t>157-52885792</t>
  </si>
  <si>
    <t>157-52885630</t>
  </si>
  <si>
    <t>157-52885840</t>
  </si>
  <si>
    <t>157-52883784</t>
  </si>
  <si>
    <t>157-52885560</t>
  </si>
  <si>
    <t>157-52885571</t>
  </si>
  <si>
    <t>157-52885582</t>
  </si>
  <si>
    <t>157-52885593</t>
  </si>
  <si>
    <t>157-52885372</t>
  </si>
  <si>
    <t>157-52885604</t>
  </si>
  <si>
    <t>157-52885383</t>
  </si>
  <si>
    <t>157-52885394</t>
  </si>
  <si>
    <t>157-52885615</t>
  </si>
  <si>
    <t>157-52885405</t>
  </si>
  <si>
    <t>157-52885626</t>
  </si>
  <si>
    <t>157-52885442</t>
  </si>
  <si>
    <t>157-52885416</t>
  </si>
  <si>
    <t>157-52885420</t>
  </si>
  <si>
    <t>157-52885431</t>
  </si>
  <si>
    <t>752-30210972</t>
  </si>
  <si>
    <t>752-30211355</t>
  </si>
  <si>
    <t>752-30211366</t>
  </si>
  <si>
    <t>752-30211370</t>
  </si>
  <si>
    <t>752-30211381</t>
  </si>
  <si>
    <t>752-30211392</t>
  </si>
  <si>
    <t>752-30211403</t>
  </si>
  <si>
    <t>752-30211414</t>
  </si>
  <si>
    <t>F5763</t>
  </si>
  <si>
    <t>752-30210961</t>
  </si>
  <si>
    <t>752-30211285</t>
  </si>
  <si>
    <t>752-30211296</t>
  </si>
  <si>
    <t>752-30211300</t>
  </si>
  <si>
    <t>752-30211311</t>
  </si>
  <si>
    <t>752-30211322</t>
  </si>
  <si>
    <t>752-30211333</t>
  </si>
  <si>
    <t>752-30211344</t>
  </si>
  <si>
    <t>065-49870951</t>
  </si>
  <si>
    <t>065-49870564</t>
  </si>
  <si>
    <t>065-49870575</t>
  </si>
  <si>
    <t>065-49870962</t>
  </si>
  <si>
    <t>065-49870586</t>
  </si>
  <si>
    <t>065-49870623</t>
  </si>
  <si>
    <t>065-49870660</t>
  </si>
  <si>
    <t>065-49870995</t>
  </si>
  <si>
    <t>157-52885873</t>
  </si>
  <si>
    <t>157-08326430</t>
  </si>
  <si>
    <t>157-52885884</t>
  </si>
  <si>
    <t>157-09615034</t>
  </si>
  <si>
    <t>157-52885895</t>
  </si>
  <si>
    <t>157-09615045</t>
  </si>
  <si>
    <t>157-09615060</t>
  </si>
  <si>
    <t>157-52885906</t>
  </si>
  <si>
    <t>157-09615071</t>
  </si>
  <si>
    <t>157-09615082</t>
  </si>
  <si>
    <t>157-52885932</t>
  </si>
  <si>
    <t>157-52886094</t>
  </si>
  <si>
    <t>157-52885943</t>
  </si>
  <si>
    <t>157-52886105</t>
  </si>
  <si>
    <t>157-52885954</t>
  </si>
  <si>
    <t>157-52886116</t>
  </si>
  <si>
    <t>157-52886120</t>
  </si>
  <si>
    <t>157-52885965</t>
  </si>
  <si>
    <t>157-52885976</t>
  </si>
  <si>
    <t>157-09615093</t>
  </si>
  <si>
    <t>157-52885980</t>
  </si>
  <si>
    <t>157-09615104</t>
  </si>
  <si>
    <t>157-52885991</t>
  </si>
  <si>
    <t>157-09615115</t>
  </si>
  <si>
    <t>157-52886002</t>
  </si>
  <si>
    <t>157-09615130</t>
  </si>
  <si>
    <t>157-52886013</t>
  </si>
  <si>
    <t>157-09615141</t>
  </si>
  <si>
    <t>157-52886024</t>
  </si>
  <si>
    <t>157-09615152</t>
  </si>
  <si>
    <t>157-09615163</t>
  </si>
  <si>
    <t>157-52886212</t>
  </si>
  <si>
    <t>157-52885453</t>
  </si>
  <si>
    <t>157-52885464</t>
  </si>
  <si>
    <t>157-05993886</t>
  </si>
  <si>
    <t>157-52886223</t>
  </si>
  <si>
    <t>157-06846346</t>
  </si>
  <si>
    <t>157-52886234</t>
  </si>
  <si>
    <t>157-08326426</t>
  </si>
  <si>
    <t>157-52886245</t>
  </si>
  <si>
    <t>157-52886190</t>
  </si>
  <si>
    <t>157-52886186</t>
  </si>
  <si>
    <t>157-52886175</t>
  </si>
  <si>
    <t>157-52886164</t>
  </si>
  <si>
    <t>157-52886153</t>
  </si>
  <si>
    <t>157-52886142</t>
  </si>
  <si>
    <t>157-52886131</t>
  </si>
  <si>
    <t>157-52886260</t>
  </si>
  <si>
    <t>157-52886035</t>
  </si>
  <si>
    <t>157-06846350</t>
  </si>
  <si>
    <t>157-06846361</t>
  </si>
  <si>
    <t>157-52969453</t>
  </si>
  <si>
    <t>157-52969475</t>
  </si>
  <si>
    <t>157-52969464</t>
  </si>
  <si>
    <t>157-52969486</t>
  </si>
  <si>
    <t>157-52886256</t>
  </si>
  <si>
    <t>157-52886083</t>
  </si>
  <si>
    <t>157-52886072</t>
  </si>
  <si>
    <t>157-52886201</t>
  </si>
  <si>
    <t>157-52885921</t>
  </si>
  <si>
    <t>157-52886046</t>
  </si>
  <si>
    <t>157-52885910</t>
  </si>
  <si>
    <t>157-52886061</t>
  </si>
  <si>
    <t>157-52886050</t>
  </si>
  <si>
    <t>QR8415</t>
  </si>
  <si>
    <t>157-09615303</t>
  </si>
  <si>
    <t>157-09615314</t>
  </si>
  <si>
    <t>157-09615325</t>
  </si>
  <si>
    <t>157-09615336</t>
  </si>
  <si>
    <t>157-09615340</t>
  </si>
  <si>
    <t>157-09615351</t>
  </si>
  <si>
    <t>157-09615362</t>
  </si>
  <si>
    <t>157-09615373</t>
  </si>
  <si>
    <t>157-52752000</t>
  </si>
  <si>
    <t>157-52885291</t>
  </si>
  <si>
    <t>157-52885302</t>
  </si>
  <si>
    <t>157-52885313</t>
  </si>
  <si>
    <t>157-52885324</t>
  </si>
  <si>
    <t>157-52885335</t>
  </si>
  <si>
    <t>157-52885346</t>
  </si>
  <si>
    <t>157-52885350</t>
  </si>
  <si>
    <t>157-52970352</t>
  </si>
  <si>
    <t>157-52970363</t>
  </si>
  <si>
    <t>157-52970374</t>
  </si>
  <si>
    <t>157-52970385</t>
  </si>
  <si>
    <t>157-52970396</t>
  </si>
  <si>
    <t>157-52970400</t>
  </si>
  <si>
    <t>157-52970411</t>
  </si>
  <si>
    <t>157-52970422</t>
  </si>
  <si>
    <t>157-52970433</t>
  </si>
  <si>
    <t>157-52970444</t>
  </si>
  <si>
    <t>157-52970455</t>
  </si>
  <si>
    <t>157-52970466</t>
  </si>
  <si>
    <t>157-52970470</t>
  </si>
  <si>
    <t>157-52970481</t>
  </si>
  <si>
    <t>157-52970492</t>
  </si>
  <si>
    <t>157-52970503</t>
  </si>
  <si>
    <t>157-52970514</t>
  </si>
  <si>
    <t>157-52970525</t>
  </si>
  <si>
    <t>157-52970536</t>
  </si>
  <si>
    <t>157-52970540</t>
  </si>
  <si>
    <t>157-52970551</t>
  </si>
  <si>
    <t>157-52970562</t>
  </si>
  <si>
    <t>157-52970573</t>
  </si>
  <si>
    <t>157-52970584</t>
  </si>
  <si>
    <t>157-52970595</t>
  </si>
  <si>
    <t>157-52970606</t>
  </si>
  <si>
    <t>157-52970610</t>
  </si>
  <si>
    <t>157-52970621</t>
  </si>
  <si>
    <t>157-52970632</t>
  </si>
  <si>
    <t>157-52970643</t>
  </si>
  <si>
    <t>157-52970654</t>
  </si>
  <si>
    <t>157-52970665</t>
  </si>
  <si>
    <t>157-52970676</t>
  </si>
  <si>
    <t>157-52970680</t>
  </si>
  <si>
    <t>157-52970691</t>
  </si>
  <si>
    <t>157-52970724</t>
  </si>
  <si>
    <t>157-52970735</t>
  </si>
  <si>
    <t>157-52971085</t>
  </si>
  <si>
    <t>157-52971074</t>
  </si>
  <si>
    <t>157-52885066</t>
  </si>
  <si>
    <t>157-52885081</t>
  </si>
  <si>
    <t>157-52971096</t>
  </si>
  <si>
    <t>157-52971111</t>
  </si>
  <si>
    <t>157-52971122</t>
  </si>
  <si>
    <t>157-52971133</t>
  </si>
  <si>
    <t>157-52971144</t>
  </si>
  <si>
    <t>157-52885070</t>
  </si>
  <si>
    <t>157-52885022</t>
  </si>
  <si>
    <t>157-52885033</t>
  </si>
  <si>
    <t>157-52885044</t>
  </si>
  <si>
    <t>157-52885055</t>
  </si>
  <si>
    <t>157-52971155</t>
  </si>
  <si>
    <t>157-52971100</t>
  </si>
  <si>
    <t>157-52971166</t>
  </si>
  <si>
    <t>157-52971170</t>
  </si>
  <si>
    <t>157-52971181</t>
  </si>
  <si>
    <t>157-52971203</t>
  </si>
  <si>
    <t>157-52971192</t>
  </si>
  <si>
    <t>157-52971284</t>
  </si>
  <si>
    <t>157-52971273</t>
  </si>
  <si>
    <t>157-52971240</t>
  </si>
  <si>
    <t>157-52971251</t>
  </si>
  <si>
    <t>157-52971214</t>
  </si>
  <si>
    <t>157-52971225</t>
  </si>
  <si>
    <t>157-52971295</t>
  </si>
  <si>
    <t>157-52971332</t>
  </si>
  <si>
    <t>157-52971321</t>
  </si>
  <si>
    <t>157-52971310</t>
  </si>
  <si>
    <t>157-09615406</t>
  </si>
  <si>
    <t>157-09615395</t>
  </si>
  <si>
    <t>157-09615384</t>
  </si>
  <si>
    <t>157-52971343</t>
  </si>
  <si>
    <t>157-52971262</t>
  </si>
  <si>
    <t>157-52971306</t>
  </si>
  <si>
    <t>157-52971236</t>
  </si>
  <si>
    <t>CX037</t>
  </si>
  <si>
    <t>160-13895405</t>
  </si>
  <si>
    <t>160-13895394</t>
  </si>
  <si>
    <t>160-13895416</t>
  </si>
  <si>
    <t>160-13895420</t>
  </si>
  <si>
    <t>160-13895431</t>
  </si>
  <si>
    <t>TK0171</t>
  </si>
  <si>
    <t>235-98169223</t>
  </si>
  <si>
    <t>752-30210983</t>
  </si>
  <si>
    <t>752-30211425</t>
  </si>
  <si>
    <t>752-30211436</t>
  </si>
  <si>
    <t>752-30211440</t>
  </si>
  <si>
    <t>752-30211451</t>
  </si>
  <si>
    <t>752-30211462</t>
  </si>
  <si>
    <t>752-30211473</t>
  </si>
  <si>
    <t>752-30211484</t>
  </si>
  <si>
    <t>752-30211495</t>
  </si>
  <si>
    <t>752-30211506</t>
  </si>
  <si>
    <t>752-30211510</t>
  </si>
  <si>
    <t>936-00318695</t>
  </si>
  <si>
    <t>SV973</t>
  </si>
  <si>
    <t>065-49869400</t>
  </si>
  <si>
    <t>065-49869396</t>
  </si>
  <si>
    <t>SV983</t>
  </si>
  <si>
    <t>065-49871006</t>
  </si>
  <si>
    <t>065-49871010</t>
  </si>
  <si>
    <t>065-49871021</t>
  </si>
  <si>
    <t>065-49871032</t>
  </si>
  <si>
    <t>065-49870870</t>
  </si>
  <si>
    <t>065-49870936</t>
  </si>
  <si>
    <t>160-13895453</t>
  </si>
  <si>
    <t>160-13895442</t>
  </si>
  <si>
    <t>752-30211005</t>
  </si>
  <si>
    <t>752-30211646</t>
  </si>
  <si>
    <t>752-30211650</t>
  </si>
  <si>
    <t>752-30211661</t>
  </si>
  <si>
    <t>752-30211672</t>
  </si>
  <si>
    <t>752-30211683</t>
  </si>
  <si>
    <t>752-30211694</t>
  </si>
  <si>
    <t>752-30211705</t>
  </si>
  <si>
    <t>752-30211716</t>
  </si>
  <si>
    <t>752-30211720</t>
  </si>
  <si>
    <t>752-30211731</t>
  </si>
  <si>
    <t>SV969</t>
  </si>
  <si>
    <t>065-49871080</t>
  </si>
  <si>
    <t>065-49871091</t>
  </si>
  <si>
    <t>065-49871102</t>
  </si>
  <si>
    <t>065-49986075</t>
  </si>
  <si>
    <t>065-49986086</t>
  </si>
  <si>
    <t>065-49871054</t>
  </si>
  <si>
    <t>065-49871065</t>
  </si>
  <si>
    <t>065-49870940</t>
  </si>
  <si>
    <t>065-49871076</t>
  </si>
  <si>
    <t>065-49986053</t>
  </si>
  <si>
    <t>065-49986064</t>
  </si>
  <si>
    <t>157-52969442</t>
  </si>
  <si>
    <t>157-52969663</t>
  </si>
  <si>
    <t>157-52886315</t>
  </si>
  <si>
    <t>157-52969350</t>
  </si>
  <si>
    <t>157-52886326</t>
  </si>
  <si>
    <t>157-52969361</t>
  </si>
  <si>
    <t>157-52969615</t>
  </si>
  <si>
    <t>157-52886330</t>
  </si>
  <si>
    <t>157-52886271</t>
  </si>
  <si>
    <t>157-52886282</t>
  </si>
  <si>
    <t>157-52886293</t>
  </si>
  <si>
    <t>157-52969626</t>
  </si>
  <si>
    <t>157-52969630</t>
  </si>
  <si>
    <t>157-52969641</t>
  </si>
  <si>
    <t>157-52969652</t>
  </si>
  <si>
    <t>157-52969674</t>
  </si>
  <si>
    <t>157-52886304</t>
  </si>
  <si>
    <t>157-52969372</t>
  </si>
  <si>
    <t>157-52969490</t>
  </si>
  <si>
    <t>157-52969383</t>
  </si>
  <si>
    <t>157-52969501</t>
  </si>
  <si>
    <t>157-52969512</t>
  </si>
  <si>
    <t>157-52969394</t>
  </si>
  <si>
    <t>157-52969405</t>
  </si>
  <si>
    <t>157-52969416</t>
  </si>
  <si>
    <t>157-52969420</t>
  </si>
  <si>
    <t>157-52969523</t>
  </si>
  <si>
    <t>157-52969431</t>
  </si>
  <si>
    <t>160-13895475</t>
  </si>
  <si>
    <t>160-13895464</t>
  </si>
  <si>
    <t>160-13895486</t>
  </si>
  <si>
    <t>CX096</t>
  </si>
  <si>
    <t>160-11985772</t>
  </si>
  <si>
    <t>NLU</t>
  </si>
  <si>
    <t>160-11987021</t>
  </si>
  <si>
    <t>160-11987032</t>
  </si>
  <si>
    <t>160-13895501</t>
  </si>
  <si>
    <t>160-13895490</t>
  </si>
  <si>
    <t>752-30211016</t>
  </si>
  <si>
    <t>752-30211742</t>
  </si>
  <si>
    <t>752-30211753</t>
  </si>
  <si>
    <t>752-30211764</t>
  </si>
  <si>
    <t>752-30211775</t>
  </si>
  <si>
    <t>752-30211786</t>
  </si>
  <si>
    <t>752-30211790</t>
  </si>
  <si>
    <t>752-30211801</t>
  </si>
  <si>
    <t>752-30211812</t>
  </si>
  <si>
    <t>752-30211823</t>
  </si>
  <si>
    <t>752-30211834</t>
  </si>
  <si>
    <t>157-52971354</t>
  </si>
  <si>
    <t>157-52971413</t>
  </si>
  <si>
    <t>157-52971424</t>
  </si>
  <si>
    <t>157-52971435</t>
  </si>
  <si>
    <t>157-52971446</t>
  </si>
  <si>
    <t>157-52971494</t>
  </si>
  <si>
    <t>157-52971505</t>
  </si>
  <si>
    <t>157-52971402</t>
  </si>
  <si>
    <t>157-52971450</t>
  </si>
  <si>
    <t>157-52971516</t>
  </si>
  <si>
    <t>157-52971461</t>
  </si>
  <si>
    <t>157-52971472</t>
  </si>
  <si>
    <t>157-52971483</t>
  </si>
  <si>
    <t>157-52971365</t>
  </si>
  <si>
    <t>157-52971376</t>
  </si>
  <si>
    <t>157-52971380</t>
  </si>
  <si>
    <t>157-52971391</t>
  </si>
  <si>
    <t>157-52971520</t>
  </si>
  <si>
    <t>157-52971531</t>
  </si>
  <si>
    <t>157-52971542</t>
  </si>
  <si>
    <t>157-52971553</t>
  </si>
  <si>
    <t>157-52971564</t>
  </si>
  <si>
    <t>157-09616036</t>
  </si>
  <si>
    <t>157-09615922</t>
  </si>
  <si>
    <t>157-09615944</t>
  </si>
  <si>
    <t>157-09615955</t>
  </si>
  <si>
    <t>157-09615992</t>
  </si>
  <si>
    <t>157-09615933</t>
  </si>
  <si>
    <t>157-09616003</t>
  </si>
  <si>
    <t>157-09615841</t>
  </si>
  <si>
    <t>157-09615826</t>
  </si>
  <si>
    <t>157-09615793</t>
  </si>
  <si>
    <t>157-09616014</t>
  </si>
  <si>
    <t>157-09616040</t>
  </si>
  <si>
    <t>157-09615535</t>
  </si>
  <si>
    <t>157-09615550</t>
  </si>
  <si>
    <t>157-09615900</t>
  </si>
  <si>
    <t>157-09615874</t>
  </si>
  <si>
    <t>157-09615970</t>
  </si>
  <si>
    <t>157-52969685</t>
  </si>
  <si>
    <t>157-52969696</t>
  </si>
  <si>
    <t>157-52969700</t>
  </si>
  <si>
    <t>157-52969840</t>
  </si>
  <si>
    <t>157-52969851</t>
  </si>
  <si>
    <t>157-52969711</t>
  </si>
  <si>
    <t>157-52969862</t>
  </si>
  <si>
    <t>157-52970013</t>
  </si>
  <si>
    <t>157-52969873</t>
  </si>
  <si>
    <t>157-52970061</t>
  </si>
  <si>
    <t>157-52970024</t>
  </si>
  <si>
    <t>157-52970035</t>
  </si>
  <si>
    <t>157-52970046</t>
  </si>
  <si>
    <t>157-52969884</t>
  </si>
  <si>
    <t>157-52970050</t>
  </si>
  <si>
    <t>157-52970072</t>
  </si>
  <si>
    <t>157-52969722</t>
  </si>
  <si>
    <t>157-52969733</t>
  </si>
  <si>
    <t>157-52969895</t>
  </si>
  <si>
    <t>157-52969744</t>
  </si>
  <si>
    <t>157-52969755</t>
  </si>
  <si>
    <t>157-52969906</t>
  </si>
  <si>
    <t>157-52969910</t>
  </si>
  <si>
    <t>157-52969921</t>
  </si>
  <si>
    <t>157-52969766</t>
  </si>
  <si>
    <t>157-52969932</t>
  </si>
  <si>
    <t>157-52969943</t>
  </si>
  <si>
    <t>157-52969770</t>
  </si>
  <si>
    <t>157-52969954</t>
  </si>
  <si>
    <t>157-52969781</t>
  </si>
  <si>
    <t>157-52969965</t>
  </si>
  <si>
    <t>157-52969976</t>
  </si>
  <si>
    <t>157-52969803</t>
  </si>
  <si>
    <t>157-52969814</t>
  </si>
  <si>
    <t>157-52970002</t>
  </si>
  <si>
    <t>157-09615174</t>
  </si>
  <si>
    <t>157-52969792</t>
  </si>
  <si>
    <t>157-52969980</t>
  </si>
  <si>
    <t>157-09615185</t>
  </si>
  <si>
    <t>157-52969991</t>
  </si>
  <si>
    <t>157-52969825</t>
  </si>
  <si>
    <t>157-09615196</t>
  </si>
  <si>
    <t>157-09615200</t>
  </si>
  <si>
    <t>157-09615211</t>
  </si>
  <si>
    <t>157-52969836</t>
  </si>
  <si>
    <t>157-09615222</t>
  </si>
  <si>
    <t>157-09615244</t>
  </si>
  <si>
    <t>157-09615255</t>
  </si>
  <si>
    <t>157-09615266</t>
  </si>
  <si>
    <t>157-52970746</t>
  </si>
  <si>
    <t>157-52970750</t>
  </si>
  <si>
    <t>157-52970761</t>
  </si>
  <si>
    <t>157-52970772</t>
  </si>
  <si>
    <t>157-09615690</t>
  </si>
  <si>
    <t>157-52970816</t>
  </si>
  <si>
    <t>157-52970820</t>
  </si>
  <si>
    <t>157-09615815</t>
  </si>
  <si>
    <t>157-52970831</t>
  </si>
  <si>
    <t>157-52970842</t>
  </si>
  <si>
    <t>157-52970853</t>
  </si>
  <si>
    <t>157-09615771</t>
  </si>
  <si>
    <t>157-52970864</t>
  </si>
  <si>
    <t>157-09615804</t>
  </si>
  <si>
    <t>157-52970875</t>
  </si>
  <si>
    <t>157-52970886</t>
  </si>
  <si>
    <t>157-09615885</t>
  </si>
  <si>
    <t>157-52970890</t>
  </si>
  <si>
    <t>157-09615852</t>
  </si>
  <si>
    <t>157-09615863</t>
  </si>
  <si>
    <t>157-52970901</t>
  </si>
  <si>
    <t>157-09615642</t>
  </si>
  <si>
    <t>157-09615782</t>
  </si>
  <si>
    <t>157-52970912</t>
  </si>
  <si>
    <t>157-09615675</t>
  </si>
  <si>
    <t>157-09615701</t>
  </si>
  <si>
    <t>157-52970923</t>
  </si>
  <si>
    <t>157-09615830</t>
  </si>
  <si>
    <t>157-52970956</t>
  </si>
  <si>
    <t>157-52970960</t>
  </si>
  <si>
    <t>157-09615756</t>
  </si>
  <si>
    <t>157-09615712</t>
  </si>
  <si>
    <t>157-52970971</t>
  </si>
  <si>
    <t>157-09615723</t>
  </si>
  <si>
    <t>157-09615745</t>
  </si>
  <si>
    <t>157-52970982</t>
  </si>
  <si>
    <t>157-09615896</t>
  </si>
  <si>
    <t>157-09615911</t>
  </si>
  <si>
    <t>157-52970993</t>
  </si>
  <si>
    <t>157-09615734</t>
  </si>
  <si>
    <t>157-09615760</t>
  </si>
  <si>
    <t>157-52971004</t>
  </si>
  <si>
    <t>157-09615686</t>
  </si>
  <si>
    <t>157-52970783</t>
  </si>
  <si>
    <t>157-52970794</t>
  </si>
  <si>
    <t>157-52970805</t>
  </si>
  <si>
    <t>157-52970934</t>
  </si>
  <si>
    <t>157-52970945</t>
  </si>
  <si>
    <t>157-52971015</t>
  </si>
  <si>
    <t>157-52971026</t>
  </si>
  <si>
    <t>157-52971030</t>
  </si>
  <si>
    <t>157-52971041</t>
  </si>
  <si>
    <t>157-52971052</t>
  </si>
  <si>
    <t>157-52971063</t>
  </si>
  <si>
    <t>160-13895523</t>
  </si>
  <si>
    <t>160-13895512</t>
  </si>
  <si>
    <t>TK6257</t>
  </si>
  <si>
    <t>235-96204905</t>
  </si>
  <si>
    <t>235-96204824</t>
  </si>
  <si>
    <t>369-99854720</t>
  </si>
  <si>
    <t>369-99854731</t>
  </si>
  <si>
    <t>369-99855081</t>
  </si>
  <si>
    <t>369-99855103</t>
  </si>
  <si>
    <t>369-99855475</t>
  </si>
  <si>
    <t>369-99855221</t>
  </si>
  <si>
    <t>369-99854930</t>
  </si>
  <si>
    <t>369-99854941</t>
  </si>
  <si>
    <t>369-99855066</t>
  </si>
  <si>
    <t>369-99855070</t>
  </si>
  <si>
    <t>369-99855044</t>
  </si>
  <si>
    <t>369-99855055</t>
  </si>
  <si>
    <t>369-99855232</t>
  </si>
  <si>
    <t>369-99855243</t>
  </si>
  <si>
    <t>369-99855254</t>
  </si>
  <si>
    <t>369-99855265</t>
  </si>
  <si>
    <t>369-99855431</t>
  </si>
  <si>
    <t>369-99855092</t>
  </si>
  <si>
    <t>369-99855125</t>
  </si>
  <si>
    <t>369-99855114</t>
  </si>
  <si>
    <t>369-99855136</t>
  </si>
  <si>
    <t>369-99855140</t>
  </si>
  <si>
    <t>369-99855151</t>
  </si>
  <si>
    <t>369-99854952</t>
  </si>
  <si>
    <t>369-99854963</t>
  </si>
  <si>
    <t>369-99855162</t>
  </si>
  <si>
    <t>369-99855173</t>
  </si>
  <si>
    <t>369-99855464</t>
  </si>
  <si>
    <t>369-99855442</t>
  </si>
  <si>
    <t>369-99855453</t>
  </si>
  <si>
    <t>369-99426095</t>
  </si>
  <si>
    <t>369-99426084</t>
  </si>
  <si>
    <t>369-99426073</t>
  </si>
  <si>
    <t>OPEN</t>
  </si>
  <si>
    <t>369-99430343</t>
  </si>
  <si>
    <t>369-99430354</t>
  </si>
  <si>
    <t>369-99430376</t>
  </si>
  <si>
    <t>752-30211521</t>
  </si>
  <si>
    <t>752-30211845</t>
  </si>
  <si>
    <t>752-30211856</t>
  </si>
  <si>
    <t>752-30211860</t>
  </si>
  <si>
    <t>752-30211871</t>
  </si>
  <si>
    <t>752-30211882</t>
  </si>
  <si>
    <t>752-30211893</t>
  </si>
  <si>
    <t>752-30211904</t>
  </si>
  <si>
    <t>752-30211915</t>
  </si>
  <si>
    <t>065-49986090</t>
  </si>
  <si>
    <t>065-49985854</t>
  </si>
  <si>
    <t>065-49985843</t>
  </si>
  <si>
    <t>065-49985832</t>
  </si>
  <si>
    <t>065-49985865</t>
  </si>
  <si>
    <t>065-49985810</t>
  </si>
  <si>
    <t>065-49986112</t>
  </si>
  <si>
    <t>065-49986123</t>
  </si>
  <si>
    <t>065-49986134</t>
  </si>
  <si>
    <t>065-49985821</t>
  </si>
  <si>
    <t>065-49986101</t>
  </si>
  <si>
    <t>160-13895534</t>
  </si>
  <si>
    <t>160-13895545</t>
  </si>
  <si>
    <t>5Y8050</t>
  </si>
  <si>
    <t>369-99426106</t>
  </si>
  <si>
    <t>369-99426110</t>
  </si>
  <si>
    <t>752-30211532</t>
  </si>
  <si>
    <t>752-30211926</t>
  </si>
  <si>
    <t>752-30211930</t>
  </si>
  <si>
    <t>752-30212000</t>
  </si>
  <si>
    <t>752-30212011</t>
  </si>
  <si>
    <t>752-30211996</t>
  </si>
  <si>
    <t>752-30212022</t>
  </si>
  <si>
    <t>160-13895560</t>
  </si>
  <si>
    <t>160-13895556</t>
  </si>
  <si>
    <t>157-54187000</t>
  </si>
  <si>
    <t>157-54186985</t>
  </si>
  <si>
    <t>157-54187232</t>
  </si>
  <si>
    <t>157-54187125</t>
  </si>
  <si>
    <t>157-54187114</t>
  </si>
  <si>
    <t>157-54187092</t>
  </si>
  <si>
    <t>157-54187103</t>
  </si>
  <si>
    <t>157-54187221</t>
  </si>
  <si>
    <t>157-54187210</t>
  </si>
  <si>
    <t>157-54186974</t>
  </si>
  <si>
    <t>157-54186996</t>
  </si>
  <si>
    <t>157-54187011</t>
  </si>
  <si>
    <t>157-09615572</t>
  </si>
  <si>
    <t>157-54187243</t>
  </si>
  <si>
    <t>157-09615561</t>
  </si>
  <si>
    <t>157-54187254</t>
  </si>
  <si>
    <t>157-54187151</t>
  </si>
  <si>
    <t>157-54187140</t>
  </si>
  <si>
    <t>157-09615546</t>
  </si>
  <si>
    <t>157-09616180</t>
  </si>
  <si>
    <t>157-09615524</t>
  </si>
  <si>
    <t>157-09615513</t>
  </si>
  <si>
    <t>157-09615502</t>
  </si>
  <si>
    <t>157-09615491</t>
  </si>
  <si>
    <t>157-09615480</t>
  </si>
  <si>
    <t>157-09615410</t>
  </si>
  <si>
    <t>157-54187033</t>
  </si>
  <si>
    <t>157-54187022</t>
  </si>
  <si>
    <t>157-54187081</t>
  </si>
  <si>
    <t>157-09615594</t>
  </si>
  <si>
    <t>157-54187173</t>
  </si>
  <si>
    <t>157-54187136</t>
  </si>
  <si>
    <t>157-54187265</t>
  </si>
  <si>
    <t>157-54187162</t>
  </si>
  <si>
    <t>157-54186963</t>
  </si>
  <si>
    <t>157-54187276</t>
  </si>
  <si>
    <t>157-54187184</t>
  </si>
  <si>
    <t>157-09615631</t>
  </si>
  <si>
    <t>157-54187070</t>
  </si>
  <si>
    <t>157-09615620</t>
  </si>
  <si>
    <t>157-54187044</t>
  </si>
  <si>
    <t>157-09615605</t>
  </si>
  <si>
    <t>157-54187066</t>
  </si>
  <si>
    <t>157-54187055</t>
  </si>
  <si>
    <t>157-52972076</t>
  </si>
  <si>
    <t>157-09616456</t>
  </si>
  <si>
    <t>157-09615664</t>
  </si>
  <si>
    <t>157-09615653</t>
  </si>
  <si>
    <t>157-52972146</t>
  </si>
  <si>
    <t>157-52972135</t>
  </si>
  <si>
    <t>157-52972124</t>
  </si>
  <si>
    <t>157-52972080</t>
  </si>
  <si>
    <t>157-54187206</t>
  </si>
  <si>
    <t>157-54186952</t>
  </si>
  <si>
    <t>157-54187195</t>
  </si>
  <si>
    <t>369-99855696</t>
  </si>
  <si>
    <t>369-99855884</t>
  </si>
  <si>
    <t>369-99855851</t>
  </si>
  <si>
    <t>369-99855840</t>
  </si>
  <si>
    <t>369-99855836</t>
  </si>
  <si>
    <t>369-99855825</t>
  </si>
  <si>
    <t>369-99855862</t>
  </si>
  <si>
    <t>369-99855685</t>
  </si>
  <si>
    <t>369-99855674</t>
  </si>
  <si>
    <t>369-99855663</t>
  </si>
  <si>
    <t>369-99855652</t>
  </si>
  <si>
    <t>369-99855641</t>
  </si>
  <si>
    <t>369-99855630</t>
  </si>
  <si>
    <t>369-99855744</t>
  </si>
  <si>
    <t>369-99855733</t>
  </si>
  <si>
    <t>369-99855722</t>
  </si>
  <si>
    <t>369-99855711</t>
  </si>
  <si>
    <t>369-99855700</t>
  </si>
  <si>
    <t>369-99855781</t>
  </si>
  <si>
    <t>369-99855770</t>
  </si>
  <si>
    <t>369-99855766</t>
  </si>
  <si>
    <t>369-99855755</t>
  </si>
  <si>
    <t>369-99855814</t>
  </si>
  <si>
    <t>369-99855593</t>
  </si>
  <si>
    <t>369-99855582</t>
  </si>
  <si>
    <t>369-99855534</t>
  </si>
  <si>
    <t>369-99855405</t>
  </si>
  <si>
    <t>369-99855394</t>
  </si>
  <si>
    <t>369-99855873</t>
  </si>
  <si>
    <t>369-99430310</t>
  </si>
  <si>
    <t>369-99430380</t>
  </si>
  <si>
    <t>369-99430295</t>
  </si>
  <si>
    <t>936-00319233</t>
  </si>
  <si>
    <t>936-02198733</t>
  </si>
  <si>
    <t>SV963</t>
  </si>
  <si>
    <t>065-49870170</t>
  </si>
  <si>
    <t>065-49869455</t>
  </si>
  <si>
    <t>065-49869444</t>
  </si>
  <si>
    <t>065-49869433</t>
  </si>
  <si>
    <t>157-54091671</t>
  </si>
  <si>
    <t>157-54185390</t>
  </si>
  <si>
    <t>157-54185401</t>
  </si>
  <si>
    <t>157-54185412</t>
  </si>
  <si>
    <t>157-54185423</t>
  </si>
  <si>
    <t>157-54185434</t>
  </si>
  <si>
    <t>157-54185736</t>
  </si>
  <si>
    <t>157-54185515</t>
  </si>
  <si>
    <t>157-54185692</t>
  </si>
  <si>
    <t>157-54185526</t>
  </si>
  <si>
    <t>157-54185445</t>
  </si>
  <si>
    <t>157-54185456</t>
  </si>
  <si>
    <t>157-54185530</t>
  </si>
  <si>
    <t>157-54185541</t>
  </si>
  <si>
    <t>157-54185740</t>
  </si>
  <si>
    <t>157-54091682</t>
  </si>
  <si>
    <t>157-54185552</t>
  </si>
  <si>
    <t>157-54185563</t>
  </si>
  <si>
    <t>157-54185375</t>
  </si>
  <si>
    <t>157-54185574</t>
  </si>
  <si>
    <t>157-54185585</t>
  </si>
  <si>
    <t>157-54185596</t>
  </si>
  <si>
    <t>157-54185386</t>
  </si>
  <si>
    <t>157-54185600</t>
  </si>
  <si>
    <t>157-54185611</t>
  </si>
  <si>
    <t>157-54185714</t>
  </si>
  <si>
    <t>157-54185644</t>
  </si>
  <si>
    <t>157-54185655</t>
  </si>
  <si>
    <t>157-54185666</t>
  </si>
  <si>
    <t>157-54185725</t>
  </si>
  <si>
    <t>157-54185670</t>
  </si>
  <si>
    <t>157-09615270</t>
  </si>
  <si>
    <t>157-54185622</t>
  </si>
  <si>
    <t>157-54185633</t>
  </si>
  <si>
    <t>157-54185681</t>
  </si>
  <si>
    <t>157-54185460</t>
  </si>
  <si>
    <t>157-54185471</t>
  </si>
  <si>
    <t>157-54185482</t>
  </si>
  <si>
    <t>157-09615281</t>
  </si>
  <si>
    <t>157-54185493</t>
  </si>
  <si>
    <t>157-09615292</t>
  </si>
  <si>
    <t>157-54091446</t>
  </si>
  <si>
    <t>157-54185504</t>
  </si>
  <si>
    <t>157-54091450</t>
  </si>
  <si>
    <t>157-54091461</t>
  </si>
  <si>
    <t>157-54185703</t>
  </si>
  <si>
    <t>160-13895582</t>
  </si>
  <si>
    <t>160-13895571</t>
  </si>
  <si>
    <t>5C185</t>
  </si>
  <si>
    <t>752-30212033</t>
  </si>
  <si>
    <t>752-30212044</t>
  </si>
  <si>
    <t>752-30211554</t>
  </si>
  <si>
    <t>752-30212055</t>
  </si>
  <si>
    <t>752-30212066</t>
  </si>
  <si>
    <t>752-30212070</t>
  </si>
  <si>
    <t>752-30212081</t>
  </si>
  <si>
    <t>157-54185762</t>
  </si>
  <si>
    <t>157-54185935</t>
  </si>
  <si>
    <t>157-54185773</t>
  </si>
  <si>
    <t>157-54185946</t>
  </si>
  <si>
    <t>157-54185784</t>
  </si>
  <si>
    <t>157-54185950</t>
  </si>
  <si>
    <t>157-54186053</t>
  </si>
  <si>
    <t>157-54186086</t>
  </si>
  <si>
    <t>157-54185961</t>
  </si>
  <si>
    <t>157-54185983</t>
  </si>
  <si>
    <t>157-54186145</t>
  </si>
  <si>
    <t>157-54186123</t>
  </si>
  <si>
    <t>157-54185924</t>
  </si>
  <si>
    <t>157-54185972</t>
  </si>
  <si>
    <t>157-54185751</t>
  </si>
  <si>
    <t>157-54185795</t>
  </si>
  <si>
    <t>157-54185994</t>
  </si>
  <si>
    <t>157-54186005</t>
  </si>
  <si>
    <t>157-54186016</t>
  </si>
  <si>
    <t>157-54185913</t>
  </si>
  <si>
    <t>157-54185806</t>
  </si>
  <si>
    <t>157-54186020</t>
  </si>
  <si>
    <t>157-54186031</t>
  </si>
  <si>
    <t>157-54186042</t>
  </si>
  <si>
    <t>157-54185810</t>
  </si>
  <si>
    <t>157-54185821</t>
  </si>
  <si>
    <t>157-54186075</t>
  </si>
  <si>
    <t>157-54185832</t>
  </si>
  <si>
    <t>157-54091505</t>
  </si>
  <si>
    <t>157-54091516</t>
  </si>
  <si>
    <t>157-54091472</t>
  </si>
  <si>
    <t>157-54186064</t>
  </si>
  <si>
    <t>157-54185902</t>
  </si>
  <si>
    <t>157-54186134</t>
  </si>
  <si>
    <t>157-54091483</t>
  </si>
  <si>
    <t>157-54186090</t>
  </si>
  <si>
    <t>157-54091494</t>
  </si>
  <si>
    <t>157-54186101</t>
  </si>
  <si>
    <t>157-54091520</t>
  </si>
  <si>
    <t>157-54091531</t>
  </si>
  <si>
    <t>157-54091542</t>
  </si>
  <si>
    <t>157-54185843</t>
  </si>
  <si>
    <t>157-54185854</t>
  </si>
  <si>
    <t>157-54185865</t>
  </si>
  <si>
    <t>157-54185876</t>
  </si>
  <si>
    <t>157-54091553</t>
  </si>
  <si>
    <t>157-54091564</t>
  </si>
  <si>
    <t>157-54186112</t>
  </si>
  <si>
    <t>157-54091575</t>
  </si>
  <si>
    <t>157-54091586</t>
  </si>
  <si>
    <t>157-54185880</t>
  </si>
  <si>
    <t>157-58176241</t>
  </si>
  <si>
    <t>157-58176252</t>
  </si>
  <si>
    <t>157-54185891</t>
  </si>
  <si>
    <t>157-58176263</t>
  </si>
  <si>
    <t>157-58176274</t>
  </si>
  <si>
    <t>157-58176285</t>
  </si>
  <si>
    <t>157-54187593</t>
  </si>
  <si>
    <t>157-54187442</t>
  </si>
  <si>
    <t>157-54187324</t>
  </si>
  <si>
    <t>157-54187313</t>
  </si>
  <si>
    <t>157-54187346</t>
  </si>
  <si>
    <t>157-54187335</t>
  </si>
  <si>
    <t>157-54187350</t>
  </si>
  <si>
    <t>157-54187604</t>
  </si>
  <si>
    <t>157-54187431</t>
  </si>
  <si>
    <t>157-54187291</t>
  </si>
  <si>
    <t>157-54187420</t>
  </si>
  <si>
    <t>157-54187361</t>
  </si>
  <si>
    <t>157-54091623</t>
  </si>
  <si>
    <t>157-54187453</t>
  </si>
  <si>
    <t>157-54187383</t>
  </si>
  <si>
    <t>157-54187372</t>
  </si>
  <si>
    <t>157-54091612</t>
  </si>
  <si>
    <t>157-54091601</t>
  </si>
  <si>
    <t>157-54187280</t>
  </si>
  <si>
    <t>157-54187486</t>
  </si>
  <si>
    <t>157-54091590</t>
  </si>
  <si>
    <t>157-54187405</t>
  </si>
  <si>
    <t>157-54187394</t>
  </si>
  <si>
    <t>157-54091660</t>
  </si>
  <si>
    <t>157-54091656</t>
  </si>
  <si>
    <t>157-58176160</t>
  </si>
  <si>
    <t>157-54091634</t>
  </si>
  <si>
    <t>157-54091645</t>
  </si>
  <si>
    <t>157-54187416</t>
  </si>
  <si>
    <t>157-54187302</t>
  </si>
  <si>
    <t>157-54187582</t>
  </si>
  <si>
    <t>157-54187571</t>
  </si>
  <si>
    <t>157-54187560</t>
  </si>
  <si>
    <t>157-54187556</t>
  </si>
  <si>
    <t>157-54187545</t>
  </si>
  <si>
    <t>157-54187534</t>
  </si>
  <si>
    <t>157-54187501</t>
  </si>
  <si>
    <t>157-54187490</t>
  </si>
  <si>
    <t>157-58176226</t>
  </si>
  <si>
    <t>157-58176215</t>
  </si>
  <si>
    <t>157-58176230</t>
  </si>
  <si>
    <t>157-54187523</t>
  </si>
  <si>
    <t>157-54187512</t>
  </si>
  <si>
    <t>157-54187475</t>
  </si>
  <si>
    <t>157-58176204</t>
  </si>
  <si>
    <t>157-52972161</t>
  </si>
  <si>
    <t>157-52972150</t>
  </si>
  <si>
    <t>157-58176193</t>
  </si>
  <si>
    <t>157-54187464</t>
  </si>
  <si>
    <t>157-58176182</t>
  </si>
  <si>
    <t>157-58176171</t>
  </si>
  <si>
    <t>157-54187943</t>
  </si>
  <si>
    <t>157-54187954</t>
  </si>
  <si>
    <t>157-58174686</t>
  </si>
  <si>
    <t>157-58174690</t>
  </si>
  <si>
    <t>157-58174701</t>
  </si>
  <si>
    <t>157-58174712</t>
  </si>
  <si>
    <t>157-58174723</t>
  </si>
  <si>
    <t>157-58174734</t>
  </si>
  <si>
    <t>157-58174745</t>
  </si>
  <si>
    <t>157-58174760</t>
  </si>
  <si>
    <t>157-58174771</t>
  </si>
  <si>
    <t>157-58174782</t>
  </si>
  <si>
    <t>157-58174793</t>
  </si>
  <si>
    <t>157-58174756</t>
  </si>
  <si>
    <t>157-58174804</t>
  </si>
  <si>
    <t>157-58174815</t>
  </si>
  <si>
    <t>157-58174826</t>
  </si>
  <si>
    <t>157-58174841</t>
  </si>
  <si>
    <t>157-58174830</t>
  </si>
  <si>
    <t>157-58174852</t>
  </si>
  <si>
    <t>157-58174863</t>
  </si>
  <si>
    <t>157-58174874</t>
  </si>
  <si>
    <t>157-58176510</t>
  </si>
  <si>
    <t>157-58174885</t>
  </si>
  <si>
    <t>157-58174896</t>
  </si>
  <si>
    <t>157-58174900</t>
  </si>
  <si>
    <t>157-58176532</t>
  </si>
  <si>
    <t>157-09615981</t>
  </si>
  <si>
    <t>157-09616025</t>
  </si>
  <si>
    <t>157-09615966</t>
  </si>
  <si>
    <t>157-58176506</t>
  </si>
  <si>
    <t>157-58176543</t>
  </si>
  <si>
    <t>157-58176554</t>
  </si>
  <si>
    <t>157-58176565</t>
  </si>
  <si>
    <t>157-58176576</t>
  </si>
  <si>
    <t>157-58176580</t>
  </si>
  <si>
    <t>157-58176591</t>
  </si>
  <si>
    <t>157-58176602</t>
  </si>
  <si>
    <t>157-58176613</t>
  </si>
  <si>
    <t>157-58176521</t>
  </si>
  <si>
    <t>157-58176635</t>
  </si>
  <si>
    <t>157-58176672</t>
  </si>
  <si>
    <t>157-58176646</t>
  </si>
  <si>
    <t>157-58176650</t>
  </si>
  <si>
    <t>160-13895604</t>
  </si>
  <si>
    <t>160-13895593</t>
  </si>
  <si>
    <t>160-13895615</t>
  </si>
  <si>
    <t>160-13895626</t>
  </si>
  <si>
    <t>160-13895630</t>
  </si>
  <si>
    <t>752-30211565</t>
  </si>
  <si>
    <t>752-30212092</t>
  </si>
  <si>
    <t>752-30212103</t>
  </si>
  <si>
    <t>752-30212114</t>
  </si>
  <si>
    <t>752-30212125</t>
  </si>
  <si>
    <t>752-30212136</t>
  </si>
  <si>
    <t>752-30212140</t>
  </si>
  <si>
    <t>752-30212151</t>
  </si>
  <si>
    <t>K4704</t>
  </si>
  <si>
    <t>752-30211576</t>
  </si>
  <si>
    <t>752-30212162</t>
  </si>
  <si>
    <t>752-30212173</t>
  </si>
  <si>
    <t>752-30212184</t>
  </si>
  <si>
    <t>K4242</t>
  </si>
  <si>
    <t>936-00319244</t>
  </si>
  <si>
    <t>065-49985880</t>
  </si>
  <si>
    <t>065-49985902</t>
  </si>
  <si>
    <t>065-49986381</t>
  </si>
  <si>
    <t>065-49986392</t>
  </si>
  <si>
    <t>065-49986403</t>
  </si>
  <si>
    <t>065-49985891</t>
  </si>
  <si>
    <t>160-13895652</t>
  </si>
  <si>
    <t>160-13895641</t>
  </si>
  <si>
    <t>065-49870122</t>
  </si>
  <si>
    <t>752-30212254</t>
  </si>
  <si>
    <t>752-30212232</t>
  </si>
  <si>
    <t>752-30212210</t>
  </si>
  <si>
    <t>752-30212195</t>
  </si>
  <si>
    <t>752-30212243</t>
  </si>
  <si>
    <t>752-30212206</t>
  </si>
  <si>
    <t>752-30211580</t>
  </si>
  <si>
    <t>752-30212265</t>
  </si>
  <si>
    <t>752-30212221</t>
  </si>
  <si>
    <t>SV3963</t>
  </si>
  <si>
    <t>065-49985924</t>
  </si>
  <si>
    <t>065-49985913</t>
  </si>
  <si>
    <t>065-49986425</t>
  </si>
  <si>
    <t>065-49986414</t>
  </si>
  <si>
    <t>065-49985935</t>
  </si>
  <si>
    <t>065-49986484</t>
  </si>
  <si>
    <t>065-49986473</t>
  </si>
  <si>
    <t>065-49986042</t>
  </si>
  <si>
    <t>065-49986031</t>
  </si>
  <si>
    <t>065-49986020</t>
  </si>
  <si>
    <t>065-49985983</t>
  </si>
  <si>
    <t>065-49985994</t>
  </si>
  <si>
    <t>065-49986005</t>
  </si>
  <si>
    <t>065-49986436</t>
  </si>
  <si>
    <t>065-49986440</t>
  </si>
  <si>
    <t>065-49986451</t>
  </si>
  <si>
    <t>065-49986462</t>
  </si>
  <si>
    <t>065-49986016</t>
  </si>
  <si>
    <t>157-54186366</t>
  </si>
  <si>
    <t>157-54186532</t>
  </si>
  <si>
    <t>157-54186226</t>
  </si>
  <si>
    <t>157-54186344</t>
  </si>
  <si>
    <t>157-54186333</t>
  </si>
  <si>
    <t>157-54186543</t>
  </si>
  <si>
    <t>157-54186355</t>
  </si>
  <si>
    <t>157-54186322</t>
  </si>
  <si>
    <t>157-54186311</t>
  </si>
  <si>
    <t>157-54186215</t>
  </si>
  <si>
    <t>157-54186204</t>
  </si>
  <si>
    <t>157-54186182</t>
  </si>
  <si>
    <t>157-54186171</t>
  </si>
  <si>
    <t>000-58176300</t>
  </si>
  <si>
    <t>000-58176333</t>
  </si>
  <si>
    <t>000-58176322</t>
  </si>
  <si>
    <t>000-58176311</t>
  </si>
  <si>
    <t>157-54186381</t>
  </si>
  <si>
    <t>157-54186495</t>
  </si>
  <si>
    <t>157-54186392</t>
  </si>
  <si>
    <t>157-54186370</t>
  </si>
  <si>
    <t>157-54186414</t>
  </si>
  <si>
    <t>157-54186403</t>
  </si>
  <si>
    <t>157-54186156</t>
  </si>
  <si>
    <t>157-54186160</t>
  </si>
  <si>
    <t>157-54186484</t>
  </si>
  <si>
    <t>157-54186425</t>
  </si>
  <si>
    <t>157-54186506</t>
  </si>
  <si>
    <t>157-54186436</t>
  </si>
  <si>
    <t>157-54186510</t>
  </si>
  <si>
    <t>157-54186440</t>
  </si>
  <si>
    <t>157-54186521</t>
  </si>
  <si>
    <t>157-54186451</t>
  </si>
  <si>
    <t>157-54186462</t>
  </si>
  <si>
    <t>157-54186473</t>
  </si>
  <si>
    <t>157-58176296</t>
  </si>
  <si>
    <t>157-54186241</t>
  </si>
  <si>
    <t>157-58176300</t>
  </si>
  <si>
    <t>157-54186252</t>
  </si>
  <si>
    <t>157-58176311</t>
  </si>
  <si>
    <t>157-54186263</t>
  </si>
  <si>
    <t>157-58176322</t>
  </si>
  <si>
    <t>157-58176333</t>
  </si>
  <si>
    <t>157-58176344</t>
  </si>
  <si>
    <t>157-54186274</t>
  </si>
  <si>
    <t>157-58176381</t>
  </si>
  <si>
    <t>157-58176392</t>
  </si>
  <si>
    <t>157-58176403</t>
  </si>
  <si>
    <t>157-54186300</t>
  </si>
  <si>
    <t>157-58176355</t>
  </si>
  <si>
    <t>157-58176366</t>
  </si>
  <si>
    <t>157-58176370</t>
  </si>
  <si>
    <t>157-58176440</t>
  </si>
  <si>
    <t>157-58176451</t>
  </si>
  <si>
    <t>157-54186285</t>
  </si>
  <si>
    <t>157-54186296</t>
  </si>
  <si>
    <t>157-58176414</t>
  </si>
  <si>
    <t>157-58176425</t>
  </si>
  <si>
    <t>157-58176436</t>
  </si>
  <si>
    <t>157-54186230</t>
  </si>
  <si>
    <t>157-54186193</t>
  </si>
  <si>
    <t>160-13895674</t>
  </si>
  <si>
    <t>160-13895663</t>
  </si>
  <si>
    <t>160-13895685</t>
  </si>
  <si>
    <t>160-13895700</t>
  </si>
  <si>
    <t>160-13895696</t>
  </si>
  <si>
    <t>752-30212416</t>
  </si>
  <si>
    <t>752-30212372</t>
  </si>
  <si>
    <t>752-30212350</t>
  </si>
  <si>
    <t>752-30212405</t>
  </si>
  <si>
    <t>752-30212394</t>
  </si>
  <si>
    <t>752-30212383</t>
  </si>
  <si>
    <t>752-30212361</t>
  </si>
  <si>
    <t>752-30211591</t>
  </si>
  <si>
    <t>157-58176683</t>
  </si>
  <si>
    <t>157-58176694</t>
  </si>
  <si>
    <t>157-58176624</t>
  </si>
  <si>
    <t>157-58174911</t>
  </si>
  <si>
    <t>157-58174922</t>
  </si>
  <si>
    <t>157-58174944</t>
  </si>
  <si>
    <t>157-58174955</t>
  </si>
  <si>
    <t>157-58174966</t>
  </si>
  <si>
    <t>157-58174933</t>
  </si>
  <si>
    <t>157-58174981</t>
  </si>
  <si>
    <t>157-58174992</t>
  </si>
  <si>
    <t>157-58175003</t>
  </si>
  <si>
    <t>157-58175014</t>
  </si>
  <si>
    <t>157-58174970</t>
  </si>
  <si>
    <t>157-58175106</t>
  </si>
  <si>
    <t>157-58175110</t>
  </si>
  <si>
    <t>157-58175025</t>
  </si>
  <si>
    <t>157-58175036</t>
  </si>
  <si>
    <t>157-58175040</t>
  </si>
  <si>
    <t>157-58176915</t>
  </si>
  <si>
    <t>157-58175051</t>
  </si>
  <si>
    <t>157-58175062</t>
  </si>
  <si>
    <t>157-58175121</t>
  </si>
  <si>
    <t>157-58176926</t>
  </si>
  <si>
    <t>157-58175084</t>
  </si>
  <si>
    <t>157-58175095</t>
  </si>
  <si>
    <t>157-58176860</t>
  </si>
  <si>
    <t>157-58176882</t>
  </si>
  <si>
    <t>157-58176893</t>
  </si>
  <si>
    <t>157-58176904</t>
  </si>
  <si>
    <t>157-58176845</t>
  </si>
  <si>
    <t>157-58190473</t>
  </si>
  <si>
    <t>157-58175073</t>
  </si>
  <si>
    <t>157-58176856</t>
  </si>
  <si>
    <t>157-58176930</t>
  </si>
  <si>
    <t>157-58190462</t>
  </si>
  <si>
    <t>157-58190484</t>
  </si>
  <si>
    <t>157-58190495</t>
  </si>
  <si>
    <t>157-58176871</t>
  </si>
  <si>
    <t>157-58175154</t>
  </si>
  <si>
    <t>157-58176834</t>
  </si>
  <si>
    <t>157-58176823</t>
  </si>
  <si>
    <t>157-58190543</t>
  </si>
  <si>
    <t>157-58175143</t>
  </si>
  <si>
    <t>157-58190532</t>
  </si>
  <si>
    <t>157-58175132</t>
  </si>
  <si>
    <t>157-58190510</t>
  </si>
  <si>
    <t>157-58190554</t>
  </si>
  <si>
    <t>157-54186554</t>
  </si>
  <si>
    <t>157-54186565</t>
  </si>
  <si>
    <t>157-54186576</t>
  </si>
  <si>
    <t>157-54186580</t>
  </si>
  <si>
    <t>157-54186930</t>
  </si>
  <si>
    <t>157-54186893</t>
  </si>
  <si>
    <t>157-54186801</t>
  </si>
  <si>
    <t>157-54186904</t>
  </si>
  <si>
    <t>157-54186812</t>
  </si>
  <si>
    <t>157-54186926</t>
  </si>
  <si>
    <t>157-54186742</t>
  </si>
  <si>
    <t>157-54186753</t>
  </si>
  <si>
    <t>157-54186764</t>
  </si>
  <si>
    <t>157-54186775</t>
  </si>
  <si>
    <t>157-54186790</t>
  </si>
  <si>
    <t>157-54186786</t>
  </si>
  <si>
    <t>157-54186941</t>
  </si>
  <si>
    <t>157-54186720</t>
  </si>
  <si>
    <t>157-54186731</t>
  </si>
  <si>
    <t>157-54186716</t>
  </si>
  <si>
    <t>157-54186591</t>
  </si>
  <si>
    <t>157-54186845</t>
  </si>
  <si>
    <t>157-54186856</t>
  </si>
  <si>
    <t>157-54186602</t>
  </si>
  <si>
    <t>157-54186860</t>
  </si>
  <si>
    <t>157-54186871</t>
  </si>
  <si>
    <t>157-54186613</t>
  </si>
  <si>
    <t>157-58176462</t>
  </si>
  <si>
    <t>157-54186624</t>
  </si>
  <si>
    <t>157-58176473</t>
  </si>
  <si>
    <t>157-54186834</t>
  </si>
  <si>
    <t>157-58176484</t>
  </si>
  <si>
    <t>157-54186823</t>
  </si>
  <si>
    <t>157-54186635</t>
  </si>
  <si>
    <t>157-58176495</t>
  </si>
  <si>
    <t>157-58177055</t>
  </si>
  <si>
    <t>157-58177066</t>
  </si>
  <si>
    <t>157-54186915</t>
  </si>
  <si>
    <t>157-58177070</t>
  </si>
  <si>
    <t>157-54186882</t>
  </si>
  <si>
    <t>157-58177103</t>
  </si>
  <si>
    <t>157-58177114</t>
  </si>
  <si>
    <t>157-58177125</t>
  </si>
  <si>
    <t>157-54186646</t>
  </si>
  <si>
    <t>157-58177136</t>
  </si>
  <si>
    <t>157-54186650</t>
  </si>
  <si>
    <t>157-58177140</t>
  </si>
  <si>
    <t>157-58177081</t>
  </si>
  <si>
    <t>157-58177151</t>
  </si>
  <si>
    <t>157-54186705</t>
  </si>
  <si>
    <t>157-58189950</t>
  </si>
  <si>
    <t>157-58189961</t>
  </si>
  <si>
    <t>157-58189972</t>
  </si>
  <si>
    <t>157-58189983</t>
  </si>
  <si>
    <t>157-54186661</t>
  </si>
  <si>
    <t>157-54186672</t>
  </si>
  <si>
    <t>157-54186683</t>
  </si>
  <si>
    <t>157-54186694</t>
  </si>
  <si>
    <t>157-58189913</t>
  </si>
  <si>
    <t>157-58189924</t>
  </si>
  <si>
    <t>157-58189935</t>
  </si>
  <si>
    <t>157-58189946</t>
  </si>
  <si>
    <t>157-54187626</t>
  </si>
  <si>
    <t>157-58176764</t>
  </si>
  <si>
    <t>157-54187663</t>
  </si>
  <si>
    <t>157-58176812</t>
  </si>
  <si>
    <t>157-54187652</t>
  </si>
  <si>
    <t>157-54187641</t>
  </si>
  <si>
    <t>157-58176996</t>
  </si>
  <si>
    <t>157-58176974</t>
  </si>
  <si>
    <t>157-58176985</t>
  </si>
  <si>
    <t>157-58177011</t>
  </si>
  <si>
    <t>157-54187814</t>
  </si>
  <si>
    <t>157-54187700</t>
  </si>
  <si>
    <t>157-54187696</t>
  </si>
  <si>
    <t>157-54187630</t>
  </si>
  <si>
    <t>157-54187615</t>
  </si>
  <si>
    <t>157-54187803</t>
  </si>
  <si>
    <t>157-54187884</t>
  </si>
  <si>
    <t>157-54187873</t>
  </si>
  <si>
    <t>157-54187674</t>
  </si>
  <si>
    <t>157-58176801</t>
  </si>
  <si>
    <t>157-54187685</t>
  </si>
  <si>
    <t>157-54187910</t>
  </si>
  <si>
    <t>157-54187906</t>
  </si>
  <si>
    <t>157-54187895</t>
  </si>
  <si>
    <t>157-54187862</t>
  </si>
  <si>
    <t>157-54187851</t>
  </si>
  <si>
    <t>157-54187781</t>
  </si>
  <si>
    <t>157-54187770</t>
  </si>
  <si>
    <t>157-54187711</t>
  </si>
  <si>
    <t>157-54187825</t>
  </si>
  <si>
    <t>157-54187792</t>
  </si>
  <si>
    <t>157-58176790</t>
  </si>
  <si>
    <t>157-58176786</t>
  </si>
  <si>
    <t>157-54187733</t>
  </si>
  <si>
    <t>157-54187722</t>
  </si>
  <si>
    <t>157-58177022</t>
  </si>
  <si>
    <t>157-58176963</t>
  </si>
  <si>
    <t>157-58176952</t>
  </si>
  <si>
    <t>157-58177033</t>
  </si>
  <si>
    <t>157-54187744</t>
  </si>
  <si>
    <t>157-58176941</t>
  </si>
  <si>
    <t>157-58177000</t>
  </si>
  <si>
    <t>157-58176775</t>
  </si>
  <si>
    <t>157-58190311</t>
  </si>
  <si>
    <t>157-54187755</t>
  </si>
  <si>
    <t>157-54187766</t>
  </si>
  <si>
    <t>157-58177044</t>
  </si>
  <si>
    <t>157-58190333</t>
  </si>
  <si>
    <t>157-58190322</t>
  </si>
  <si>
    <t>157-54187840</t>
  </si>
  <si>
    <t>157-54187836</t>
  </si>
  <si>
    <t>157-58176753</t>
  </si>
  <si>
    <t>157-58176731</t>
  </si>
  <si>
    <t>157-58176720</t>
  </si>
  <si>
    <t>157-58176716</t>
  </si>
  <si>
    <t>157-58176742</t>
  </si>
  <si>
    <t>157-58176705</t>
  </si>
  <si>
    <t>157-54187932</t>
  </si>
  <si>
    <t>157-54187921</t>
  </si>
  <si>
    <t>160-13895722</t>
  </si>
  <si>
    <t>160-13895711</t>
  </si>
  <si>
    <t>369-99858275</t>
  </si>
  <si>
    <t>369-99858264</t>
  </si>
  <si>
    <t>369-99858010</t>
  </si>
  <si>
    <t>369-99858006</t>
  </si>
  <si>
    <t>369-99857984</t>
  </si>
  <si>
    <t>369-99857995</t>
  </si>
  <si>
    <t>369-99858065</t>
  </si>
  <si>
    <t>369-99857962</t>
  </si>
  <si>
    <t>369-99857973</t>
  </si>
  <si>
    <t>369-99857951</t>
  </si>
  <si>
    <t>369-99857940</t>
  </si>
  <si>
    <t>369-99857936</t>
  </si>
  <si>
    <t>369-99857925</t>
  </si>
  <si>
    <t>369-99857914</t>
  </si>
  <si>
    <t>369-99857903</t>
  </si>
  <si>
    <t>369-99857892</t>
  </si>
  <si>
    <t>369-99857844</t>
  </si>
  <si>
    <t>369-99857833</t>
  </si>
  <si>
    <t>369-99857822</t>
  </si>
  <si>
    <t>369-99857811</t>
  </si>
  <si>
    <t>369-99857881</t>
  </si>
  <si>
    <t>369-99857870</t>
  </si>
  <si>
    <t>369-99857866</t>
  </si>
  <si>
    <t>369-99857855</t>
  </si>
  <si>
    <t>369-99857575</t>
  </si>
  <si>
    <t>369-99857564</t>
  </si>
  <si>
    <t>369-99857520</t>
  </si>
  <si>
    <t>(MIA)</t>
  </si>
  <si>
    <t>369-99426121</t>
  </si>
  <si>
    <t>369-99426132</t>
  </si>
  <si>
    <t>369-99430564</t>
  </si>
  <si>
    <t>369-99430575</t>
  </si>
  <si>
    <t>369-99430586</t>
  </si>
  <si>
    <t>752-30212276</t>
  </si>
  <si>
    <t>752-30212431</t>
  </si>
  <si>
    <t>752-30212442</t>
  </si>
  <si>
    <t>752-30212453</t>
  </si>
  <si>
    <t>752-30212464</t>
  </si>
  <si>
    <t>752-30212475</t>
  </si>
  <si>
    <t>752-30212490</t>
  </si>
  <si>
    <t>752-30212486</t>
  </si>
  <si>
    <t>752-30212501</t>
  </si>
  <si>
    <t>752-30212420</t>
  </si>
  <si>
    <t>AC008</t>
  </si>
  <si>
    <t>014-24474995</t>
  </si>
  <si>
    <t>065-49986160</t>
  </si>
  <si>
    <t>065-49986171</t>
  </si>
  <si>
    <t>065-49986193</t>
  </si>
  <si>
    <t>065-49986495</t>
  </si>
  <si>
    <t>065-49986510</t>
  </si>
  <si>
    <t>065-49986506</t>
  </si>
  <si>
    <t>065-49986182</t>
  </si>
  <si>
    <t>065-49986156</t>
  </si>
  <si>
    <t>065-49986521</t>
  </si>
  <si>
    <t>065-49986532</t>
  </si>
  <si>
    <t>160-13895733</t>
  </si>
  <si>
    <t>160-13895744</t>
  </si>
  <si>
    <t>235-96277204</t>
  </si>
  <si>
    <t>235-97858670</t>
  </si>
  <si>
    <t>369-99858592</t>
  </si>
  <si>
    <t>369-99858371</t>
  </si>
  <si>
    <t>369-99858360</t>
  </si>
  <si>
    <t>369-99858393</t>
  </si>
  <si>
    <t>369-99858404</t>
  </si>
  <si>
    <t>369-99858382</t>
  </si>
  <si>
    <t>369-99858415</t>
  </si>
  <si>
    <t>369-99426154</t>
  </si>
  <si>
    <t>369-99426143</t>
  </si>
  <si>
    <t>369-99858301</t>
  </si>
  <si>
    <t>369-99858345</t>
  </si>
  <si>
    <t>369-99858334</t>
  </si>
  <si>
    <t>369-99858323</t>
  </si>
  <si>
    <t>369-99858312</t>
  </si>
  <si>
    <t>369-99858356</t>
  </si>
  <si>
    <t>369-99858290</t>
  </si>
  <si>
    <t>369-99858146</t>
  </si>
  <si>
    <t>369-99858124</t>
  </si>
  <si>
    <t>369-99858135</t>
  </si>
  <si>
    <t>369-99858113</t>
  </si>
  <si>
    <t>369-99858216</t>
  </si>
  <si>
    <t>369-99858205</t>
  </si>
  <si>
    <t>369-99858161</t>
  </si>
  <si>
    <t>369-99858150</t>
  </si>
  <si>
    <t>369-99858220</t>
  </si>
  <si>
    <t>369-99858231</t>
  </si>
  <si>
    <t>369-99858253</t>
  </si>
  <si>
    <t>369-99858242</t>
  </si>
  <si>
    <t>369-99858102</t>
  </si>
  <si>
    <t>369-99858032</t>
  </si>
  <si>
    <t>369-99858021</t>
  </si>
  <si>
    <t>369-99858054</t>
  </si>
  <si>
    <t>369-99858043</t>
  </si>
  <si>
    <t>369-99858091</t>
  </si>
  <si>
    <t>369-99858080</t>
  </si>
  <si>
    <t>369-99858076</t>
  </si>
  <si>
    <t>369-99426165</t>
  </si>
  <si>
    <t>369-99858286</t>
  </si>
  <si>
    <t>369-99858172</t>
  </si>
  <si>
    <t>369-99430623</t>
  </si>
  <si>
    <t>369-99430505</t>
  </si>
  <si>
    <t>369-99430590</t>
  </si>
  <si>
    <t>752-30212534</t>
  </si>
  <si>
    <t>752-30212523</t>
  </si>
  <si>
    <t>752-30212560</t>
  </si>
  <si>
    <t>752-30212556</t>
  </si>
  <si>
    <t>752-30212280</t>
  </si>
  <si>
    <t>752-30212545</t>
  </si>
  <si>
    <t>752-30212512</t>
  </si>
  <si>
    <t>157-58209384</t>
  </si>
  <si>
    <t>157-58190635</t>
  </si>
  <si>
    <t>157-58209395</t>
  </si>
  <si>
    <t>157-58190602</t>
  </si>
  <si>
    <t>157-58190613</t>
  </si>
  <si>
    <t>157-58209406</t>
  </si>
  <si>
    <t>157-58209410</t>
  </si>
  <si>
    <t>157-58209690</t>
  </si>
  <si>
    <t>157-58209701</t>
  </si>
  <si>
    <t>157-58209421</t>
  </si>
  <si>
    <t>157-58209432</t>
  </si>
  <si>
    <t>157-58209686</t>
  </si>
  <si>
    <t>157-58209443</t>
  </si>
  <si>
    <t>157-58209454</t>
  </si>
  <si>
    <t>157-58209465</t>
  </si>
  <si>
    <t>157-58209476</t>
  </si>
  <si>
    <t>157-58209480</t>
  </si>
  <si>
    <t>157-58209491</t>
  </si>
  <si>
    <t>157-58209502</t>
  </si>
  <si>
    <t>157-58209513</t>
  </si>
  <si>
    <t>157-58209620</t>
  </si>
  <si>
    <t>157-58190624</t>
  </si>
  <si>
    <t>157-58209524</t>
  </si>
  <si>
    <t>157-58209535</t>
  </si>
  <si>
    <t>157-58190646</t>
  </si>
  <si>
    <t>157-58190650</t>
  </si>
  <si>
    <t>157-58209546</t>
  </si>
  <si>
    <t>157-58190694</t>
  </si>
  <si>
    <t>157-58190705</t>
  </si>
  <si>
    <t>157-58190716</t>
  </si>
  <si>
    <t>157-58190720</t>
  </si>
  <si>
    <t>157-58209550</t>
  </si>
  <si>
    <t>157-58209561</t>
  </si>
  <si>
    <t>157-58209572</t>
  </si>
  <si>
    <t>157-58190591</t>
  </si>
  <si>
    <t>157-58209583</t>
  </si>
  <si>
    <t>157-58209594</t>
  </si>
  <si>
    <t>157-58209605</t>
  </si>
  <si>
    <t>157-58209616</t>
  </si>
  <si>
    <t>157-58190661</t>
  </si>
  <si>
    <t>157-58190672</t>
  </si>
  <si>
    <t>157-58190683</t>
  </si>
  <si>
    <t>157-58209631</t>
  </si>
  <si>
    <t>157-58209664</t>
  </si>
  <si>
    <t>157-58209675</t>
  </si>
  <si>
    <t>157-58209642</t>
  </si>
  <si>
    <t>157-58209653</t>
  </si>
  <si>
    <t>157-58190344</t>
  </si>
  <si>
    <t>157-58190355</t>
  </si>
  <si>
    <t>157-58190366</t>
  </si>
  <si>
    <t>157-58190370</t>
  </si>
  <si>
    <t>157-58190381</t>
  </si>
  <si>
    <t>157-58190392</t>
  </si>
  <si>
    <t>157-58190403</t>
  </si>
  <si>
    <t>157-58190414</t>
  </si>
  <si>
    <t>157-58190425</t>
  </si>
  <si>
    <t>157-58190436</t>
  </si>
  <si>
    <t>157-58190440</t>
  </si>
  <si>
    <t>157-58190451</t>
  </si>
  <si>
    <t>160-13895766</t>
  </si>
  <si>
    <t>160-13895755</t>
  </si>
  <si>
    <t>TK071</t>
  </si>
  <si>
    <t>235-98168991</t>
  </si>
  <si>
    <t>235-98168980</t>
  </si>
  <si>
    <t>TK6237</t>
  </si>
  <si>
    <t>235-98168976</t>
  </si>
  <si>
    <t>235-98168965</t>
  </si>
  <si>
    <t>235-98168954</t>
  </si>
  <si>
    <t>369-99858754</t>
  </si>
  <si>
    <t>369-99858743</t>
  </si>
  <si>
    <t>369-99858732</t>
  </si>
  <si>
    <t>369-99858710</t>
  </si>
  <si>
    <t>369-99858706</t>
  </si>
  <si>
    <t>369-99858695</t>
  </si>
  <si>
    <t>369-99858673</t>
  </si>
  <si>
    <t>369-99858684</t>
  </si>
  <si>
    <t>369-99858662</t>
  </si>
  <si>
    <t>369-99858581</t>
  </si>
  <si>
    <t>369-99858570</t>
  </si>
  <si>
    <t>369-99858566</t>
  </si>
  <si>
    <t>369-99858555</t>
  </si>
  <si>
    <t>369-99858544</t>
  </si>
  <si>
    <t>369-99858533</t>
  </si>
  <si>
    <t>369-99858522</t>
  </si>
  <si>
    <t>369-99858500</t>
  </si>
  <si>
    <t>369-99858496</t>
  </si>
  <si>
    <t>369-99858485</t>
  </si>
  <si>
    <t>369-99858636</t>
  </si>
  <si>
    <t>369-99858625</t>
  </si>
  <si>
    <t>369-99858614</t>
  </si>
  <si>
    <t>369-99858603</t>
  </si>
  <si>
    <t>369-99858640</t>
  </si>
  <si>
    <t>369-99858651</t>
  </si>
  <si>
    <t>369-99858511</t>
  </si>
  <si>
    <t>369-99858474</t>
  </si>
  <si>
    <t>369-99858463</t>
  </si>
  <si>
    <t>369-99858452</t>
  </si>
  <si>
    <t>369-99858441</t>
  </si>
  <si>
    <t>369-99858430</t>
  </si>
  <si>
    <t>369-99858426</t>
  </si>
  <si>
    <t>369-99858194</t>
  </si>
  <si>
    <t>369-99858183</t>
  </si>
  <si>
    <t>369-99430601</t>
  </si>
  <si>
    <t>369-99430612</t>
  </si>
  <si>
    <t>369-99430516</t>
  </si>
  <si>
    <t>752-30212615</t>
  </si>
  <si>
    <t>752-30212593</t>
  </si>
  <si>
    <t>752-30212582</t>
  </si>
  <si>
    <t>752-30212571</t>
  </si>
  <si>
    <t>752-30212302</t>
  </si>
  <si>
    <t>752-30212604</t>
  </si>
  <si>
    <t>936-00319922</t>
  </si>
  <si>
    <t>065-49986565</t>
  </si>
  <si>
    <t>065-49986230</t>
  </si>
  <si>
    <t>065-49986554</t>
  </si>
  <si>
    <t>065-49986226</t>
  </si>
  <si>
    <t>065-49986215</t>
  </si>
  <si>
    <t>065-49986543</t>
  </si>
  <si>
    <t>157-58191276</t>
  </si>
  <si>
    <t>157-58191103</t>
  </si>
  <si>
    <t>157-58191092</t>
  </si>
  <si>
    <t>157-58190974</t>
  </si>
  <si>
    <t>157-58190963</t>
  </si>
  <si>
    <t>157-58190952</t>
  </si>
  <si>
    <t>157-58190996</t>
  </si>
  <si>
    <t>157-58191081</t>
  </si>
  <si>
    <t>157-58191291</t>
  </si>
  <si>
    <t>157-58191265</t>
  </si>
  <si>
    <t>157-58191254</t>
  </si>
  <si>
    <t>157-58190985</t>
  </si>
  <si>
    <t>157-58191125</t>
  </si>
  <si>
    <t>157-58191243</t>
  </si>
  <si>
    <t>157-58191114</t>
  </si>
  <si>
    <t>157-58190930</t>
  </si>
  <si>
    <t>157-58190926</t>
  </si>
  <si>
    <t>157-58191173</t>
  </si>
  <si>
    <t>157-58191140</t>
  </si>
  <si>
    <t>157-58190941</t>
  </si>
  <si>
    <t>157-58190915</t>
  </si>
  <si>
    <t>157-58191206</t>
  </si>
  <si>
    <t>157-58191195</t>
  </si>
  <si>
    <t>157-58191184</t>
  </si>
  <si>
    <t>157-58191162</t>
  </si>
  <si>
    <t>157-58191151</t>
  </si>
  <si>
    <t>157-58191136</t>
  </si>
  <si>
    <t>157-58191280</t>
  </si>
  <si>
    <t>157-58191302</t>
  </si>
  <si>
    <t>157-58191070</t>
  </si>
  <si>
    <t>000-58190020</t>
  </si>
  <si>
    <t>157-58191011</t>
  </si>
  <si>
    <t>157-58191022</t>
  </si>
  <si>
    <t>157-58191033</t>
  </si>
  <si>
    <t>157-58191044</t>
  </si>
  <si>
    <t>157-58191210</t>
  </si>
  <si>
    <t>157-58191055</t>
  </si>
  <si>
    <t>157-58191221</t>
  </si>
  <si>
    <t>157-58191232</t>
  </si>
  <si>
    <t>157-58191066</t>
  </si>
  <si>
    <t>157-58189994</t>
  </si>
  <si>
    <t>157-58190005</t>
  </si>
  <si>
    <t>157-58191000</t>
  </si>
  <si>
    <t>160-13895781</t>
  </si>
  <si>
    <t>160-13895770</t>
  </si>
  <si>
    <t>936-02866220</t>
  </si>
  <si>
    <t>936-02866216</t>
  </si>
  <si>
    <t>065-49986241</t>
  </si>
  <si>
    <t>065-49986252</t>
  </si>
  <si>
    <t>065-49870984</t>
  </si>
  <si>
    <t>065-49870973</t>
  </si>
  <si>
    <t>065-49986263</t>
  </si>
  <si>
    <t>157-58191313</t>
  </si>
  <si>
    <t>157-58191486</t>
  </si>
  <si>
    <t>157-58191324</t>
  </si>
  <si>
    <t>157-58191490</t>
  </si>
  <si>
    <t>157-58191501</t>
  </si>
  <si>
    <t>157-58191335</t>
  </si>
  <si>
    <t>157-58191512</t>
  </si>
  <si>
    <t>157-58191523</t>
  </si>
  <si>
    <t>157-58191346</t>
  </si>
  <si>
    <t>157-58191534</t>
  </si>
  <si>
    <t>157-58191545</t>
  </si>
  <si>
    <t>157-58191641</t>
  </si>
  <si>
    <t>157-58191571</t>
  </si>
  <si>
    <t>157-58191700</t>
  </si>
  <si>
    <t>157-58191372</t>
  </si>
  <si>
    <t>157-58191475</t>
  </si>
  <si>
    <t>157-58190016</t>
  </si>
  <si>
    <t>157-58191350</t>
  </si>
  <si>
    <t>157-58191361</t>
  </si>
  <si>
    <t>157-58191453</t>
  </si>
  <si>
    <t>157-58191556</t>
  </si>
  <si>
    <t>157-58191560</t>
  </si>
  <si>
    <t>157-58191582</t>
  </si>
  <si>
    <t>157-58191593</t>
  </si>
  <si>
    <t>157-58191464</t>
  </si>
  <si>
    <t>157-58191442</t>
  </si>
  <si>
    <t>157-58190020</t>
  </si>
  <si>
    <t>157-58190042</t>
  </si>
  <si>
    <t>157-58190053</t>
  </si>
  <si>
    <t>157-58190064</t>
  </si>
  <si>
    <t>157-58191383</t>
  </si>
  <si>
    <t>157-58191394</t>
  </si>
  <si>
    <t>157-58191405</t>
  </si>
  <si>
    <t>157-58190031</t>
  </si>
  <si>
    <t>157-58191416</t>
  </si>
  <si>
    <t>157-58190075</t>
  </si>
  <si>
    <t>157-58190086</t>
  </si>
  <si>
    <t>157-58190090</t>
  </si>
  <si>
    <t>157-58190123</t>
  </si>
  <si>
    <t>157-58191420</t>
  </si>
  <si>
    <t>157-58190101</t>
  </si>
  <si>
    <t>157-58190112</t>
  </si>
  <si>
    <t>157-58190145</t>
  </si>
  <si>
    <t>157-58191431</t>
  </si>
  <si>
    <t>157-58190134</t>
  </si>
  <si>
    <t>157-58191696</t>
  </si>
  <si>
    <t>157-58191652</t>
  </si>
  <si>
    <t>157-58191663</t>
  </si>
  <si>
    <t>157-58191674</t>
  </si>
  <si>
    <t>157-58191626</t>
  </si>
  <si>
    <t>157-58191630</t>
  </si>
  <si>
    <t>157-58191685</t>
  </si>
  <si>
    <t>157-58191615</t>
  </si>
  <si>
    <t>157-58191604</t>
  </si>
  <si>
    <t>157-58190521</t>
  </si>
  <si>
    <t>157-58190506</t>
  </si>
  <si>
    <t>157-58190565</t>
  </si>
  <si>
    <t>157-58190576</t>
  </si>
  <si>
    <t>157-58190580</t>
  </si>
  <si>
    <t>157-58210375</t>
  </si>
  <si>
    <t>157-58210386</t>
  </si>
  <si>
    <t>157-58210482</t>
  </si>
  <si>
    <t>157-58210471</t>
  </si>
  <si>
    <t>157-58210460</t>
  </si>
  <si>
    <t>157-58210456</t>
  </si>
  <si>
    <t>157-58210596</t>
  </si>
  <si>
    <t>157-58210585</t>
  </si>
  <si>
    <t>157-58210493</t>
  </si>
  <si>
    <t>157-58210552</t>
  </si>
  <si>
    <t>157-58210563</t>
  </si>
  <si>
    <t>157-58210574</t>
  </si>
  <si>
    <t>157-58210600</t>
  </si>
  <si>
    <t>157-58210902</t>
  </si>
  <si>
    <t>157-58210412</t>
  </si>
  <si>
    <t>157-58210423</t>
  </si>
  <si>
    <t>157-58210434</t>
  </si>
  <si>
    <t>157-58210445</t>
  </si>
  <si>
    <t>157-58210924</t>
  </si>
  <si>
    <t>157-58210611</t>
  </si>
  <si>
    <t>157-58210876</t>
  </si>
  <si>
    <t>157-58210891</t>
  </si>
  <si>
    <t>157-58210913</t>
  </si>
  <si>
    <t>157-58210880</t>
  </si>
  <si>
    <t>157-58210950</t>
  </si>
  <si>
    <t>157-58210961</t>
  </si>
  <si>
    <t>157-58211016</t>
  </si>
  <si>
    <t>157-58211112</t>
  </si>
  <si>
    <t>157-58211123</t>
  </si>
  <si>
    <t>157-58210972</t>
  </si>
  <si>
    <t>157-58211193</t>
  </si>
  <si>
    <t>157-58211204</t>
  </si>
  <si>
    <t>157-58211005</t>
  </si>
  <si>
    <t>157-58210983</t>
  </si>
  <si>
    <t>157-58210994</t>
  </si>
  <si>
    <t>157-58211171</t>
  </si>
  <si>
    <t>157-58211182</t>
  </si>
  <si>
    <t>157-58210504</t>
  </si>
  <si>
    <t>157-58210515</t>
  </si>
  <si>
    <t>157-58210526</t>
  </si>
  <si>
    <t>157-58210935</t>
  </si>
  <si>
    <t>157-58210946</t>
  </si>
  <si>
    <t>157-58211134</t>
  </si>
  <si>
    <t>157-58210541</t>
  </si>
  <si>
    <t>157-58210390</t>
  </si>
  <si>
    <t>157-58210401</t>
  </si>
  <si>
    <t>157-58210530</t>
  </si>
  <si>
    <t>157-58211145</t>
  </si>
  <si>
    <t>QR8475</t>
  </si>
  <si>
    <t>157-41141752</t>
  </si>
  <si>
    <t>157-41141741</t>
  </si>
  <si>
    <t>157-41141612</t>
  </si>
  <si>
    <t>157-41141601</t>
  </si>
  <si>
    <t>157-41141590</t>
  </si>
  <si>
    <t>157-41141586</t>
  </si>
  <si>
    <t>157-41141656</t>
  </si>
  <si>
    <t>157-41141645</t>
  </si>
  <si>
    <t>157-41141634</t>
  </si>
  <si>
    <t>157-41141623</t>
  </si>
  <si>
    <t>157-41141730</t>
  </si>
  <si>
    <t>157-41141726</t>
  </si>
  <si>
    <t>157-41141472</t>
  </si>
  <si>
    <t>157-41141494</t>
  </si>
  <si>
    <t>157-41141483</t>
  </si>
  <si>
    <t>157-41141461</t>
  </si>
  <si>
    <t>157-41141450</t>
  </si>
  <si>
    <t>157-41141575</t>
  </si>
  <si>
    <t>157-41141564</t>
  </si>
  <si>
    <t>157-41141553</t>
  </si>
  <si>
    <t>157-41141542</t>
  </si>
  <si>
    <t>157-41141531</t>
  </si>
  <si>
    <t>157-41141520</t>
  </si>
  <si>
    <t>157-41141505</t>
  </si>
  <si>
    <t>157-41141516</t>
  </si>
  <si>
    <t>157-41141660</t>
  </si>
  <si>
    <t>157-41141446</t>
  </si>
  <si>
    <t>157-41141704</t>
  </si>
  <si>
    <t>157-41141693</t>
  </si>
  <si>
    <t>157-41141682</t>
  </si>
  <si>
    <t>157-41141671</t>
  </si>
  <si>
    <t>157-41141833</t>
  </si>
  <si>
    <t>157-41141800</t>
  </si>
  <si>
    <t>157-41141796</t>
  </si>
  <si>
    <t>157-41141785</t>
  </si>
  <si>
    <t>157-41141774</t>
  </si>
  <si>
    <t>157-41141811</t>
  </si>
  <si>
    <t>157-41141822</t>
  </si>
  <si>
    <t>160-13895803</t>
  </si>
  <si>
    <t>160-13895792</t>
  </si>
  <si>
    <t>160-13895814</t>
  </si>
  <si>
    <t>160-13895836</t>
  </si>
  <si>
    <t>160-13895825</t>
  </si>
  <si>
    <t>752-30212313</t>
  </si>
  <si>
    <t>752-30212626</t>
  </si>
  <si>
    <t>752-30212630</t>
  </si>
  <si>
    <t>752-30212641</t>
  </si>
  <si>
    <t>752-30212652</t>
  </si>
  <si>
    <t>752-30212663</t>
  </si>
  <si>
    <t>752-30212674</t>
  </si>
  <si>
    <t>752-30212685</t>
  </si>
  <si>
    <t>752-30212700</t>
  </si>
  <si>
    <t>752-30212722</t>
  </si>
  <si>
    <t>752-30212711</t>
  </si>
  <si>
    <t>752-30212696</t>
  </si>
  <si>
    <t>752-30212324</t>
  </si>
  <si>
    <t>065-49986285</t>
  </si>
  <si>
    <t>065-49986274</t>
  </si>
  <si>
    <t>065-49985946</t>
  </si>
  <si>
    <t>065-49985876</t>
  </si>
  <si>
    <t>065-49871043</t>
  </si>
  <si>
    <t>065-49986296</t>
  </si>
  <si>
    <t>065-49986300</t>
  </si>
  <si>
    <t>065-49985950</t>
  </si>
  <si>
    <t>065-49985961</t>
  </si>
  <si>
    <t>160-13895851</t>
  </si>
  <si>
    <t>160-13895840</t>
  </si>
  <si>
    <t>CV7335</t>
  </si>
  <si>
    <t>172-04323410</t>
  </si>
  <si>
    <t>172-04323421</t>
  </si>
  <si>
    <t>172-04323432</t>
  </si>
  <si>
    <t>369-99858975</t>
  </si>
  <si>
    <t>369-99858990</t>
  </si>
  <si>
    <t>369-99858721</t>
  </si>
  <si>
    <t>369-99859056</t>
  </si>
  <si>
    <t>369-99859060</t>
  </si>
  <si>
    <t>369-99859071</t>
  </si>
  <si>
    <t>369-99859082</t>
  </si>
  <si>
    <t>369-99859093</t>
  </si>
  <si>
    <t>369-99858846</t>
  </si>
  <si>
    <t>369-99858850</t>
  </si>
  <si>
    <t>369-99858861</t>
  </si>
  <si>
    <t>369-99858872</t>
  </si>
  <si>
    <t>369-99859001</t>
  </si>
  <si>
    <t>369-99859012</t>
  </si>
  <si>
    <t>369-99859023</t>
  </si>
  <si>
    <t>369-99859034</t>
  </si>
  <si>
    <t>369-99858765</t>
  </si>
  <si>
    <t>369-99858776</t>
  </si>
  <si>
    <t>369-99858780</t>
  </si>
  <si>
    <t>369-99858791</t>
  </si>
  <si>
    <t>369-99858802</t>
  </si>
  <si>
    <t>369-99858813</t>
  </si>
  <si>
    <t>369-99858824</t>
  </si>
  <si>
    <t>369-99858835</t>
  </si>
  <si>
    <t>369-99859045</t>
  </si>
  <si>
    <t>369-99858883</t>
  </si>
  <si>
    <t>369-99858894</t>
  </si>
  <si>
    <t>369-99858905</t>
  </si>
  <si>
    <t>369-99858916</t>
  </si>
  <si>
    <t>369-99858942</t>
  </si>
  <si>
    <t>369-99858953</t>
  </si>
  <si>
    <t>369-99858964</t>
  </si>
  <si>
    <t>369-99858920</t>
  </si>
  <si>
    <t>369-99858931</t>
  </si>
  <si>
    <t>369-99859126</t>
  </si>
  <si>
    <t>369-99859130</t>
  </si>
  <si>
    <t>369-99859104</t>
  </si>
  <si>
    <t>369-99859115</t>
  </si>
  <si>
    <t>369-99858986</t>
  </si>
  <si>
    <t>369-99430634</t>
  </si>
  <si>
    <t>369-99430645</t>
  </si>
  <si>
    <t>369-99430520</t>
  </si>
  <si>
    <t>369-99430671</t>
  </si>
  <si>
    <t>369-99430531</t>
  </si>
  <si>
    <t>369-99430656</t>
  </si>
  <si>
    <t>369-99430660</t>
  </si>
  <si>
    <t>752-30212335</t>
  </si>
  <si>
    <t>752-30212895</t>
  </si>
  <si>
    <t>752-30212906</t>
  </si>
  <si>
    <t>752-30212910</t>
  </si>
  <si>
    <t>752-30212921</t>
  </si>
  <si>
    <t>752-30212932</t>
  </si>
  <si>
    <t>752-30212943</t>
  </si>
  <si>
    <t>752-30212954</t>
  </si>
  <si>
    <t>752-30212976</t>
  </si>
  <si>
    <t>752-30212965</t>
  </si>
  <si>
    <t>5C858</t>
  </si>
  <si>
    <t>752-30212291</t>
  </si>
  <si>
    <t>752-30212814</t>
  </si>
  <si>
    <t>752-30212825</t>
  </si>
  <si>
    <t>752-30212836</t>
  </si>
  <si>
    <t>752-30212840</t>
  </si>
  <si>
    <t>752-30212851</t>
  </si>
  <si>
    <t>752-30212862</t>
  </si>
  <si>
    <t>752-30212884</t>
  </si>
  <si>
    <t>752-30212873</t>
  </si>
  <si>
    <t>157-58191722</t>
  </si>
  <si>
    <t>157-58191733</t>
  </si>
  <si>
    <t>157-58191744</t>
  </si>
  <si>
    <t>157-58191836</t>
  </si>
  <si>
    <t>157-58191895</t>
  </si>
  <si>
    <t>157-58191943</t>
  </si>
  <si>
    <t>157-58191803</t>
  </si>
  <si>
    <t>157-58191814</t>
  </si>
  <si>
    <t>157-58191825</t>
  </si>
  <si>
    <t>157-58191873</t>
  </si>
  <si>
    <t>157-58208975</t>
  </si>
  <si>
    <t>157-58191921</t>
  </si>
  <si>
    <t>157-58191711</t>
  </si>
  <si>
    <t>157-58191755</t>
  </si>
  <si>
    <t>157-58191766</t>
  </si>
  <si>
    <t>157-58191770</t>
  </si>
  <si>
    <t>157-58191781</t>
  </si>
  <si>
    <t>157-58191792</t>
  </si>
  <si>
    <t>157-58191906</t>
  </si>
  <si>
    <t>157-58191840</t>
  </si>
  <si>
    <t>157-58191932</t>
  </si>
  <si>
    <t>157-58191884</t>
  </si>
  <si>
    <t>157-58191910</t>
  </si>
  <si>
    <t>157-58208931</t>
  </si>
  <si>
    <t>157-58191976</t>
  </si>
  <si>
    <t>157-58208942</t>
  </si>
  <si>
    <t>157-58191954</t>
  </si>
  <si>
    <t>157-58191965</t>
  </si>
  <si>
    <t>157-58208850</t>
  </si>
  <si>
    <t>157-58208953</t>
  </si>
  <si>
    <t>157-58208861</t>
  </si>
  <si>
    <t>157-58208916</t>
  </si>
  <si>
    <t>157-58208964</t>
  </si>
  <si>
    <t>157-58208920</t>
  </si>
  <si>
    <t>157-58208872</t>
  </si>
  <si>
    <t>157-58191851</t>
  </si>
  <si>
    <t>157-58208883</t>
  </si>
  <si>
    <t>157-58191862</t>
  </si>
  <si>
    <t>157-58208894</t>
  </si>
  <si>
    <t>157-58208905</t>
  </si>
  <si>
    <t>160-13895873</t>
  </si>
  <si>
    <t>160-13895862</t>
  </si>
  <si>
    <t>160-13895884</t>
  </si>
  <si>
    <t>160-13895895</t>
  </si>
  <si>
    <t>160-13895906</t>
  </si>
  <si>
    <t>5Y8262</t>
  </si>
  <si>
    <t>369-99859605</t>
  </si>
  <si>
    <t>369-99859690</t>
  </si>
  <si>
    <t>369-99859686</t>
  </si>
  <si>
    <t>369-99859701</t>
  </si>
  <si>
    <t>369-99859664</t>
  </si>
  <si>
    <t>369-99859675</t>
  </si>
  <si>
    <t>369-99859642</t>
  </si>
  <si>
    <t>369-99859631</t>
  </si>
  <si>
    <t>369-99859255</t>
  </si>
  <si>
    <t>369-99859233</t>
  </si>
  <si>
    <t>369-99859244</t>
  </si>
  <si>
    <t>369-99859222</t>
  </si>
  <si>
    <t>369-99859211</t>
  </si>
  <si>
    <t>369-99859200</t>
  </si>
  <si>
    <t>369-99859185</t>
  </si>
  <si>
    <t>369-99859174</t>
  </si>
  <si>
    <t>369-99859196</t>
  </si>
  <si>
    <t>369-99859163</t>
  </si>
  <si>
    <t>369-99859152</t>
  </si>
  <si>
    <t>369-99859141</t>
  </si>
  <si>
    <t>369-99859281</t>
  </si>
  <si>
    <t>369-99859270</t>
  </si>
  <si>
    <t>369-99859594</t>
  </si>
  <si>
    <t>369-99430682</t>
  </si>
  <si>
    <t>369-99430693</t>
  </si>
  <si>
    <t>369-99430704</t>
  </si>
  <si>
    <t>F57619</t>
  </si>
  <si>
    <t>752-30212346</t>
  </si>
  <si>
    <t>752-30212980</t>
  </si>
  <si>
    <t>752-30212991</t>
  </si>
  <si>
    <t>752-30213002</t>
  </si>
  <si>
    <t>752-30213013</t>
  </si>
  <si>
    <t>752-30213024</t>
  </si>
  <si>
    <t>752-30213035</t>
  </si>
  <si>
    <t>752-30213046</t>
  </si>
  <si>
    <t>065-49986355</t>
  </si>
  <si>
    <t>065-49986145</t>
  </si>
  <si>
    <t>065-49985972</t>
  </si>
  <si>
    <t>065-49986344</t>
  </si>
  <si>
    <t>065-49986366</t>
  </si>
  <si>
    <t>065-49986311</t>
  </si>
  <si>
    <t>065-49986322</t>
  </si>
  <si>
    <t>065-49986370</t>
  </si>
  <si>
    <t>157-58210622</t>
  </si>
  <si>
    <t>157-58210670</t>
  </si>
  <si>
    <t>157-58210681</t>
  </si>
  <si>
    <t>157-58210633</t>
  </si>
  <si>
    <t>157-58210655</t>
  </si>
  <si>
    <t>157-58210666</t>
  </si>
  <si>
    <t>157-58210714</t>
  </si>
  <si>
    <t>157-58210644</t>
  </si>
  <si>
    <t>157-58210692</t>
  </si>
  <si>
    <t>157-58210806</t>
  </si>
  <si>
    <t>157-58210810</t>
  </si>
  <si>
    <t>157-58210703</t>
  </si>
  <si>
    <t>157-58210762</t>
  </si>
  <si>
    <t>157-58210773</t>
  </si>
  <si>
    <t>157-58210784</t>
  </si>
  <si>
    <t>157-58210795</t>
  </si>
  <si>
    <t>157-58210725</t>
  </si>
  <si>
    <t>157-58210736</t>
  </si>
  <si>
    <t>157-58210740</t>
  </si>
  <si>
    <t>157-58210751</t>
  </si>
  <si>
    <t>157-58307395</t>
  </si>
  <si>
    <t>157-58210821</t>
  </si>
  <si>
    <t>157-58210832</t>
  </si>
  <si>
    <t>157-58211392</t>
  </si>
  <si>
    <t>157-58211436</t>
  </si>
  <si>
    <t>157-58307410</t>
  </si>
  <si>
    <t>157-58210843</t>
  </si>
  <si>
    <t>157-58211403</t>
  </si>
  <si>
    <t>157-58211414</t>
  </si>
  <si>
    <t>157-58211425</t>
  </si>
  <si>
    <t>157-58307406</t>
  </si>
  <si>
    <t>157-58307421</t>
  </si>
  <si>
    <t>157-58307432</t>
  </si>
  <si>
    <t>157-58210854</t>
  </si>
  <si>
    <t>157-58307384</t>
  </si>
  <si>
    <t>157-58307443</t>
  </si>
  <si>
    <t>157-58424155</t>
  </si>
  <si>
    <t>157-58424166</t>
  </si>
  <si>
    <t>157-58424181</t>
  </si>
  <si>
    <t>157-58424170</t>
  </si>
  <si>
    <t>157-58424192</t>
  </si>
  <si>
    <t>157-58424203</t>
  </si>
  <si>
    <t>157-58424214</t>
  </si>
  <si>
    <t>157-58307362</t>
  </si>
  <si>
    <t>157-58424225</t>
  </si>
  <si>
    <t>157-58210865</t>
  </si>
  <si>
    <t>157-58211440</t>
  </si>
  <si>
    <t>157-58307373</t>
  </si>
  <si>
    <t>157-58307351</t>
  </si>
  <si>
    <t>157-58211451</t>
  </si>
  <si>
    <t>157-58424240</t>
  </si>
  <si>
    <t>157-58424236</t>
  </si>
  <si>
    <t>157-58209152</t>
  </si>
  <si>
    <t>157-58209023</t>
  </si>
  <si>
    <t>157-58209211</t>
  </si>
  <si>
    <t>157-58209200</t>
  </si>
  <si>
    <t>157-58209196</t>
  </si>
  <si>
    <t>157-58209185</t>
  </si>
  <si>
    <t>157-58209163</t>
  </si>
  <si>
    <t>157-58209174</t>
  </si>
  <si>
    <t>157-58209222</t>
  </si>
  <si>
    <t>157-58208986</t>
  </si>
  <si>
    <t>157-58208990</t>
  </si>
  <si>
    <t>157-58209001</t>
  </si>
  <si>
    <t>157-58209012</t>
  </si>
  <si>
    <t>157-58209034</t>
  </si>
  <si>
    <t>157-58209045</t>
  </si>
  <si>
    <t>157-58209056</t>
  </si>
  <si>
    <t>157-58209362</t>
  </si>
  <si>
    <t>157-58209373</t>
  </si>
  <si>
    <t>157-58209060</t>
  </si>
  <si>
    <t>157-58209255</t>
  </si>
  <si>
    <t>157-58209266</t>
  </si>
  <si>
    <t>157-58209325</t>
  </si>
  <si>
    <t>157-58209270</t>
  </si>
  <si>
    <t>157-58209281</t>
  </si>
  <si>
    <t>157-58209292</t>
  </si>
  <si>
    <t>157-58209303</t>
  </si>
  <si>
    <t>157-58209336</t>
  </si>
  <si>
    <t>157-58209141</t>
  </si>
  <si>
    <t>157-58209233</t>
  </si>
  <si>
    <t>157-58190156</t>
  </si>
  <si>
    <t>157-58190160</t>
  </si>
  <si>
    <t>157-58190171</t>
  </si>
  <si>
    <t>157-58190182</t>
  </si>
  <si>
    <t>157-58209340</t>
  </si>
  <si>
    <t>157-58190193</t>
  </si>
  <si>
    <t>157-58209351</t>
  </si>
  <si>
    <t>157-58190230</t>
  </si>
  <si>
    <t>157-58209314</t>
  </si>
  <si>
    <t>157-58209244</t>
  </si>
  <si>
    <t>157-58190215</t>
  </si>
  <si>
    <t>157-58190226</t>
  </si>
  <si>
    <t>157-58190204</t>
  </si>
  <si>
    <t>157-58209071</t>
  </si>
  <si>
    <t>157-58190241</t>
  </si>
  <si>
    <t>157-58209082</t>
  </si>
  <si>
    <t>157-58190252</t>
  </si>
  <si>
    <t>157-58209093</t>
  </si>
  <si>
    <t>157-58190263</t>
  </si>
  <si>
    <t>157-58190274</t>
  </si>
  <si>
    <t>157-58190285</t>
  </si>
  <si>
    <t>157-58209104</t>
  </si>
  <si>
    <t>157-58190296</t>
  </si>
  <si>
    <t>157-58209130</t>
  </si>
  <si>
    <t>157-58190300</t>
  </si>
  <si>
    <t>157-58307535</t>
  </si>
  <si>
    <t>157-58209115</t>
  </si>
  <si>
    <t>157-58307546</t>
  </si>
  <si>
    <t>157-58209126</t>
  </si>
  <si>
    <t>157-58307550</t>
  </si>
  <si>
    <t>157-58307561</t>
  </si>
  <si>
    <t>157-58307572</t>
  </si>
  <si>
    <t>157-58211344</t>
  </si>
  <si>
    <t>157-58211322</t>
  </si>
  <si>
    <t>157-58210364</t>
  </si>
  <si>
    <t>157-58210121</t>
  </si>
  <si>
    <t>157-58210110</t>
  </si>
  <si>
    <t>157-58210106</t>
  </si>
  <si>
    <t>157-58210095</t>
  </si>
  <si>
    <t>157-58210084</t>
  </si>
  <si>
    <t>157-58210062</t>
  </si>
  <si>
    <t>157-58210073</t>
  </si>
  <si>
    <t>157-58211370</t>
  </si>
  <si>
    <t>157-58211381</t>
  </si>
  <si>
    <t>157-58307465</t>
  </si>
  <si>
    <t>157-58210224</t>
  </si>
  <si>
    <t>157-58307454</t>
  </si>
  <si>
    <t>157-58210132</t>
  </si>
  <si>
    <t>157-58210213</t>
  </si>
  <si>
    <t>157-58211311</t>
  </si>
  <si>
    <t>157-58211300</t>
  </si>
  <si>
    <t>157-58211296</t>
  </si>
  <si>
    <t>157-58211333</t>
  </si>
  <si>
    <t>157-58210202</t>
  </si>
  <si>
    <t>157-58211355</t>
  </si>
  <si>
    <t>157-58210261</t>
  </si>
  <si>
    <t>157-58210250</t>
  </si>
  <si>
    <t>157-58210320</t>
  </si>
  <si>
    <t>157-58210316</t>
  </si>
  <si>
    <t>157-58210305</t>
  </si>
  <si>
    <t>157-58210294</t>
  </si>
  <si>
    <t>157-58210283</t>
  </si>
  <si>
    <t>157-58210272</t>
  </si>
  <si>
    <t>157-58307491</t>
  </si>
  <si>
    <t>157-58210176</t>
  </si>
  <si>
    <t>157-58210165</t>
  </si>
  <si>
    <t>157-58307480</t>
  </si>
  <si>
    <t>157-58210154</t>
  </si>
  <si>
    <t>157-58210143</t>
  </si>
  <si>
    <t>157-58307476</t>
  </si>
  <si>
    <t>157-58210180</t>
  </si>
  <si>
    <t>157-58307502</t>
  </si>
  <si>
    <t>157-58211366</t>
  </si>
  <si>
    <t>157-58211252</t>
  </si>
  <si>
    <t>157-58211241</t>
  </si>
  <si>
    <t>157-58211230</t>
  </si>
  <si>
    <t>157-58210191</t>
  </si>
  <si>
    <t>157-58211285</t>
  </si>
  <si>
    <t>157-58307524</t>
  </si>
  <si>
    <t>157-58307513</t>
  </si>
  <si>
    <t>157-58211274</t>
  </si>
  <si>
    <t>157-58211263</t>
  </si>
  <si>
    <t>157-58210246</t>
  </si>
  <si>
    <t>157-58210235</t>
  </si>
  <si>
    <t>157-58210040</t>
  </si>
  <si>
    <t>157-58210051</t>
  </si>
  <si>
    <t>157-58211226</t>
  </si>
  <si>
    <t>157-58211215</t>
  </si>
  <si>
    <t>157-58210353</t>
  </si>
  <si>
    <t>157-58210342</t>
  </si>
  <si>
    <t>157-58210331</t>
  </si>
  <si>
    <t>160-13895921</t>
  </si>
  <si>
    <t>160-13895910</t>
  </si>
  <si>
    <t>369-99860014</t>
  </si>
  <si>
    <t>369-99860003</t>
  </si>
  <si>
    <t>369-99859992</t>
  </si>
  <si>
    <t>369-99859981</t>
  </si>
  <si>
    <t>369-99859955</t>
  </si>
  <si>
    <t>369-99859944</t>
  </si>
  <si>
    <t>369-99859970</t>
  </si>
  <si>
    <t>369-99859966</t>
  </si>
  <si>
    <t>369-99859922</t>
  </si>
  <si>
    <t>369-99859911</t>
  </si>
  <si>
    <t>369-99859900</t>
  </si>
  <si>
    <t>369-99859896</t>
  </si>
  <si>
    <t>369-99859885</t>
  </si>
  <si>
    <t>369-99859874</t>
  </si>
  <si>
    <t>369-99859863</t>
  </si>
  <si>
    <t>369-99859852</t>
  </si>
  <si>
    <t>369-99859841</t>
  </si>
  <si>
    <t>369-99859826</t>
  </si>
  <si>
    <t>369-99859815</t>
  </si>
  <si>
    <t>369-99859804</t>
  </si>
  <si>
    <t>369-99859793</t>
  </si>
  <si>
    <t>369-99859782</t>
  </si>
  <si>
    <t>369-99859760</t>
  </si>
  <si>
    <t>369-99859756</t>
  </si>
  <si>
    <t>369-99859745</t>
  </si>
  <si>
    <t>369-99859734</t>
  </si>
  <si>
    <t>369-99859266</t>
  </si>
  <si>
    <t>369-99859830</t>
  </si>
  <si>
    <t>369-99859771</t>
  </si>
  <si>
    <t>369-99426191</t>
  </si>
  <si>
    <t>369-99426180</t>
  </si>
  <si>
    <t>369-99426202</t>
  </si>
  <si>
    <t>369-99430796</t>
  </si>
  <si>
    <t>369-99430715</t>
  </si>
  <si>
    <t>369-99430785</t>
  </si>
  <si>
    <t>752-30213050</t>
  </si>
  <si>
    <t>752-30213072</t>
  </si>
  <si>
    <t>752-30213094</t>
  </si>
  <si>
    <t>752-30213105</t>
  </si>
  <si>
    <t>752-30213116</t>
  </si>
  <si>
    <t>752-30213131</t>
  </si>
  <si>
    <t>752-30213142</t>
  </si>
  <si>
    <t>065-49996424</t>
  </si>
  <si>
    <t>065-49986333</t>
  </si>
  <si>
    <t>065-49986580</t>
  </si>
  <si>
    <t>065-49986576</t>
  </si>
  <si>
    <t>065-49986602</t>
  </si>
  <si>
    <t>065-49986613</t>
  </si>
  <si>
    <t>065-49996435</t>
  </si>
  <si>
    <t>065-49986624</t>
  </si>
  <si>
    <t>065-49996446</t>
  </si>
  <si>
    <t>160-13895943</t>
  </si>
  <si>
    <t>160-13895932</t>
  </si>
  <si>
    <t>160-13895965</t>
  </si>
  <si>
    <t>160-13895954</t>
  </si>
  <si>
    <t>369-99860036</t>
  </si>
  <si>
    <t>369-99860040</t>
  </si>
  <si>
    <t>369-99860051</t>
  </si>
  <si>
    <t>369-99860062</t>
  </si>
  <si>
    <t>369-99860073</t>
  </si>
  <si>
    <t>369-99860084</t>
  </si>
  <si>
    <t>369-99860095</t>
  </si>
  <si>
    <t>369-99860246</t>
  </si>
  <si>
    <t>369-99860250</t>
  </si>
  <si>
    <t>369-99860283</t>
  </si>
  <si>
    <t>369-99860294</t>
  </si>
  <si>
    <t>369-99860316</t>
  </si>
  <si>
    <t>369-99861705</t>
  </si>
  <si>
    <t>369-99861823</t>
  </si>
  <si>
    <t>369-99861716</t>
  </si>
  <si>
    <t>369-99861720</t>
  </si>
  <si>
    <t>369-99861731</t>
  </si>
  <si>
    <t>369-99859616</t>
  </si>
  <si>
    <t>369-99859620</t>
  </si>
  <si>
    <t>369-99861893</t>
  </si>
  <si>
    <t>369-99860106</t>
  </si>
  <si>
    <t>369-99860110</t>
  </si>
  <si>
    <t>369-99860121</t>
  </si>
  <si>
    <t>369-99860132</t>
  </si>
  <si>
    <t>369-99860143</t>
  </si>
  <si>
    <t>369-99860154</t>
  </si>
  <si>
    <t>369-99860191</t>
  </si>
  <si>
    <t>369-99860202</t>
  </si>
  <si>
    <t>369-99860213</t>
  </si>
  <si>
    <t>369-99860224</t>
  </si>
  <si>
    <t>369-99860235</t>
  </si>
  <si>
    <t>369-99860261</t>
  </si>
  <si>
    <t>369-99860272</t>
  </si>
  <si>
    <t>369-99860165</t>
  </si>
  <si>
    <t>369-99860176</t>
  </si>
  <si>
    <t>369-99860180</t>
  </si>
  <si>
    <t>369-99426213</t>
  </si>
  <si>
    <t>369-99430726</t>
  </si>
  <si>
    <t>369-99430730</t>
  </si>
  <si>
    <t>369-99430800</t>
  </si>
  <si>
    <t>F57620</t>
  </si>
  <si>
    <t>752-30212744</t>
  </si>
  <si>
    <t>752-30213153</t>
  </si>
  <si>
    <t>752-30213164</t>
  </si>
  <si>
    <t>752-30213175</t>
  </si>
  <si>
    <t>752-30213201</t>
  </si>
  <si>
    <t>752-30213190</t>
  </si>
  <si>
    <t>752-30213186</t>
  </si>
  <si>
    <t>157-58422700</t>
  </si>
  <si>
    <t>157-58422873</t>
  </si>
  <si>
    <t>157-58422862</t>
  </si>
  <si>
    <t>157-58422696</t>
  </si>
  <si>
    <t>157-58422921</t>
  </si>
  <si>
    <t>157-58422910</t>
  </si>
  <si>
    <t>157-58424284</t>
  </si>
  <si>
    <t>157-58422851</t>
  </si>
  <si>
    <t>157-58422744</t>
  </si>
  <si>
    <t>157-58422685</t>
  </si>
  <si>
    <t>157-58422766</t>
  </si>
  <si>
    <t>157-58422770</t>
  </si>
  <si>
    <t>157-58424273</t>
  </si>
  <si>
    <t>157-58422755</t>
  </si>
  <si>
    <t>157-58424306</t>
  </si>
  <si>
    <t>157-58422781</t>
  </si>
  <si>
    <t>157-58422711</t>
  </si>
  <si>
    <t>157-58422722</t>
  </si>
  <si>
    <t>157-58422803</t>
  </si>
  <si>
    <t>157-58424321</t>
  </si>
  <si>
    <t>157-58424310</t>
  </si>
  <si>
    <t>157-58422884</t>
  </si>
  <si>
    <t>157-58424343</t>
  </si>
  <si>
    <t>157-58424332</t>
  </si>
  <si>
    <t>157-58422792</t>
  </si>
  <si>
    <t>157-58424295</t>
  </si>
  <si>
    <t>157-58424365</t>
  </si>
  <si>
    <t>157-58424354</t>
  </si>
  <si>
    <t>157-58422840</t>
  </si>
  <si>
    <t>157-58422814</t>
  </si>
  <si>
    <t>157-58424402</t>
  </si>
  <si>
    <t>157-58424391</t>
  </si>
  <si>
    <t>157-58424380</t>
  </si>
  <si>
    <t>157-58424376</t>
  </si>
  <si>
    <t>157-58422836</t>
  </si>
  <si>
    <t>157-58422825</t>
  </si>
  <si>
    <t>157-58424262</t>
  </si>
  <si>
    <t>157-58424251</t>
  </si>
  <si>
    <t>157-58307756</t>
  </si>
  <si>
    <t>157-58307745</t>
  </si>
  <si>
    <t>157-58307734</t>
  </si>
  <si>
    <t>157-58307723</t>
  </si>
  <si>
    <t>157-58307712</t>
  </si>
  <si>
    <t>157-58307701</t>
  </si>
  <si>
    <t>157-58422932</t>
  </si>
  <si>
    <t>157-58307690</t>
  </si>
  <si>
    <t>157-58307686</t>
  </si>
  <si>
    <t>157-58307675</t>
  </si>
  <si>
    <t>157-58307664</t>
  </si>
  <si>
    <t>157-58422980</t>
  </si>
  <si>
    <t>157-58422976</t>
  </si>
  <si>
    <t>157-58422965</t>
  </si>
  <si>
    <t>157-58422954</t>
  </si>
  <si>
    <t>157-58422943</t>
  </si>
  <si>
    <t>157-58422733</t>
  </si>
  <si>
    <t>157-58424553</t>
  </si>
  <si>
    <t>157-58424446</t>
  </si>
  <si>
    <t>157-58424435</t>
  </si>
  <si>
    <t>157-58424424</t>
  </si>
  <si>
    <t>157-58422906</t>
  </si>
  <si>
    <t>157-58422895</t>
  </si>
  <si>
    <t>157-58424413</t>
  </si>
  <si>
    <t>157-58422674</t>
  </si>
  <si>
    <t>157-58422663</t>
  </si>
  <si>
    <t>F57622</t>
  </si>
  <si>
    <t>752-30213245</t>
  </si>
  <si>
    <t>752-30213260</t>
  </si>
  <si>
    <t>752-30213212</t>
  </si>
  <si>
    <t>752-30212755</t>
  </si>
  <si>
    <t>752-30213282</t>
  </si>
  <si>
    <t>752-30213256</t>
  </si>
  <si>
    <t>752-30213234</t>
  </si>
  <si>
    <t>752-30213223</t>
  </si>
  <si>
    <t>752-30213271</t>
  </si>
  <si>
    <t>936-02294876</t>
  </si>
  <si>
    <t>936-02294865</t>
  </si>
  <si>
    <t>160-15102393</t>
  </si>
  <si>
    <t>160-15102382</t>
  </si>
  <si>
    <t>157-58308806</t>
  </si>
  <si>
    <t>157-58308946</t>
  </si>
  <si>
    <t>157-58308935</t>
  </si>
  <si>
    <t>157-58309145</t>
  </si>
  <si>
    <t>157-58308924</t>
  </si>
  <si>
    <t>157-58308821</t>
  </si>
  <si>
    <t>157-58308810</t>
  </si>
  <si>
    <t>157-58308950</t>
  </si>
  <si>
    <t>157-58308854</t>
  </si>
  <si>
    <t>157-58308843</t>
  </si>
  <si>
    <t>157-58308832</t>
  </si>
  <si>
    <t>157-58309156</t>
  </si>
  <si>
    <t>157-58309101</t>
  </si>
  <si>
    <t>157-58308961</t>
  </si>
  <si>
    <t>157-58309123</t>
  </si>
  <si>
    <t>157-58309112</t>
  </si>
  <si>
    <t>157-58308972</t>
  </si>
  <si>
    <t>157-58308762</t>
  </si>
  <si>
    <t>157-58308773</t>
  </si>
  <si>
    <t>157-58308983</t>
  </si>
  <si>
    <t>157-58308784</t>
  </si>
  <si>
    <t>157-58308994</t>
  </si>
  <si>
    <t>157-58308795</t>
  </si>
  <si>
    <t>157-58309005</t>
  </si>
  <si>
    <t>157-58309016</t>
  </si>
  <si>
    <t>157-58309134</t>
  </si>
  <si>
    <t>157-58309020</t>
  </si>
  <si>
    <t>157-58309031</t>
  </si>
  <si>
    <t>157-58309053</t>
  </si>
  <si>
    <t>157-58309042</t>
  </si>
  <si>
    <t>157-58309090</t>
  </si>
  <si>
    <t>157-58309064</t>
  </si>
  <si>
    <t>157-58308865</t>
  </si>
  <si>
    <t>157-58308876</t>
  </si>
  <si>
    <t>157-58308880</t>
  </si>
  <si>
    <t>157-58308891</t>
  </si>
  <si>
    <t>157-58309075</t>
  </si>
  <si>
    <t>157-58308902</t>
  </si>
  <si>
    <t>157-58308913</t>
  </si>
  <si>
    <t>752-30213330</t>
  </si>
  <si>
    <t>752-30213374</t>
  </si>
  <si>
    <t>752-30213363</t>
  </si>
  <si>
    <t>752-30213341</t>
  </si>
  <si>
    <t>752-30213326</t>
  </si>
  <si>
    <t>752-30213315</t>
  </si>
  <si>
    <t>752-30213304</t>
  </si>
  <si>
    <t>752-30213293</t>
  </si>
  <si>
    <t>752-30212766</t>
  </si>
  <si>
    <t>752-30213352</t>
  </si>
  <si>
    <t>936-00320460</t>
  </si>
  <si>
    <t>065-49996461</t>
  </si>
  <si>
    <t>065-49996450</t>
  </si>
  <si>
    <t>065-49986661</t>
  </si>
  <si>
    <t>065-49986650</t>
  </si>
  <si>
    <t>065-49986672</t>
  </si>
  <si>
    <t>065-49986694</t>
  </si>
  <si>
    <t>065-49996483</t>
  </si>
  <si>
    <t>065-49986683</t>
  </si>
  <si>
    <t>065-49996472</t>
  </si>
  <si>
    <t>065-49996715</t>
  </si>
  <si>
    <t>065-49996704</t>
  </si>
  <si>
    <t>065-49986731</t>
  </si>
  <si>
    <t>065-49986720</t>
  </si>
  <si>
    <t>065-49986716</t>
  </si>
  <si>
    <t>157-58309370</t>
  </si>
  <si>
    <t>157-58309381</t>
  </si>
  <si>
    <t>157-58309344</t>
  </si>
  <si>
    <t>157-58309366</t>
  </si>
  <si>
    <t>157-58309355</t>
  </si>
  <si>
    <t>157-58309333</t>
  </si>
  <si>
    <t>157-58309215</t>
  </si>
  <si>
    <t>157-58309204</t>
  </si>
  <si>
    <t>157-58309554</t>
  </si>
  <si>
    <t>157-58309425</t>
  </si>
  <si>
    <t>157-58309414</t>
  </si>
  <si>
    <t>157-58309230</t>
  </si>
  <si>
    <t>157-58309241</t>
  </si>
  <si>
    <t>157-58309495</t>
  </si>
  <si>
    <t>157-58309182</t>
  </si>
  <si>
    <t>157-58307583</t>
  </si>
  <si>
    <t>157-58309462</t>
  </si>
  <si>
    <t>157-58309171</t>
  </si>
  <si>
    <t>157-58309484</t>
  </si>
  <si>
    <t>157-58309473</t>
  </si>
  <si>
    <t>157-58309193</t>
  </si>
  <si>
    <t>157-58307594</t>
  </si>
  <si>
    <t>157-58309451</t>
  </si>
  <si>
    <t>157-58309440</t>
  </si>
  <si>
    <t>157-58309436</t>
  </si>
  <si>
    <t>157-58309160</t>
  </si>
  <si>
    <t>157-58309403</t>
  </si>
  <si>
    <t>157-58309392</t>
  </si>
  <si>
    <t>157-58309226</t>
  </si>
  <si>
    <t>157-58309322</t>
  </si>
  <si>
    <t>157-58309543</t>
  </si>
  <si>
    <t>157-58309506</t>
  </si>
  <si>
    <t>157-58309510</t>
  </si>
  <si>
    <t>157-58309532</t>
  </si>
  <si>
    <t>157-58307620</t>
  </si>
  <si>
    <t>157-58307605</t>
  </si>
  <si>
    <t>157-58307616</t>
  </si>
  <si>
    <t>157-58309252</t>
  </si>
  <si>
    <t>157-58309263</t>
  </si>
  <si>
    <t>157-58307631</t>
  </si>
  <si>
    <t>157-58309274</t>
  </si>
  <si>
    <t>157-58309285</t>
  </si>
  <si>
    <t>157-58309296</t>
  </si>
  <si>
    <t>157-58307642</t>
  </si>
  <si>
    <t>157-58309300</t>
  </si>
  <si>
    <t>157-58309311</t>
  </si>
  <si>
    <t>157-58307653</t>
  </si>
  <si>
    <t>157-47738611</t>
  </si>
  <si>
    <t>157-58309521</t>
  </si>
  <si>
    <t>157-58424542</t>
  </si>
  <si>
    <t>157-58424520</t>
  </si>
  <si>
    <t>157-58424586</t>
  </si>
  <si>
    <t>157-58424531</t>
  </si>
  <si>
    <t>157-58424590</t>
  </si>
  <si>
    <t>157-58424612</t>
  </si>
  <si>
    <t>157-58424634</t>
  </si>
  <si>
    <t>157-58424645</t>
  </si>
  <si>
    <t>157-58424601</t>
  </si>
  <si>
    <t>157-47738460</t>
  </si>
  <si>
    <t>157-47738434</t>
  </si>
  <si>
    <t>157-47738445</t>
  </si>
  <si>
    <t>157-47738456</t>
  </si>
  <si>
    <t>157-58423680</t>
  </si>
  <si>
    <t>157-58423665</t>
  </si>
  <si>
    <t>157-58423654</t>
  </si>
  <si>
    <t>157-58423676</t>
  </si>
  <si>
    <t>157-58424516</t>
  </si>
  <si>
    <t>157-58424505</t>
  </si>
  <si>
    <t>157-58424494</t>
  </si>
  <si>
    <t>157-58424483</t>
  </si>
  <si>
    <t>157-58423750</t>
  </si>
  <si>
    <t>157-58423746</t>
  </si>
  <si>
    <t>157-58423735</t>
  </si>
  <si>
    <t>157-58423713</t>
  </si>
  <si>
    <t>157-58423724</t>
  </si>
  <si>
    <t>157-58424472</t>
  </si>
  <si>
    <t>157-58423761</t>
  </si>
  <si>
    <t>157-58424461</t>
  </si>
  <si>
    <t>157-58424450</t>
  </si>
  <si>
    <t>157-58424623</t>
  </si>
  <si>
    <t>157-58423691</t>
  </si>
  <si>
    <t>157-58423702</t>
  </si>
  <si>
    <t>157-58423783</t>
  </si>
  <si>
    <t>157-58423772</t>
  </si>
  <si>
    <t>157-58423875</t>
  </si>
  <si>
    <t>157-58423794</t>
  </si>
  <si>
    <t>157-58423864</t>
  </si>
  <si>
    <t>157-47738504</t>
  </si>
  <si>
    <t>157-47738482</t>
  </si>
  <si>
    <t>157-47738471</t>
  </si>
  <si>
    <t>157-47738950</t>
  </si>
  <si>
    <t>157-47738493</t>
  </si>
  <si>
    <t>157-47738515</t>
  </si>
  <si>
    <t>157-47738526</t>
  </si>
  <si>
    <t>157-47738530</t>
  </si>
  <si>
    <t>157-58423805</t>
  </si>
  <si>
    <t>157-58423853</t>
  </si>
  <si>
    <t>157-58423886</t>
  </si>
  <si>
    <t>157-58423890</t>
  </si>
  <si>
    <t>160-15102441</t>
  </si>
  <si>
    <t>160-15102430</t>
  </si>
  <si>
    <t>752-30213444</t>
  </si>
  <si>
    <t>752-30213433</t>
  </si>
  <si>
    <t>752-30213411</t>
  </si>
  <si>
    <t>752-30213422</t>
  </si>
  <si>
    <t>752-30213400</t>
  </si>
  <si>
    <t>752-30213396</t>
  </si>
  <si>
    <t>752-30213385</t>
  </si>
  <si>
    <t>752-30212770</t>
  </si>
  <si>
    <t>752-30212781</t>
  </si>
  <si>
    <t>752-30213455</t>
  </si>
  <si>
    <t>752-30213466</t>
  </si>
  <si>
    <t>752-30213470</t>
  </si>
  <si>
    <t>933-34944431</t>
  </si>
  <si>
    <t>160-15102463</t>
  </si>
  <si>
    <t>160-15102452</t>
  </si>
  <si>
    <t>752-30213584</t>
  </si>
  <si>
    <t>752-30212792</t>
  </si>
  <si>
    <t>752-30213540</t>
  </si>
  <si>
    <t>752-30213562</t>
  </si>
  <si>
    <t>752-30213573</t>
  </si>
  <si>
    <t>752-30213606</t>
  </si>
  <si>
    <t>752-30213610</t>
  </si>
  <si>
    <t>752-30213621</t>
  </si>
  <si>
    <t>752-30213551</t>
  </si>
  <si>
    <t>752-30213595</t>
  </si>
  <si>
    <t>157-58309742</t>
  </si>
  <si>
    <t>157-58309941</t>
  </si>
  <si>
    <t>157-58309731</t>
  </si>
  <si>
    <t>157-58309720</t>
  </si>
  <si>
    <t>157-58309624</t>
  </si>
  <si>
    <t>157-58309613</t>
  </si>
  <si>
    <t>157-58309602</t>
  </si>
  <si>
    <t>157-58309904</t>
  </si>
  <si>
    <t>157-58309764</t>
  </si>
  <si>
    <t>157-58309635</t>
  </si>
  <si>
    <t>157-58309786</t>
  </si>
  <si>
    <t>157-58309775</t>
  </si>
  <si>
    <t>157-58309646</t>
  </si>
  <si>
    <t>157-58309790</t>
  </si>
  <si>
    <t>157-58309801</t>
  </si>
  <si>
    <t>157-58309812</t>
  </si>
  <si>
    <t>157-58309952</t>
  </si>
  <si>
    <t>157-58309753</t>
  </si>
  <si>
    <t>157-58309565</t>
  </si>
  <si>
    <t>157-58309823</t>
  </si>
  <si>
    <t>157-58309834</t>
  </si>
  <si>
    <t>157-58309576</t>
  </si>
  <si>
    <t>157-58309683</t>
  </si>
  <si>
    <t>157-58309694</t>
  </si>
  <si>
    <t>157-58309705</t>
  </si>
  <si>
    <t>111-47738655</t>
  </si>
  <si>
    <t>111-47738633</t>
  </si>
  <si>
    <t>111-47738622</t>
  </si>
  <si>
    <t>157-58309580</t>
  </si>
  <si>
    <t>157-58309845</t>
  </si>
  <si>
    <t>157-58309591</t>
  </si>
  <si>
    <t>157-58309856</t>
  </si>
  <si>
    <t>157-58309930</t>
  </si>
  <si>
    <t>157-58309860</t>
  </si>
  <si>
    <t>157-58309893</t>
  </si>
  <si>
    <t>157-58309650</t>
  </si>
  <si>
    <t>157-58309661</t>
  </si>
  <si>
    <t>157-58309672</t>
  </si>
  <si>
    <t>157-58309871</t>
  </si>
  <si>
    <t>157-58309882</t>
  </si>
  <si>
    <t>157-58309716</t>
  </si>
  <si>
    <t>157-47738655</t>
  </si>
  <si>
    <t>157-47738666</t>
  </si>
  <si>
    <t>157-47738670</t>
  </si>
  <si>
    <t>157-58309915</t>
  </si>
  <si>
    <t>157-47738633</t>
  </si>
  <si>
    <t>157-58309926</t>
  </si>
  <si>
    <t>157-47738622</t>
  </si>
  <si>
    <t>160-15102485</t>
  </si>
  <si>
    <t>160-15102474</t>
  </si>
  <si>
    <t>160-15102496</t>
  </si>
  <si>
    <t>160-15102500</t>
  </si>
  <si>
    <t>160-15102511</t>
  </si>
  <si>
    <t>752-30212803</t>
  </si>
  <si>
    <t>752-30213665</t>
  </si>
  <si>
    <t>752-30213676</t>
  </si>
  <si>
    <t>752-30213680</t>
  </si>
  <si>
    <t>752-30213702</t>
  </si>
  <si>
    <t>752-30213654</t>
  </si>
  <si>
    <t>752-30213691</t>
  </si>
  <si>
    <t>752-30213713</t>
  </si>
  <si>
    <t>752-30213724</t>
  </si>
  <si>
    <t>014-24475065</t>
  </si>
  <si>
    <t>065-49986764</t>
  </si>
  <si>
    <t>065-49996726</t>
  </si>
  <si>
    <t>065-49986775</t>
  </si>
  <si>
    <t>065-49996730</t>
  </si>
  <si>
    <t>065-49986786</t>
  </si>
  <si>
    <t>065-49996741</t>
  </si>
  <si>
    <t>065-49986790</t>
  </si>
  <si>
    <t>065-49996752</t>
  </si>
  <si>
    <t>065-49996763</t>
  </si>
  <si>
    <t>065-49996774</t>
  </si>
  <si>
    <t>065-49986801</t>
  </si>
  <si>
    <t>157-58424052</t>
  </si>
  <si>
    <t>157-58424041</t>
  </si>
  <si>
    <t>157-58424063</t>
  </si>
  <si>
    <t>157-58424030</t>
  </si>
  <si>
    <t>157-58424026</t>
  </si>
  <si>
    <t>157-58424074</t>
  </si>
  <si>
    <t>157-58424085</t>
  </si>
  <si>
    <t>157-58424100</t>
  </si>
  <si>
    <t>157-58424111</t>
  </si>
  <si>
    <t>157-58424122</t>
  </si>
  <si>
    <t>157-58424133</t>
  </si>
  <si>
    <t>157-47738961</t>
  </si>
  <si>
    <t>157-47738972</t>
  </si>
  <si>
    <t>157-47738983</t>
  </si>
  <si>
    <t>157-47738994</t>
  </si>
  <si>
    <t>157-47739005</t>
  </si>
  <si>
    <t>157-47739016</t>
  </si>
  <si>
    <t>157-47739020</t>
  </si>
  <si>
    <t>157-58423816</t>
  </si>
  <si>
    <t>157-58423831</t>
  </si>
  <si>
    <t>157-58423820</t>
  </si>
  <si>
    <t>157-58423960</t>
  </si>
  <si>
    <t>157-58423923</t>
  </si>
  <si>
    <t>157-58423934</t>
  </si>
  <si>
    <t>157-58423945</t>
  </si>
  <si>
    <t>157-58423982</t>
  </si>
  <si>
    <t>157-58423993</t>
  </si>
  <si>
    <t>157-58424004</t>
  </si>
  <si>
    <t>157-58423971</t>
  </si>
  <si>
    <t>157-58423912</t>
  </si>
  <si>
    <t>157-58424015</t>
  </si>
  <si>
    <t>157-58423956</t>
  </si>
  <si>
    <t>157-47739263</t>
  </si>
  <si>
    <t>157-58423842</t>
  </si>
  <si>
    <t>157-47739274</t>
  </si>
  <si>
    <t>157-47739226</t>
  </si>
  <si>
    <t>157-58424096</t>
  </si>
  <si>
    <t>157-58424144</t>
  </si>
  <si>
    <t>157-47739300</t>
  </si>
  <si>
    <t>157-47739285</t>
  </si>
  <si>
    <t>157-47739311</t>
  </si>
  <si>
    <t>157-47739333</t>
  </si>
  <si>
    <t>157-47739322</t>
  </si>
  <si>
    <t>157-47739296</t>
  </si>
  <si>
    <t>157-47739252</t>
  </si>
  <si>
    <t>157-48208090</t>
  </si>
  <si>
    <t>157-48208101</t>
  </si>
  <si>
    <t>157-48208112</t>
  </si>
  <si>
    <t>157-48255782</t>
  </si>
  <si>
    <t>157-48255793</t>
  </si>
  <si>
    <t>157-48255804</t>
  </si>
  <si>
    <t>157-48255815</t>
  </si>
  <si>
    <t>157-48255826</t>
  </si>
  <si>
    <t>157-48256036</t>
  </si>
  <si>
    <t>157-48256040</t>
  </si>
  <si>
    <t>157-48255830</t>
  </si>
  <si>
    <t>157-48256025</t>
  </si>
  <si>
    <t>157-48256051</t>
  </si>
  <si>
    <t>157-48256062</t>
  </si>
  <si>
    <t>157-58310022</t>
  </si>
  <si>
    <t>157-58310011</t>
  </si>
  <si>
    <t>157-58310195</t>
  </si>
  <si>
    <t>157-58310184</t>
  </si>
  <si>
    <t>157-58310173</t>
  </si>
  <si>
    <t>157-58310151</t>
  </si>
  <si>
    <t>157-58310162</t>
  </si>
  <si>
    <t>157-58310140</t>
  </si>
  <si>
    <t>157-58310000</t>
  </si>
  <si>
    <t>157-58310136</t>
  </si>
  <si>
    <t>157-58310206</t>
  </si>
  <si>
    <t>157-58310044</t>
  </si>
  <si>
    <t>157-58422641</t>
  </si>
  <si>
    <t>157-58310276</t>
  </si>
  <si>
    <t>157-58310302</t>
  </si>
  <si>
    <t>157-58310210</t>
  </si>
  <si>
    <t>157-58310313</t>
  </si>
  <si>
    <t>157-58310221</t>
  </si>
  <si>
    <t>157-58310324</t>
  </si>
  <si>
    <t>157-58310243</t>
  </si>
  <si>
    <t>157-58422652</t>
  </si>
  <si>
    <t>157-58310232</t>
  </si>
  <si>
    <t>157-58310125</t>
  </si>
  <si>
    <t>157-58310033</t>
  </si>
  <si>
    <t>157-58309963</t>
  </si>
  <si>
    <t>157-58309974</t>
  </si>
  <si>
    <t>157-58310254</t>
  </si>
  <si>
    <t>157-58309985</t>
  </si>
  <si>
    <t>157-58310265</t>
  </si>
  <si>
    <t>157-47738692</t>
  </si>
  <si>
    <t>157-58309996</t>
  </si>
  <si>
    <t>157-58310280</t>
  </si>
  <si>
    <t>157-47738681</t>
  </si>
  <si>
    <t>157-58310335</t>
  </si>
  <si>
    <t>157-47738703</t>
  </si>
  <si>
    <t>157-47738714</t>
  </si>
  <si>
    <t>157-47738725</t>
  </si>
  <si>
    <t>157-58310055</t>
  </si>
  <si>
    <t>157-47738740</t>
  </si>
  <si>
    <t>157-47738751</t>
  </si>
  <si>
    <t>157-47738762</t>
  </si>
  <si>
    <t>157-58310291</t>
  </si>
  <si>
    <t>157-58310066</t>
  </si>
  <si>
    <t>157-58310070</t>
  </si>
  <si>
    <t>157-58310081</t>
  </si>
  <si>
    <t>157-58310092</t>
  </si>
  <si>
    <t>157-47738736</t>
  </si>
  <si>
    <t>157-47738773</t>
  </si>
  <si>
    <t>157-58310103</t>
  </si>
  <si>
    <t>157-47738784</t>
  </si>
  <si>
    <t>157-47738795</t>
  </si>
  <si>
    <t>157-47738806</t>
  </si>
  <si>
    <t>157-47738810</t>
  </si>
  <si>
    <t>157-47738821</t>
  </si>
  <si>
    <t>157-58310114</t>
  </si>
  <si>
    <t>157-58423433</t>
  </si>
  <si>
    <t>157-47739193</t>
  </si>
  <si>
    <t>157-58423455</t>
  </si>
  <si>
    <t>157-47739182</t>
  </si>
  <si>
    <t>157-47739171</t>
  </si>
  <si>
    <t>157-47739134</t>
  </si>
  <si>
    <t>157-58423422</t>
  </si>
  <si>
    <t>157-58423341</t>
  </si>
  <si>
    <t>157-58423352</t>
  </si>
  <si>
    <t>157-58423411</t>
  </si>
  <si>
    <t>157-58423400</t>
  </si>
  <si>
    <t>157-58423330</t>
  </si>
  <si>
    <t>157-58423584</t>
  </si>
  <si>
    <t>157-58423536</t>
  </si>
  <si>
    <t>157-58423385</t>
  </si>
  <si>
    <t>157-58423374</t>
  </si>
  <si>
    <t>157-58423363</t>
  </si>
  <si>
    <t>157-58423621</t>
  </si>
  <si>
    <t>157-58423610</t>
  </si>
  <si>
    <t>157-58423606</t>
  </si>
  <si>
    <t>157-47739031</t>
  </si>
  <si>
    <t>157-58423632</t>
  </si>
  <si>
    <t>157-58423643</t>
  </si>
  <si>
    <t>157-58423481</t>
  </si>
  <si>
    <t>157-48207961</t>
  </si>
  <si>
    <t>157-47739215</t>
  </si>
  <si>
    <t>157-47739204</t>
  </si>
  <si>
    <t>157-58423540</t>
  </si>
  <si>
    <t>157-47739156</t>
  </si>
  <si>
    <t>157-58423551</t>
  </si>
  <si>
    <t>157-58423466</t>
  </si>
  <si>
    <t>157-58423470</t>
  </si>
  <si>
    <t>157-48207972</t>
  </si>
  <si>
    <t>157-47739160</t>
  </si>
  <si>
    <t>157-58423595</t>
  </si>
  <si>
    <t>157-48208042</t>
  </si>
  <si>
    <t>157-58423503</t>
  </si>
  <si>
    <t>157-58423492</t>
  </si>
  <si>
    <t>157-48256681</t>
  </si>
  <si>
    <t>157-58423525</t>
  </si>
  <si>
    <t>157-58423514</t>
  </si>
  <si>
    <t>157-48256666</t>
  </si>
  <si>
    <t>157-48256655</t>
  </si>
  <si>
    <t>157-48256644</t>
  </si>
  <si>
    <t>157-48208031</t>
  </si>
  <si>
    <t>157-58423444</t>
  </si>
  <si>
    <t>157-58423396</t>
  </si>
  <si>
    <t>157-47739112</t>
  </si>
  <si>
    <t>157-47739064</t>
  </si>
  <si>
    <t>157-47739101</t>
  </si>
  <si>
    <t>157-47739090</t>
  </si>
  <si>
    <t>157-47739086</t>
  </si>
  <si>
    <t>157-47739075</t>
  </si>
  <si>
    <t>157-47739053</t>
  </si>
  <si>
    <t>157-47739042</t>
  </si>
  <si>
    <t>157-48208053</t>
  </si>
  <si>
    <t>157-58423573</t>
  </si>
  <si>
    <t>157-58423326</t>
  </si>
  <si>
    <t>157-48256670</t>
  </si>
  <si>
    <t>157-48208075</t>
  </si>
  <si>
    <t>157-48208064</t>
  </si>
  <si>
    <t>157-58423562</t>
  </si>
  <si>
    <t>235-98374872</t>
  </si>
  <si>
    <t>235-97855306</t>
  </si>
  <si>
    <t>752-30213772</t>
  </si>
  <si>
    <t>752-30213746</t>
  </si>
  <si>
    <t>752-30213816</t>
  </si>
  <si>
    <t>752-30213805</t>
  </si>
  <si>
    <t>752-30213794</t>
  </si>
  <si>
    <t>752-30213783</t>
  </si>
  <si>
    <t>752-30213761</t>
  </si>
  <si>
    <t>752-30213735</t>
  </si>
  <si>
    <t>752-30213481</t>
  </si>
  <si>
    <t>160-15102555</t>
  </si>
  <si>
    <t>160-15102544</t>
  </si>
  <si>
    <t>752-30213864</t>
  </si>
  <si>
    <t>752-30213831</t>
  </si>
  <si>
    <t>752-30213492</t>
  </si>
  <si>
    <t>752-30213886</t>
  </si>
  <si>
    <t>752-30213820</t>
  </si>
  <si>
    <t>752-30213901</t>
  </si>
  <si>
    <t>752-30213890</t>
  </si>
  <si>
    <t>752-30213875</t>
  </si>
  <si>
    <t>SV975</t>
  </si>
  <si>
    <t>065-49996516</t>
  </si>
  <si>
    <t>065-49996520</t>
  </si>
  <si>
    <t>065-49996531</t>
  </si>
  <si>
    <t>065-49996785</t>
  </si>
  <si>
    <t>065-49996542</t>
  </si>
  <si>
    <t>065-49996494</t>
  </si>
  <si>
    <t>065-49996796</t>
  </si>
  <si>
    <t>065-49996800</t>
  </si>
  <si>
    <t>065-49996505</t>
  </si>
  <si>
    <t>065-49996811</t>
  </si>
  <si>
    <t>065-49996822</t>
  </si>
  <si>
    <t>065-49996833</t>
  </si>
  <si>
    <t>157-48206023</t>
  </si>
  <si>
    <t>157-48205953</t>
  </si>
  <si>
    <t>157-48205942</t>
  </si>
  <si>
    <t>157-48205931</t>
  </si>
  <si>
    <t>157-48205765</t>
  </si>
  <si>
    <t>157-48205732</t>
  </si>
  <si>
    <t>157-48255981</t>
  </si>
  <si>
    <t>157-48205835</t>
  </si>
  <si>
    <t>157-48205802</t>
  </si>
  <si>
    <t>157-48256014</t>
  </si>
  <si>
    <t>157-48256003</t>
  </si>
  <si>
    <t>157-48255992</t>
  </si>
  <si>
    <t>157-48255970</t>
  </si>
  <si>
    <t>157-48205754</t>
  </si>
  <si>
    <t>157-48205824</t>
  </si>
  <si>
    <t>157-48255944</t>
  </si>
  <si>
    <t>157-48206034</t>
  </si>
  <si>
    <t>157-48206045</t>
  </si>
  <si>
    <t>157-48205920</t>
  </si>
  <si>
    <t>157-48205743</t>
  </si>
  <si>
    <t>157-48205776</t>
  </si>
  <si>
    <t>157-48205780</t>
  </si>
  <si>
    <t>157-48205791</t>
  </si>
  <si>
    <t>157-48205872</t>
  </si>
  <si>
    <t>157-48205916</t>
  </si>
  <si>
    <t>157-48205850</t>
  </si>
  <si>
    <t>157-48208086</t>
  </si>
  <si>
    <t>157-48205861</t>
  </si>
  <si>
    <t>157-48205846</t>
  </si>
  <si>
    <t>157-48205813</t>
  </si>
  <si>
    <t>157-48255896</t>
  </si>
  <si>
    <t>157-48255885</t>
  </si>
  <si>
    <t>157-48255874</t>
  </si>
  <si>
    <t>157-48255863</t>
  </si>
  <si>
    <t>157-48255852</t>
  </si>
  <si>
    <t>157-48206012</t>
  </si>
  <si>
    <t>157-48206001</t>
  </si>
  <si>
    <t>157-48205990</t>
  </si>
  <si>
    <t>157-48205986</t>
  </si>
  <si>
    <t>157-48256106</t>
  </si>
  <si>
    <t>157-48256095</t>
  </si>
  <si>
    <t>157-48205905</t>
  </si>
  <si>
    <t>157-48205894</t>
  </si>
  <si>
    <t>157-48205883</t>
  </si>
  <si>
    <t>157-48256121</t>
  </si>
  <si>
    <t>157-48256110</t>
  </si>
  <si>
    <t>157-48205964</t>
  </si>
  <si>
    <t>157-48256132</t>
  </si>
  <si>
    <t>157-48205975</t>
  </si>
  <si>
    <t>157-48205721</t>
  </si>
  <si>
    <t>157-48255966</t>
  </si>
  <si>
    <t>157-48255955</t>
  </si>
  <si>
    <t>157-48255933</t>
  </si>
  <si>
    <t>157-48255922</t>
  </si>
  <si>
    <t>157-48255911</t>
  </si>
  <si>
    <t>157-48255900</t>
  </si>
  <si>
    <t>157-48255841</t>
  </si>
  <si>
    <t>160-15102570</t>
  </si>
  <si>
    <t>160-15102566</t>
  </si>
  <si>
    <t>235-96277753</t>
  </si>
  <si>
    <t>235-96277742</t>
  </si>
  <si>
    <t>235-96295706</t>
  </si>
  <si>
    <t>235-96295684</t>
  </si>
  <si>
    <t>235-98375045</t>
  </si>
  <si>
    <t>752-30213982</t>
  </si>
  <si>
    <t>752-30213971</t>
  </si>
  <si>
    <t>752-30213960</t>
  </si>
  <si>
    <t>752-30213956</t>
  </si>
  <si>
    <t>752-30213945</t>
  </si>
  <si>
    <t>752-30213934</t>
  </si>
  <si>
    <t>752-30213923</t>
  </si>
  <si>
    <t>752-30213503</t>
  </si>
  <si>
    <t>752-30213912</t>
  </si>
  <si>
    <t>936-00321171</t>
  </si>
  <si>
    <t>936-00321160</t>
  </si>
  <si>
    <t>157-47740195</t>
  </si>
  <si>
    <t>157-47739871</t>
  </si>
  <si>
    <t>157-47739860</t>
  </si>
  <si>
    <t>157-47739856</t>
  </si>
  <si>
    <t>157-47740022</t>
  </si>
  <si>
    <t>157-47740011</t>
  </si>
  <si>
    <t>157-47739952</t>
  </si>
  <si>
    <t>157-47739941</t>
  </si>
  <si>
    <t>157-47739930</t>
  </si>
  <si>
    <t>157-47739926</t>
  </si>
  <si>
    <t>157-47739915</t>
  </si>
  <si>
    <t>157-47739893</t>
  </si>
  <si>
    <t>157-47739904</t>
  </si>
  <si>
    <t>157-47740044</t>
  </si>
  <si>
    <t>157-47740033</t>
  </si>
  <si>
    <t>157-47740103</t>
  </si>
  <si>
    <t>157-47740114</t>
  </si>
  <si>
    <t>157-47740206</t>
  </si>
  <si>
    <t>157-47740125</t>
  </si>
  <si>
    <t>157-47740243</t>
  </si>
  <si>
    <t>157-47740136</t>
  </si>
  <si>
    <t>157-47740055</t>
  </si>
  <si>
    <t>157-47740254</t>
  </si>
  <si>
    <t>157-47740070</t>
  </si>
  <si>
    <t>157-47740221</t>
  </si>
  <si>
    <t>157-47740092</t>
  </si>
  <si>
    <t>157-47740210</t>
  </si>
  <si>
    <t>157-47740081</t>
  </si>
  <si>
    <t>157-47739882</t>
  </si>
  <si>
    <t>157-47739963</t>
  </si>
  <si>
    <t>157-47740151</t>
  </si>
  <si>
    <t>157-47740162</t>
  </si>
  <si>
    <t>157-47740173</t>
  </si>
  <si>
    <t>157-47740184</t>
  </si>
  <si>
    <t>157-47738843</t>
  </si>
  <si>
    <t>157-47738854</t>
  </si>
  <si>
    <t>157-47740066</t>
  </si>
  <si>
    <t>157-47740232</t>
  </si>
  <si>
    <t>157-47739974</t>
  </si>
  <si>
    <t>157-47739985</t>
  </si>
  <si>
    <t>157-47739996</t>
  </si>
  <si>
    <t>157-47740000</t>
  </si>
  <si>
    <t>157-47738880</t>
  </si>
  <si>
    <t>157-47738891</t>
  </si>
  <si>
    <t>157-47738876</t>
  </si>
  <si>
    <t>160-15102592</t>
  </si>
  <si>
    <t>160-15102581</t>
  </si>
  <si>
    <t>235-97854934</t>
  </si>
  <si>
    <t>SV977</t>
  </si>
  <si>
    <t>065-49996553</t>
  </si>
  <si>
    <t>065-49996564</t>
  </si>
  <si>
    <t>065-49996575</t>
  </si>
  <si>
    <t>065-49997113</t>
  </si>
  <si>
    <t>065-49996601</t>
  </si>
  <si>
    <t>065-49996586</t>
  </si>
  <si>
    <t>065-49997124</t>
  </si>
  <si>
    <t>065-49996590</t>
  </si>
  <si>
    <t>065-49997135</t>
  </si>
  <si>
    <t>065-49997146</t>
  </si>
  <si>
    <t>065-49997150</t>
  </si>
  <si>
    <t>065-49996612</t>
  </si>
  <si>
    <t>157-47740626</t>
  </si>
  <si>
    <t>157-47740663</t>
  </si>
  <si>
    <t>157-47740324</t>
  </si>
  <si>
    <t>157-47740486</t>
  </si>
  <si>
    <t>157-47740490</t>
  </si>
  <si>
    <t>157-47740475</t>
  </si>
  <si>
    <t>157-47740313</t>
  </si>
  <si>
    <t>157-47740453</t>
  </si>
  <si>
    <t>157-47740464</t>
  </si>
  <si>
    <t>157-47740302</t>
  </si>
  <si>
    <t>157-47740674</t>
  </si>
  <si>
    <t>157-47740431</t>
  </si>
  <si>
    <t>157-47740442</t>
  </si>
  <si>
    <t>157-47740545</t>
  </si>
  <si>
    <t>157-47740420</t>
  </si>
  <si>
    <t>157-47740512</t>
  </si>
  <si>
    <t>157-47740582</t>
  </si>
  <si>
    <t>157-47740615</t>
  </si>
  <si>
    <t>157-47740571</t>
  </si>
  <si>
    <t>157-47740560</t>
  </si>
  <si>
    <t>157-47740291</t>
  </si>
  <si>
    <t>157-47740556</t>
  </si>
  <si>
    <t>157-47740280</t>
  </si>
  <si>
    <t>157-47740652</t>
  </si>
  <si>
    <t>157-47740641</t>
  </si>
  <si>
    <t>157-47740630</t>
  </si>
  <si>
    <t>157-47740534</t>
  </si>
  <si>
    <t>157-47740523</t>
  </si>
  <si>
    <t>157-47740335</t>
  </si>
  <si>
    <t>157-47740276</t>
  </si>
  <si>
    <t>157-47740346</t>
  </si>
  <si>
    <t>157-47740350</t>
  </si>
  <si>
    <t>157-47740361</t>
  </si>
  <si>
    <t>157-47740372</t>
  </si>
  <si>
    <t>157-47740383</t>
  </si>
  <si>
    <t>157-47740394</t>
  </si>
  <si>
    <t>157-47740405</t>
  </si>
  <si>
    <t>157-47740604</t>
  </si>
  <si>
    <t>157-47740416</t>
  </si>
  <si>
    <t>157-48256611</t>
  </si>
  <si>
    <t>157-48256596</t>
  </si>
  <si>
    <t>157-48256600</t>
  </si>
  <si>
    <t>157-48206056</t>
  </si>
  <si>
    <t>157-48256552</t>
  </si>
  <si>
    <t>157-48256563</t>
  </si>
  <si>
    <t>157-48206060</t>
  </si>
  <si>
    <t>157-48256294</t>
  </si>
  <si>
    <t>157-48206071</t>
  </si>
  <si>
    <t>157-48206082</t>
  </si>
  <si>
    <t>157-48206093</t>
  </si>
  <si>
    <t>157-48206104</t>
  </si>
  <si>
    <t>157-48256305</t>
  </si>
  <si>
    <t>157-48256316</t>
  </si>
  <si>
    <t>157-48206115</t>
  </si>
  <si>
    <t>157-48206126</t>
  </si>
  <si>
    <t>157-48206130</t>
  </si>
  <si>
    <t>157-48206141</t>
  </si>
  <si>
    <t>157-48206152</t>
  </si>
  <si>
    <t>157-48206163</t>
  </si>
  <si>
    <t>157-48206174</t>
  </si>
  <si>
    <t>157-48206185</t>
  </si>
  <si>
    <t>157-48256246</t>
  </si>
  <si>
    <t>157-48206196</t>
  </si>
  <si>
    <t>157-48256515</t>
  </si>
  <si>
    <t>157-48256526</t>
  </si>
  <si>
    <t>157-48206200</t>
  </si>
  <si>
    <t>157-48256530</t>
  </si>
  <si>
    <t>157-48256541</t>
  </si>
  <si>
    <t>157-48206211</t>
  </si>
  <si>
    <t>157-48206222</t>
  </si>
  <si>
    <t>157-48256261</t>
  </si>
  <si>
    <t>157-48206233</t>
  </si>
  <si>
    <t>157-48206270</t>
  </si>
  <si>
    <t>157-48256272</t>
  </si>
  <si>
    <t>157-48256283</t>
  </si>
  <si>
    <t>157-48256250</t>
  </si>
  <si>
    <t>157-48206244</t>
  </si>
  <si>
    <t>157-48206255</t>
  </si>
  <si>
    <t>157-48206266</t>
  </si>
  <si>
    <t>157-48256574</t>
  </si>
  <si>
    <t>157-48256585</t>
  </si>
  <si>
    <t>157-48206281</t>
  </si>
  <si>
    <t>157-48206292</t>
  </si>
  <si>
    <t>157-48206303</t>
  </si>
  <si>
    <t>157-48206314</t>
  </si>
  <si>
    <t>157-48206325</t>
  </si>
  <si>
    <t>157-48206336</t>
  </si>
  <si>
    <t>157-48206340</t>
  </si>
  <si>
    <t>157-48206351</t>
  </si>
  <si>
    <t>157-48206362</t>
  </si>
  <si>
    <t>157-48206373</t>
  </si>
  <si>
    <t>157-48256143</t>
  </si>
  <si>
    <t>157-48256154</t>
  </si>
  <si>
    <t>157-48256165</t>
  </si>
  <si>
    <t>157-48256176</t>
  </si>
  <si>
    <t>157-48256180</t>
  </si>
  <si>
    <t>157-48256191</t>
  </si>
  <si>
    <t>157-48256202</t>
  </si>
  <si>
    <t>157-48256213</t>
  </si>
  <si>
    <t>157-48256224</t>
  </si>
  <si>
    <t>157-48256235</t>
  </si>
  <si>
    <t>157-47738596</t>
  </si>
  <si>
    <t>157-47738600</t>
  </si>
  <si>
    <t>157-48256320</t>
  </si>
  <si>
    <t>157-48206966</t>
  </si>
  <si>
    <t>157-48256084</t>
  </si>
  <si>
    <t>157-47739230</t>
  </si>
  <si>
    <t>157-48256073</t>
  </si>
  <si>
    <t>157-48206970</t>
  </si>
  <si>
    <t>157-48206992</t>
  </si>
  <si>
    <t>157-48206981</t>
  </si>
  <si>
    <t>157-48207040</t>
  </si>
  <si>
    <t>157-48207051</t>
  </si>
  <si>
    <t>157-48207062</t>
  </si>
  <si>
    <t>157-48207073</t>
  </si>
  <si>
    <t>157-48207084</t>
  </si>
  <si>
    <t>157-48207095</t>
  </si>
  <si>
    <t>157-48207106</t>
  </si>
  <si>
    <t>157-48207110</t>
  </si>
  <si>
    <t>157-48256412</t>
  </si>
  <si>
    <t>157-48207176</t>
  </si>
  <si>
    <t>157-48207121</t>
  </si>
  <si>
    <t>157-48207165</t>
  </si>
  <si>
    <t>157-48207132</t>
  </si>
  <si>
    <t>157-48256482</t>
  </si>
  <si>
    <t>157-48207143</t>
  </si>
  <si>
    <t>157-48256423</t>
  </si>
  <si>
    <t>157-48207154</t>
  </si>
  <si>
    <t>157-48207180</t>
  </si>
  <si>
    <t>157-48256331</t>
  </si>
  <si>
    <t>157-48256493</t>
  </si>
  <si>
    <t>157-48256504</t>
  </si>
  <si>
    <t>157-48207191</t>
  </si>
  <si>
    <t>157-48207202</t>
  </si>
  <si>
    <t>157-48256471</t>
  </si>
  <si>
    <t>157-48256364</t>
  </si>
  <si>
    <t>157-48256460</t>
  </si>
  <si>
    <t>157-48207003</t>
  </si>
  <si>
    <t>157-48256401</t>
  </si>
  <si>
    <t>157-48207014</t>
  </si>
  <si>
    <t>157-48207025</t>
  </si>
  <si>
    <t>157-48207036</t>
  </si>
  <si>
    <t>157-93203025</t>
  </si>
  <si>
    <t>157-48256434</t>
  </si>
  <si>
    <t>157-48256445</t>
  </si>
  <si>
    <t>157-48256456</t>
  </si>
  <si>
    <t>157-48256342</t>
  </si>
  <si>
    <t>157-48256353</t>
  </si>
  <si>
    <t>157-48256390</t>
  </si>
  <si>
    <t>157-87750541</t>
  </si>
  <si>
    <t>157-87750563</t>
  </si>
  <si>
    <t>157-87750552</t>
  </si>
  <si>
    <t>157-48256375</t>
  </si>
  <si>
    <t>157-87750574</t>
  </si>
  <si>
    <t>157-87750585</t>
  </si>
  <si>
    <t>157-93987121</t>
  </si>
  <si>
    <t>157-87750526</t>
  </si>
  <si>
    <t>157-48256386</t>
  </si>
  <si>
    <t>157-87750530</t>
  </si>
  <si>
    <t>160-15102614</t>
  </si>
  <si>
    <t>160-15102603</t>
  </si>
  <si>
    <t>936-00321204</t>
  </si>
  <si>
    <t>936-00321193</t>
  </si>
  <si>
    <t>936-00321182</t>
  </si>
  <si>
    <t>752-30213525</t>
  </si>
  <si>
    <t>752-30214074</t>
  </si>
  <si>
    <t>752-30214085</t>
  </si>
  <si>
    <t>752-30214096</t>
  </si>
  <si>
    <t>752-30214100</t>
  </si>
  <si>
    <t>752-30214111</t>
  </si>
  <si>
    <t>752-30214122</t>
  </si>
  <si>
    <t>752-30214133</t>
  </si>
  <si>
    <t>752-30214144</t>
  </si>
  <si>
    <t>752-30213536</t>
  </si>
  <si>
    <t>752-30214155</t>
  </si>
  <si>
    <t>752-30214166</t>
  </si>
  <si>
    <t>752-30214170</t>
  </si>
  <si>
    <t>752-30214181</t>
  </si>
  <si>
    <t>065-46975401</t>
  </si>
  <si>
    <t>065-46975412</t>
  </si>
  <si>
    <t>065-46973415</t>
  </si>
  <si>
    <t>065-46973426</t>
  </si>
  <si>
    <t>065-46975423</t>
  </si>
  <si>
    <t>065-46973441</t>
  </si>
  <si>
    <t>065-46973430</t>
  </si>
  <si>
    <t>065-44889950</t>
  </si>
  <si>
    <t>065-44889946</t>
  </si>
  <si>
    <t>065-44889762</t>
  </si>
  <si>
    <t>065-44889644</t>
  </si>
  <si>
    <t>065-44889666</t>
  </si>
  <si>
    <t>065-44889773</t>
  </si>
  <si>
    <t>065-44889961</t>
  </si>
  <si>
    <t>065-44889670</t>
  </si>
  <si>
    <t>065-44889972</t>
  </si>
  <si>
    <t>065-44889681</t>
  </si>
  <si>
    <t>065-44890171</t>
  </si>
  <si>
    <t>065-44890182</t>
  </si>
  <si>
    <t>065-44889655</t>
  </si>
  <si>
    <t>065-44890193</t>
  </si>
  <si>
    <t>065-44890204</t>
  </si>
  <si>
    <t>065-44889692</t>
  </si>
  <si>
    <t>065-44890226</t>
  </si>
  <si>
    <t>065-44890230</t>
  </si>
  <si>
    <t>065-44890241</t>
  </si>
  <si>
    <t>065-44889703</t>
  </si>
  <si>
    <t>065-44889714</t>
  </si>
  <si>
    <t>065-44890215</t>
  </si>
  <si>
    <t>065-44889725</t>
  </si>
  <si>
    <t>065-44890252</t>
  </si>
  <si>
    <t>065-44890263</t>
  </si>
  <si>
    <t>065-44889784</t>
  </si>
  <si>
    <t>065-44889795</t>
  </si>
  <si>
    <t>065-44890274</t>
  </si>
  <si>
    <t>065-44890285</t>
  </si>
  <si>
    <t>157-48074865</t>
  </si>
  <si>
    <t>157-48074876</t>
  </si>
  <si>
    <t>157-48074880</t>
  </si>
  <si>
    <t>157-48074891</t>
  </si>
  <si>
    <t>157-48074902</t>
  </si>
  <si>
    <t>157-48074924</t>
  </si>
  <si>
    <t>157-48074935</t>
  </si>
  <si>
    <t>157-48074946</t>
  </si>
  <si>
    <t>157-48074950</t>
  </si>
  <si>
    <t>157-48074994</t>
  </si>
  <si>
    <t>157-48075005</t>
  </si>
  <si>
    <t>157-48075016</t>
  </si>
  <si>
    <t>157-48074913</t>
  </si>
  <si>
    <t>157-48074983</t>
  </si>
  <si>
    <t>157-48075053</t>
  </si>
  <si>
    <t>157-48074972</t>
  </si>
  <si>
    <t>157-48074961</t>
  </si>
  <si>
    <t>157-52640873</t>
  </si>
  <si>
    <t>157-51281274</t>
  </si>
  <si>
    <t>157-51281252</t>
  </si>
  <si>
    <t>157-48075064</t>
  </si>
  <si>
    <t>157-52640954</t>
  </si>
  <si>
    <t>157-52640965</t>
  </si>
  <si>
    <t>157-52640976</t>
  </si>
  <si>
    <t>157-52640980</t>
  </si>
  <si>
    <t>157-51281263</t>
  </si>
  <si>
    <t>157-52640884</t>
  </si>
  <si>
    <t>157-52640895</t>
  </si>
  <si>
    <t>157-52640921</t>
  </si>
  <si>
    <t>157-52641013</t>
  </si>
  <si>
    <t>157-52640906</t>
  </si>
  <si>
    <t>157-52640932</t>
  </si>
  <si>
    <t>157-52641002</t>
  </si>
  <si>
    <t>157-48075020</t>
  </si>
  <si>
    <t>157-48075031</t>
  </si>
  <si>
    <t>157-48075042</t>
  </si>
  <si>
    <t>157-52640943</t>
  </si>
  <si>
    <t>157-48073056</t>
  </si>
  <si>
    <t>157-48073060</t>
  </si>
  <si>
    <t>157-48073071</t>
  </si>
  <si>
    <t>157-48073082</t>
  </si>
  <si>
    <t>157-48072710</t>
  </si>
  <si>
    <t>157-48072732</t>
  </si>
  <si>
    <t>157-48073045</t>
  </si>
  <si>
    <t>157-48072754</t>
  </si>
  <si>
    <t>157-48072905</t>
  </si>
  <si>
    <t>157-48072916</t>
  </si>
  <si>
    <t>157-48072920</t>
  </si>
  <si>
    <t>157-48072765</t>
  </si>
  <si>
    <t>157-48072931</t>
  </si>
  <si>
    <t>157-48072942</t>
  </si>
  <si>
    <t>157-48072953</t>
  </si>
  <si>
    <t>157-48072776</t>
  </si>
  <si>
    <t>157-48072986</t>
  </si>
  <si>
    <t>157-48072780</t>
  </si>
  <si>
    <t>157-48072791</t>
  </si>
  <si>
    <t>157-48072872</t>
  </si>
  <si>
    <t>157-48072802</t>
  </si>
  <si>
    <t>157-48072990</t>
  </si>
  <si>
    <t>157-48073001</t>
  </si>
  <si>
    <t>157-48073104</t>
  </si>
  <si>
    <t>157-48072964</t>
  </si>
  <si>
    <t>157-48072975</t>
  </si>
  <si>
    <t>157-51282501</t>
  </si>
  <si>
    <t>157-48072813</t>
  </si>
  <si>
    <t>157-48073012</t>
  </si>
  <si>
    <t>157-48072824</t>
  </si>
  <si>
    <t>157-48073034</t>
  </si>
  <si>
    <t>157-48072835</t>
  </si>
  <si>
    <t>157-51282140</t>
  </si>
  <si>
    <t>157-51282151</t>
  </si>
  <si>
    <t>157-51282173</t>
  </si>
  <si>
    <t>157-51282184</t>
  </si>
  <si>
    <t>157-51282195</t>
  </si>
  <si>
    <t>157-48073093</t>
  </si>
  <si>
    <t>157-48073023</t>
  </si>
  <si>
    <t>157-48072721</t>
  </si>
  <si>
    <t>157-51282162</t>
  </si>
  <si>
    <t>157-48072743</t>
  </si>
  <si>
    <t>157-51282453</t>
  </si>
  <si>
    <t>157-51282464</t>
  </si>
  <si>
    <t>157-51282475</t>
  </si>
  <si>
    <t>157-48072846</t>
  </si>
  <si>
    <t>157-51282512</t>
  </si>
  <si>
    <t>157-51282523</t>
  </si>
  <si>
    <t>157-48072850</t>
  </si>
  <si>
    <t>157-48072861</t>
  </si>
  <si>
    <t>157-48069453</t>
  </si>
  <si>
    <t>157-48070072</t>
  </si>
  <si>
    <t>157-48073771</t>
  </si>
  <si>
    <t>157-48073782</t>
  </si>
  <si>
    <t>157-48073793</t>
  </si>
  <si>
    <t>157-48073804</t>
  </si>
  <si>
    <t>157-48073815</t>
  </si>
  <si>
    <t>157-48073826</t>
  </si>
  <si>
    <t>157-48073830</t>
  </si>
  <si>
    <t>157-48073841</t>
  </si>
  <si>
    <t>157-48073852</t>
  </si>
  <si>
    <t>157-48073863</t>
  </si>
  <si>
    <t>157-48073874</t>
  </si>
  <si>
    <t>157-48073885</t>
  </si>
  <si>
    <t>157-48073896</t>
  </si>
  <si>
    <t>157-48073900</t>
  </si>
  <si>
    <t>157-48073911</t>
  </si>
  <si>
    <t>157-48073922</t>
  </si>
  <si>
    <t>157-48073933</t>
  </si>
  <si>
    <t>157-48073944</t>
  </si>
  <si>
    <t>157-48073955</t>
  </si>
  <si>
    <t>157-48073966</t>
  </si>
  <si>
    <t>157-48073970</t>
  </si>
  <si>
    <t>157-48073981</t>
  </si>
  <si>
    <t>157-48073992</t>
  </si>
  <si>
    <t>157-48074003</t>
  </si>
  <si>
    <t>157-48074014</t>
  </si>
  <si>
    <t>157-48074025</t>
  </si>
  <si>
    <t>157-48074036</t>
  </si>
  <si>
    <t>157-48074040</t>
  </si>
  <si>
    <t>157-48074051</t>
  </si>
  <si>
    <t>157-48074062</t>
  </si>
  <si>
    <t>157-48074073</t>
  </si>
  <si>
    <t>157-48074084</t>
  </si>
  <si>
    <t>157-48074095</t>
  </si>
  <si>
    <t>157-51282641</t>
  </si>
  <si>
    <t>157-51282652</t>
  </si>
  <si>
    <t>157-51282663</t>
  </si>
  <si>
    <t>157-51282674</t>
  </si>
  <si>
    <t>157-51282685</t>
  </si>
  <si>
    <t>157-51282696</t>
  </si>
  <si>
    <t>157-51282700</t>
  </si>
  <si>
    <t>157-51282711</t>
  </si>
  <si>
    <t>157-51282722</t>
  </si>
  <si>
    <t>157-51282733</t>
  </si>
  <si>
    <t>157-51282744</t>
  </si>
  <si>
    <t>157-51282755</t>
  </si>
  <si>
    <t>157-51282766</t>
  </si>
  <si>
    <t>157-51282770</t>
  </si>
  <si>
    <t>157-52641024</t>
  </si>
  <si>
    <t>157-52641035</t>
  </si>
  <si>
    <t>157-52641046</t>
  </si>
  <si>
    <t>157-52641050</t>
  </si>
  <si>
    <t>TK6349</t>
  </si>
  <si>
    <t>235-97869321</t>
  </si>
  <si>
    <t>AMS</t>
  </si>
  <si>
    <t>369-99417570</t>
  </si>
  <si>
    <t>369-99417555</t>
  </si>
  <si>
    <t>369-99417544</t>
  </si>
  <si>
    <t>369-99417566</t>
  </si>
  <si>
    <t>369-99417426</t>
  </si>
  <si>
    <t>369-99417415</t>
  </si>
  <si>
    <t>369-99417404</t>
  </si>
  <si>
    <t>369-99417533</t>
  </si>
  <si>
    <t>369-99417323</t>
  </si>
  <si>
    <t>369-99417312</t>
  </si>
  <si>
    <t>369-99417301</t>
  </si>
  <si>
    <t>369-99417161</t>
  </si>
  <si>
    <t>369-99417150</t>
  </si>
  <si>
    <t>369-99417290</t>
  </si>
  <si>
    <t>369-99417172</t>
  </si>
  <si>
    <t>369-99417242</t>
  </si>
  <si>
    <t>369-99417231</t>
  </si>
  <si>
    <t>369-99417220</t>
  </si>
  <si>
    <t>369-99417216</t>
  </si>
  <si>
    <t>369-99417205</t>
  </si>
  <si>
    <t>369-99417194</t>
  </si>
  <si>
    <t>369-99417183</t>
  </si>
  <si>
    <t>369-99417286</t>
  </si>
  <si>
    <t>369-99417275</t>
  </si>
  <si>
    <t>369-99417264</t>
  </si>
  <si>
    <t>369-99417253</t>
  </si>
  <si>
    <t>369-99417135</t>
  </si>
  <si>
    <t>369-99417124</t>
  </si>
  <si>
    <t>369-99417113</t>
  </si>
  <si>
    <t>369-99417102</t>
  </si>
  <si>
    <t>369-99417091</t>
  </si>
  <si>
    <t>369-99417080</t>
  </si>
  <si>
    <t>369-99417076</t>
  </si>
  <si>
    <t>369-99416936</t>
  </si>
  <si>
    <t>369-99417146</t>
  </si>
  <si>
    <t>014-24365353</t>
  </si>
  <si>
    <t>065-44890521</t>
  </si>
  <si>
    <t>065-49852110</t>
  </si>
  <si>
    <t>065-44890565</t>
  </si>
  <si>
    <t>065-44890576</t>
  </si>
  <si>
    <t>065-44890532</t>
  </si>
  <si>
    <t>065-49852121</t>
  </si>
  <si>
    <t>065-44890495</t>
  </si>
  <si>
    <t>065-44890484</t>
  </si>
  <si>
    <t>065-44890506</t>
  </si>
  <si>
    <t>065-44890510</t>
  </si>
  <si>
    <t>065-44890543</t>
  </si>
  <si>
    <t>065-49852132</t>
  </si>
  <si>
    <t>065-49852143</t>
  </si>
  <si>
    <t>065-44890554</t>
  </si>
  <si>
    <t>065-49852154</t>
  </si>
  <si>
    <t>065-44890075</t>
  </si>
  <si>
    <t>065-44890086</t>
  </si>
  <si>
    <t>065-44890090</t>
  </si>
  <si>
    <t>160-12267673</t>
  </si>
  <si>
    <t>160-12267662</t>
  </si>
  <si>
    <t>F57602</t>
  </si>
  <si>
    <t>752-30208603</t>
  </si>
  <si>
    <t>752-30208614</t>
  </si>
  <si>
    <t>752-30208625</t>
  </si>
  <si>
    <t>752-30208636</t>
  </si>
  <si>
    <t>752-30208640</t>
  </si>
  <si>
    <t>752-30208651</t>
  </si>
  <si>
    <t>752-30208662</t>
  </si>
  <si>
    <t>752-30208522</t>
  </si>
  <si>
    <t>752-30208533</t>
  </si>
  <si>
    <t>752-30208382</t>
  </si>
  <si>
    <t>752-30208544</t>
  </si>
  <si>
    <t>752-30208555</t>
  </si>
  <si>
    <t>752-30208566</t>
  </si>
  <si>
    <t>752-30208570</t>
  </si>
  <si>
    <t>752-30208581</t>
  </si>
  <si>
    <t>752-30208592</t>
  </si>
  <si>
    <t>994-30286594</t>
  </si>
  <si>
    <t>014-24365386</t>
  </si>
  <si>
    <t>065-49852165</t>
  </si>
  <si>
    <t>065-49852176</t>
  </si>
  <si>
    <t>065-49852180</t>
  </si>
  <si>
    <t>065-49852191</t>
  </si>
  <si>
    <t>065-49852202</t>
  </si>
  <si>
    <t>065-49852213</t>
  </si>
  <si>
    <t>065-49852224</t>
  </si>
  <si>
    <t>065-49852283</t>
  </si>
  <si>
    <t>065-49852294</t>
  </si>
  <si>
    <t>065-49852235</t>
  </si>
  <si>
    <t>065-49852305</t>
  </si>
  <si>
    <t>065-49852246</t>
  </si>
  <si>
    <t>065-44890296</t>
  </si>
  <si>
    <t>065-44890300</t>
  </si>
  <si>
    <t>065-49852272</t>
  </si>
  <si>
    <t>065-49852261</t>
  </si>
  <si>
    <t>065-44890311</t>
  </si>
  <si>
    <t>065-49852250</t>
  </si>
  <si>
    <t>065-49537316</t>
  </si>
  <si>
    <t>065-46973802</t>
  </si>
  <si>
    <t>065-42326174</t>
  </si>
  <si>
    <t>065-42327891</t>
  </si>
  <si>
    <t>065-46973452</t>
  </si>
  <si>
    <t>065-46973765</t>
  </si>
  <si>
    <t>QR8403</t>
  </si>
  <si>
    <t>157-52640910</t>
  </si>
  <si>
    <t>157-52640991</t>
  </si>
  <si>
    <t>157-51285371</t>
  </si>
  <si>
    <t>157-51285382</t>
  </si>
  <si>
    <t>157-51285393</t>
  </si>
  <si>
    <t>157-51285430</t>
  </si>
  <si>
    <t>157-51285441</t>
  </si>
  <si>
    <t>157-51285452</t>
  </si>
  <si>
    <t>157-51285474</t>
  </si>
  <si>
    <t>157-51285485</t>
  </si>
  <si>
    <t>157-51285496</t>
  </si>
  <si>
    <t>157-51285500</t>
  </si>
  <si>
    <t>157-51285463</t>
  </si>
  <si>
    <t>157-51285566</t>
  </si>
  <si>
    <t>157-51285570</t>
  </si>
  <si>
    <t>157-51285581</t>
  </si>
  <si>
    <t>157-51285592</t>
  </si>
  <si>
    <t>157-51285511</t>
  </si>
  <si>
    <t>157-51285533</t>
  </si>
  <si>
    <t>157-51285544</t>
  </si>
  <si>
    <t>157-51285555</t>
  </si>
  <si>
    <t>157-51285404</t>
  </si>
  <si>
    <t>157-51285415</t>
  </si>
  <si>
    <t>157-51285603</t>
  </si>
  <si>
    <t>157-51285614</t>
  </si>
  <si>
    <t>157-51285426</t>
  </si>
  <si>
    <t>157-51285522</t>
  </si>
  <si>
    <t>157-52641120</t>
  </si>
  <si>
    <t>157-52641131</t>
  </si>
  <si>
    <t>157-52641142</t>
  </si>
  <si>
    <t>157-52641153</t>
  </si>
  <si>
    <t>157-52641164</t>
  </si>
  <si>
    <t>157-52641175</t>
  </si>
  <si>
    <t>157-52641186</t>
  </si>
  <si>
    <t>157-52641293</t>
  </si>
  <si>
    <t>157-52641190</t>
  </si>
  <si>
    <t>157-52641282</t>
  </si>
  <si>
    <t>157-52641212</t>
  </si>
  <si>
    <t>157-52641201</t>
  </si>
  <si>
    <t>157-52641223</t>
  </si>
  <si>
    <t>157-51282486</t>
  </si>
  <si>
    <t>157-51282490</t>
  </si>
  <si>
    <t>157-51282534</t>
  </si>
  <si>
    <t>157-51282545</t>
  </si>
  <si>
    <t>157-51284380</t>
  </si>
  <si>
    <t>157-51284391</t>
  </si>
  <si>
    <t>157-51284402</t>
  </si>
  <si>
    <t>157-51284413</t>
  </si>
  <si>
    <t>157-51284424</t>
  </si>
  <si>
    <t>157-51284435</t>
  </si>
  <si>
    <t>157-51284446</t>
  </si>
  <si>
    <t>157-51284450</t>
  </si>
  <si>
    <t>157-51284461</t>
  </si>
  <si>
    <t>157-51284472</t>
  </si>
  <si>
    <t>157-51284483</t>
  </si>
  <si>
    <t>157-51284494</t>
  </si>
  <si>
    <t>157-51284505</t>
  </si>
  <si>
    <t>157-51284516</t>
  </si>
  <si>
    <t>157-51284520</t>
  </si>
  <si>
    <t>157-51284531</t>
  </si>
  <si>
    <t>157-51284542</t>
  </si>
  <si>
    <t>157-51284553</t>
  </si>
  <si>
    <t>157-51284564</t>
  </si>
  <si>
    <t>157-51284575</t>
  </si>
  <si>
    <t>157-51284586</t>
  </si>
  <si>
    <t>157-51284590</t>
  </si>
  <si>
    <t>157-51284601</t>
  </si>
  <si>
    <t>157-51284612</t>
  </si>
  <si>
    <t>157-51284623</t>
  </si>
  <si>
    <t>157-51284634</t>
  </si>
  <si>
    <t>157-51284645</t>
  </si>
  <si>
    <t>157-51284656</t>
  </si>
  <si>
    <t>157-51284660</t>
  </si>
  <si>
    <t>157-51284671</t>
  </si>
  <si>
    <t>157-51284682</t>
  </si>
  <si>
    <t>157-51284693</t>
  </si>
  <si>
    <t>157-51284704</t>
  </si>
  <si>
    <t>157-52641061</t>
  </si>
  <si>
    <t>157-52641072</t>
  </si>
  <si>
    <t>157-52641083</t>
  </si>
  <si>
    <t>157-52641094</t>
  </si>
  <si>
    <t>157-52641105</t>
  </si>
  <si>
    <t>157-52641116</t>
  </si>
  <si>
    <t>157-52641234</t>
  </si>
  <si>
    <t>157-52641245</t>
  </si>
  <si>
    <t>157-52641256</t>
  </si>
  <si>
    <t>157-52641260</t>
  </si>
  <si>
    <t>157-52641271</t>
  </si>
  <si>
    <t>160-12267695</t>
  </si>
  <si>
    <t>160-12267684</t>
  </si>
  <si>
    <t>369-99418104</t>
  </si>
  <si>
    <t>369-99417916</t>
  </si>
  <si>
    <t>369-99417905</t>
  </si>
  <si>
    <t>369-99418056</t>
  </si>
  <si>
    <t>369-99418045</t>
  </si>
  <si>
    <t>369-99418034</t>
  </si>
  <si>
    <t>369-99418023</t>
  </si>
  <si>
    <t>369-99418071</t>
  </si>
  <si>
    <t>369-99418060</t>
  </si>
  <si>
    <t>369-99417931</t>
  </si>
  <si>
    <t>369-99417920</t>
  </si>
  <si>
    <t>369-99418093</t>
  </si>
  <si>
    <t>369-99418082</t>
  </si>
  <si>
    <t>369-99418012</t>
  </si>
  <si>
    <t>369-99418001</t>
  </si>
  <si>
    <t>369-99417846</t>
  </si>
  <si>
    <t>369-99417975</t>
  </si>
  <si>
    <t>369-99417894</t>
  </si>
  <si>
    <t>369-99417883</t>
  </si>
  <si>
    <t>369-99417872</t>
  </si>
  <si>
    <t>369-99417861</t>
  </si>
  <si>
    <t>369-99417850</t>
  </si>
  <si>
    <t>369-99417953</t>
  </si>
  <si>
    <t>369-99417942</t>
  </si>
  <si>
    <t>369-99417990</t>
  </si>
  <si>
    <t>369-99417986</t>
  </si>
  <si>
    <t>369-99417964</t>
  </si>
  <si>
    <t>369-99417754</t>
  </si>
  <si>
    <t>369-99417743</t>
  </si>
  <si>
    <t>369-99417732</t>
  </si>
  <si>
    <t>369-99417721</t>
  </si>
  <si>
    <t>369-99417710</t>
  </si>
  <si>
    <t>369-99417765</t>
  </si>
  <si>
    <t>369-99417695</t>
  </si>
  <si>
    <t>369-99417706</t>
  </si>
  <si>
    <t>369-99418281</t>
  </si>
  <si>
    <t>369-99415562</t>
  </si>
  <si>
    <t>369-99415632</t>
  </si>
  <si>
    <t>369-99415643</t>
  </si>
  <si>
    <t>752-30208673</t>
  </si>
  <si>
    <t>752-30208684</t>
  </si>
  <si>
    <t>752-30208695</t>
  </si>
  <si>
    <t>752-30208706</t>
  </si>
  <si>
    <t>752-30208710</t>
  </si>
  <si>
    <t>752-30208721</t>
  </si>
  <si>
    <t>752-30208732</t>
  </si>
  <si>
    <t>752-30208743</t>
  </si>
  <si>
    <t>936-00315792</t>
  </si>
  <si>
    <t>936-00315803</t>
  </si>
  <si>
    <t>936-00315814</t>
  </si>
  <si>
    <t>936-00315825</t>
  </si>
  <si>
    <t>936-00315836</t>
  </si>
  <si>
    <t>936-00315840</t>
  </si>
  <si>
    <t>936-00315851</t>
  </si>
  <si>
    <t>160-12267710</t>
  </si>
  <si>
    <t>160-12267706</t>
  </si>
  <si>
    <t>235-95545446</t>
  </si>
  <si>
    <t>CDG</t>
  </si>
  <si>
    <t>235-97854083</t>
  </si>
  <si>
    <t>F57604</t>
  </si>
  <si>
    <t>752-30208754</t>
  </si>
  <si>
    <t>752-30208765</t>
  </si>
  <si>
    <t>752-30208776</t>
  </si>
  <si>
    <t>752-30208780</t>
  </si>
  <si>
    <t>752-30208791</t>
  </si>
  <si>
    <t>752-30208802</t>
  </si>
  <si>
    <t>752-30208813</t>
  </si>
  <si>
    <t>752-30208824</t>
  </si>
  <si>
    <t>065-49643915</t>
  </si>
  <si>
    <t>065-49643926</t>
  </si>
  <si>
    <t>065-46972870</t>
  </si>
  <si>
    <t>065-46975762</t>
  </si>
  <si>
    <t>065-46972951</t>
  </si>
  <si>
    <t>065-46975773</t>
  </si>
  <si>
    <t>065-49595265</t>
  </si>
  <si>
    <t>065-46973883</t>
  </si>
  <si>
    <t>065-49594160</t>
  </si>
  <si>
    <t>065-49537375</t>
  </si>
  <si>
    <t>065-49595276</t>
  </si>
  <si>
    <t>065-46973894</t>
  </si>
  <si>
    <t>065-49595335</t>
  </si>
  <si>
    <t>065-49643790</t>
  </si>
  <si>
    <t>065-49643856</t>
  </si>
  <si>
    <t>065-46975736</t>
  </si>
  <si>
    <t>065-46975740</t>
  </si>
  <si>
    <t>065-46975751</t>
  </si>
  <si>
    <t>235-97949040</t>
  </si>
  <si>
    <t>235-97856172</t>
  </si>
  <si>
    <t>235-97856161</t>
  </si>
  <si>
    <t>157-51282781</t>
  </si>
  <si>
    <t>157-51282792</t>
  </si>
  <si>
    <t>157-51282803</t>
  </si>
  <si>
    <t>157-51282814</t>
  </si>
  <si>
    <t>157-51282991</t>
  </si>
  <si>
    <t>157-51283002</t>
  </si>
  <si>
    <t>157-51283116</t>
  </si>
  <si>
    <t>157-51282825</t>
  </si>
  <si>
    <t>157-51282836</t>
  </si>
  <si>
    <t>157-51283142</t>
  </si>
  <si>
    <t>157-51283175</t>
  </si>
  <si>
    <t>157-51282965</t>
  </si>
  <si>
    <t>157-51282976</t>
  </si>
  <si>
    <t>157-51282943</t>
  </si>
  <si>
    <t>157-51283164</t>
  </si>
  <si>
    <t>157-51282840</t>
  </si>
  <si>
    <t>157-51283024</t>
  </si>
  <si>
    <t>157-51283035</t>
  </si>
  <si>
    <t>157-51283046</t>
  </si>
  <si>
    <t>157-51282851</t>
  </si>
  <si>
    <t>157-51283050</t>
  </si>
  <si>
    <t>157-51283131</t>
  </si>
  <si>
    <t>157-51282980</t>
  </si>
  <si>
    <t>157-51283153</t>
  </si>
  <si>
    <t>157-51283013</t>
  </si>
  <si>
    <t>157-51282862</t>
  </si>
  <si>
    <t>157-51282873</t>
  </si>
  <si>
    <t>157-51282884</t>
  </si>
  <si>
    <t>157-51282906</t>
  </si>
  <si>
    <t>157-51283061</t>
  </si>
  <si>
    <t>157-51283072</t>
  </si>
  <si>
    <t>157-51283083</t>
  </si>
  <si>
    <t>157-51282895</t>
  </si>
  <si>
    <t>157-51282910</t>
  </si>
  <si>
    <t>157-51283094</t>
  </si>
  <si>
    <t>157-51283105</t>
  </si>
  <si>
    <t>157-51282615</t>
  </si>
  <si>
    <t>157-51283120</t>
  </si>
  <si>
    <t>157-51282206</t>
  </si>
  <si>
    <t>?</t>
  </si>
  <si>
    <t>157-51282280</t>
  </si>
  <si>
    <t>157-51282921</t>
  </si>
  <si>
    <t>157-51282954</t>
  </si>
  <si>
    <t>157-51282932</t>
  </si>
  <si>
    <t>157-51284715</t>
  </si>
  <si>
    <t>157-51284726</t>
  </si>
  <si>
    <t>157-51284951</t>
  </si>
  <si>
    <t>157-51284730</t>
  </si>
  <si>
    <t>157-51284741</t>
  </si>
  <si>
    <t>157-51284925</t>
  </si>
  <si>
    <t>157-51284752</t>
  </si>
  <si>
    <t>157-51284763</t>
  </si>
  <si>
    <t>157-51284774</t>
  </si>
  <si>
    <t>157-51284785</t>
  </si>
  <si>
    <t>157-52641551</t>
  </si>
  <si>
    <t>157-51284796</t>
  </si>
  <si>
    <t>157-51285006</t>
  </si>
  <si>
    <t>157-51284800</t>
  </si>
  <si>
    <t>157-51284995</t>
  </si>
  <si>
    <t>157-51284892</t>
  </si>
  <si>
    <t>157-51284973</t>
  </si>
  <si>
    <t>157-51284984</t>
  </si>
  <si>
    <t>157-51284903</t>
  </si>
  <si>
    <t>157-51284811</t>
  </si>
  <si>
    <t>157-51284940</t>
  </si>
  <si>
    <t>157-51284822</t>
  </si>
  <si>
    <t>157-51284833</t>
  </si>
  <si>
    <t>157-51284914</t>
  </si>
  <si>
    <t>157-51284881</t>
  </si>
  <si>
    <t>157-51284844</t>
  </si>
  <si>
    <t>157-51284936</t>
  </si>
  <si>
    <t>157-51284855</t>
  </si>
  <si>
    <t>157-51284866</t>
  </si>
  <si>
    <t>157-51284870</t>
  </si>
  <si>
    <t>157-51284962</t>
  </si>
  <si>
    <t>157-51282571</t>
  </si>
  <si>
    <t>157-51282560</t>
  </si>
  <si>
    <t>157-51282556</t>
  </si>
  <si>
    <t>157-48072474</t>
  </si>
  <si>
    <t>157-51282582</t>
  </si>
  <si>
    <t>157-51282593</t>
  </si>
  <si>
    <t>157-51282604</t>
  </si>
  <si>
    <t>157-52641304</t>
  </si>
  <si>
    <t>157-52641315</t>
  </si>
  <si>
    <t>157-52641326</t>
  </si>
  <si>
    <t>157-52641330</t>
  </si>
  <si>
    <t>157-52641341</t>
  </si>
  <si>
    <t>157-51285673</t>
  </si>
  <si>
    <t>157-51285651</t>
  </si>
  <si>
    <t>157-51285662</t>
  </si>
  <si>
    <t>157-51285695</t>
  </si>
  <si>
    <t>157-51285706</t>
  </si>
  <si>
    <t>157-51285710</t>
  </si>
  <si>
    <t>157-51285721</t>
  </si>
  <si>
    <t>157-51285732</t>
  </si>
  <si>
    <t>157-51285684</t>
  </si>
  <si>
    <t>157-51285636</t>
  </si>
  <si>
    <t>157-51285640</t>
  </si>
  <si>
    <t>157-51285743</t>
  </si>
  <si>
    <t>157-51285754</t>
  </si>
  <si>
    <t>157-51285765</t>
  </si>
  <si>
    <t>157-51285776</t>
  </si>
  <si>
    <t>157-51285780</t>
  </si>
  <si>
    <t>157-51285846</t>
  </si>
  <si>
    <t>157-52641352</t>
  </si>
  <si>
    <t>157-52641363</t>
  </si>
  <si>
    <t>157-52641400</t>
  </si>
  <si>
    <t>157-52641444</t>
  </si>
  <si>
    <t>157-52641433</t>
  </si>
  <si>
    <t>157-52641411</t>
  </si>
  <si>
    <t>157-51285813</t>
  </si>
  <si>
    <t>157-51285791</t>
  </si>
  <si>
    <t>157-51285802</t>
  </si>
  <si>
    <t>157-51285835</t>
  </si>
  <si>
    <t>157-51285824</t>
  </si>
  <si>
    <t>157-52641374</t>
  </si>
  <si>
    <t>157-52641385</t>
  </si>
  <si>
    <t>157-51285625</t>
  </si>
  <si>
    <t>157-52641422</t>
  </si>
  <si>
    <t>157-51285861</t>
  </si>
  <si>
    <t>157-51285850</t>
  </si>
  <si>
    <t>160-12267732</t>
  </si>
  <si>
    <t>160-12267721</t>
  </si>
  <si>
    <t>160-12267743</t>
  </si>
  <si>
    <t>160-12267765</t>
  </si>
  <si>
    <t>160-12267754</t>
  </si>
  <si>
    <t>MH6113</t>
  </si>
  <si>
    <t>232-18635175</t>
  </si>
  <si>
    <t>232-18634663</t>
  </si>
  <si>
    <t>TK171</t>
  </si>
  <si>
    <t>235-97864885</t>
  </si>
  <si>
    <t>5Y8232</t>
  </si>
  <si>
    <t>369-99418362</t>
  </si>
  <si>
    <t>369-99418351</t>
  </si>
  <si>
    <t>369-99418476</t>
  </si>
  <si>
    <t>369-99418465</t>
  </si>
  <si>
    <t>369-99418454</t>
  </si>
  <si>
    <t>369-99418443</t>
  </si>
  <si>
    <t>369-99418432</t>
  </si>
  <si>
    <t>369-99418410</t>
  </si>
  <si>
    <t>369-99418406</t>
  </si>
  <si>
    <t>369-99418395</t>
  </si>
  <si>
    <t>369-99418340</t>
  </si>
  <si>
    <t>369-99418336</t>
  </si>
  <si>
    <t>369-99418384</t>
  </si>
  <si>
    <t>369-99418373</t>
  </si>
  <si>
    <t>369-99418325</t>
  </si>
  <si>
    <t>369-99418314</t>
  </si>
  <si>
    <t>369-99418303</t>
  </si>
  <si>
    <t>369-99418292</t>
  </si>
  <si>
    <t>369-99418200</t>
  </si>
  <si>
    <t>369-99418196</t>
  </si>
  <si>
    <t>369-99418163</t>
  </si>
  <si>
    <t>369-99418270</t>
  </si>
  <si>
    <t>369-99418266</t>
  </si>
  <si>
    <t>369-99418255</t>
  </si>
  <si>
    <t>369-99418244</t>
  </si>
  <si>
    <t>369-99418233</t>
  </si>
  <si>
    <t>369-99418222</t>
  </si>
  <si>
    <t>369-99418211</t>
  </si>
  <si>
    <t>369-99418174</t>
  </si>
  <si>
    <t>369-99418185</t>
  </si>
  <si>
    <t>369-99418141</t>
  </si>
  <si>
    <t>369-99418130</t>
  </si>
  <si>
    <t>369-99418126</t>
  </si>
  <si>
    <t>369-99418115</t>
  </si>
  <si>
    <t>369-99418152</t>
  </si>
  <si>
    <t>369-99417824</t>
  </si>
  <si>
    <t>369-99417813</t>
  </si>
  <si>
    <t>369-99417791</t>
  </si>
  <si>
    <t>369-99417780</t>
  </si>
  <si>
    <t>369-99417776</t>
  </si>
  <si>
    <t>369-99418421</t>
  </si>
  <si>
    <t>369-99415654</t>
  </si>
  <si>
    <t>369-99415665</t>
  </si>
  <si>
    <t>369-99415676</t>
  </si>
  <si>
    <t>369-99415573</t>
  </si>
  <si>
    <t>369-99415606</t>
  </si>
  <si>
    <t>752-30208905</t>
  </si>
  <si>
    <t>752-30208850</t>
  </si>
  <si>
    <t>752-30208846</t>
  </si>
  <si>
    <t>752-30208920</t>
  </si>
  <si>
    <t>752-30208894</t>
  </si>
  <si>
    <t>752-30208835</t>
  </si>
  <si>
    <t>752-30208861</t>
  </si>
  <si>
    <t>752-30208872</t>
  </si>
  <si>
    <t>752-30208883</t>
  </si>
  <si>
    <t>752-30208916</t>
  </si>
  <si>
    <t>752-30208931</t>
  </si>
  <si>
    <t>752-30208942</t>
  </si>
  <si>
    <t>752-30208953</t>
  </si>
  <si>
    <t>752-30208964</t>
  </si>
  <si>
    <t>936-00315862</t>
  </si>
  <si>
    <t>2C575</t>
  </si>
  <si>
    <t>003-31644325</t>
  </si>
  <si>
    <t>003-31644535</t>
  </si>
  <si>
    <t>003-31644524</t>
  </si>
  <si>
    <t>003-31644336</t>
  </si>
  <si>
    <t>065-46973323</t>
  </si>
  <si>
    <t>065-46975795</t>
  </si>
  <si>
    <t>065-46975784</t>
  </si>
  <si>
    <t>065-46973312</t>
  </si>
  <si>
    <t>065-46973301</t>
  </si>
  <si>
    <t>065-46973264</t>
  </si>
  <si>
    <t>172-04322802</t>
  </si>
  <si>
    <t>235-97854186</t>
  </si>
  <si>
    <t>MXP</t>
  </si>
  <si>
    <t>QR8429</t>
  </si>
  <si>
    <t>157-51283223</t>
  </si>
  <si>
    <t>157-51283234</t>
  </si>
  <si>
    <t>157-51283245</t>
  </si>
  <si>
    <t>157-51283256</t>
  </si>
  <si>
    <t>157-51283374</t>
  </si>
  <si>
    <t>157-51283562</t>
  </si>
  <si>
    <t>157-51283525</t>
  </si>
  <si>
    <t>157-51283341</t>
  </si>
  <si>
    <t>157-51283352</t>
  </si>
  <si>
    <t>157-51283363</t>
  </si>
  <si>
    <t>157-51283186</t>
  </si>
  <si>
    <t>157-51283481</t>
  </si>
  <si>
    <t>157-51283190</t>
  </si>
  <si>
    <t>157-51283466</t>
  </si>
  <si>
    <t>157-51283470</t>
  </si>
  <si>
    <t>157-51283201</t>
  </si>
  <si>
    <t>157-51283492</t>
  </si>
  <si>
    <t>157-51283212</t>
  </si>
  <si>
    <t>157-51283514</t>
  </si>
  <si>
    <t>157-51283411</t>
  </si>
  <si>
    <t>157-51283260</t>
  </si>
  <si>
    <t>157-51283271</t>
  </si>
  <si>
    <t>157-51283396</t>
  </si>
  <si>
    <t>157-51283400</t>
  </si>
  <si>
    <t>157-51283540</t>
  </si>
  <si>
    <t>157-51283422</t>
  </si>
  <si>
    <t>157-51283444</t>
  </si>
  <si>
    <t>157-51283455</t>
  </si>
  <si>
    <t>157-51283551</t>
  </si>
  <si>
    <t>157-51283573</t>
  </si>
  <si>
    <t>157-51283385</t>
  </si>
  <si>
    <t>157-51283433</t>
  </si>
  <si>
    <t>160-12267780</t>
  </si>
  <si>
    <t>160-12267776</t>
  </si>
  <si>
    <t>TK6249</t>
  </si>
  <si>
    <t>235-97854153</t>
  </si>
  <si>
    <t>235-92937261</t>
  </si>
  <si>
    <t>369-99419025</t>
  </si>
  <si>
    <t>369-99419040</t>
  </si>
  <si>
    <t>369-99419036</t>
  </si>
  <si>
    <t>369-99419073</t>
  </si>
  <si>
    <t>369-99419106</t>
  </si>
  <si>
    <t>369-99419191</t>
  </si>
  <si>
    <t>369-99418723</t>
  </si>
  <si>
    <t>369-99418734</t>
  </si>
  <si>
    <t>369-99418745</t>
  </si>
  <si>
    <t>369-99418756</t>
  </si>
  <si>
    <t>369-99418760</t>
  </si>
  <si>
    <t>369-99418771</t>
  </si>
  <si>
    <t>369-99418782</t>
  </si>
  <si>
    <t>369-99418793</t>
  </si>
  <si>
    <t>369-99419051</t>
  </si>
  <si>
    <t>369-99419062</t>
  </si>
  <si>
    <t>369-99418583</t>
  </si>
  <si>
    <t>369-99418605</t>
  </si>
  <si>
    <t>369-99418616</t>
  </si>
  <si>
    <t>369-99418620</t>
  </si>
  <si>
    <t>369-99418631</t>
  </si>
  <si>
    <t>369-99418642</t>
  </si>
  <si>
    <t>369-99418653</t>
  </si>
  <si>
    <t>369-99418664</t>
  </si>
  <si>
    <t>369-99418594</t>
  </si>
  <si>
    <t>369-99419110</t>
  </si>
  <si>
    <t>369-99419165</t>
  </si>
  <si>
    <t>369-99419176</t>
  </si>
  <si>
    <t>369-99418900</t>
  </si>
  <si>
    <t>369-99418911</t>
  </si>
  <si>
    <t>369-99418922</t>
  </si>
  <si>
    <t>369-99418992</t>
  </si>
  <si>
    <t>369-99419003</t>
  </si>
  <si>
    <t>369-99419014</t>
  </si>
  <si>
    <t>369-99419143</t>
  </si>
  <si>
    <t>369-99419154</t>
  </si>
  <si>
    <t>369-99419121</t>
  </si>
  <si>
    <t>369-99419132</t>
  </si>
  <si>
    <t>369-99419084</t>
  </si>
  <si>
    <t>369-99419095</t>
  </si>
  <si>
    <t>369-99419180</t>
  </si>
  <si>
    <t>369-99415680</t>
  </si>
  <si>
    <t>369-99415842</t>
  </si>
  <si>
    <t>369-99415713</t>
  </si>
  <si>
    <t>369-99415735</t>
  </si>
  <si>
    <t>369-99415610</t>
  </si>
  <si>
    <t>5Y8735</t>
  </si>
  <si>
    <t>369-99419482</t>
  </si>
  <si>
    <t>369-99419471</t>
  </si>
  <si>
    <t>369-99419493</t>
  </si>
  <si>
    <t>369-99419412</t>
  </si>
  <si>
    <t>369-99419401</t>
  </si>
  <si>
    <t>369-99419390</t>
  </si>
  <si>
    <t>369-99419460</t>
  </si>
  <si>
    <t>369-99419456</t>
  </si>
  <si>
    <t>369-99419445</t>
  </si>
  <si>
    <t>369-99419434</t>
  </si>
  <si>
    <t>369-99419423</t>
  </si>
  <si>
    <t>369-99418981</t>
  </si>
  <si>
    <t>369-99418970</t>
  </si>
  <si>
    <t>369-99418966</t>
  </si>
  <si>
    <t>369-99418955</t>
  </si>
  <si>
    <t>369-99418944</t>
  </si>
  <si>
    <t>369-99418896</t>
  </si>
  <si>
    <t>369-99418885</t>
  </si>
  <si>
    <t>369-99418933</t>
  </si>
  <si>
    <t>369-99418874</t>
  </si>
  <si>
    <t>369-99418863</t>
  </si>
  <si>
    <t>369-99418852</t>
  </si>
  <si>
    <t>369-99418841</t>
  </si>
  <si>
    <t>369-99418830</t>
  </si>
  <si>
    <t>369-99418826</t>
  </si>
  <si>
    <t>369-99418815</t>
  </si>
  <si>
    <t>369-99418804</t>
  </si>
  <si>
    <t>369-99418712</t>
  </si>
  <si>
    <t>369-99418701</t>
  </si>
  <si>
    <t>369-99418690</t>
  </si>
  <si>
    <t>369-99418686</t>
  </si>
  <si>
    <t>369-99418675</t>
  </si>
  <si>
    <t>369-99418572</t>
  </si>
  <si>
    <t>369-99418561</t>
  </si>
  <si>
    <t>369-99418550</t>
  </si>
  <si>
    <t>369-99418524</t>
  </si>
  <si>
    <t>369-99418513</t>
  </si>
  <si>
    <t>369-99418502</t>
  </si>
  <si>
    <t>369-99418491</t>
  </si>
  <si>
    <t>369-99418480</t>
  </si>
  <si>
    <t>369-99418546</t>
  </si>
  <si>
    <t>369-99418535</t>
  </si>
  <si>
    <t>752-30208975</t>
  </si>
  <si>
    <t>752-30208986</t>
  </si>
  <si>
    <t>752-30208990</t>
  </si>
  <si>
    <t>752-30209001</t>
  </si>
  <si>
    <t>752-30209012</t>
  </si>
  <si>
    <t>752-30209023</t>
  </si>
  <si>
    <t>752-30209034</t>
  </si>
  <si>
    <t>752-30209045</t>
  </si>
  <si>
    <t>752-30209056</t>
  </si>
  <si>
    <t>065-46973356</t>
  </si>
  <si>
    <t>065-46973334</t>
  </si>
  <si>
    <t>065-46975806</t>
  </si>
  <si>
    <t>065-46973360</t>
  </si>
  <si>
    <t>065-49852353</t>
  </si>
  <si>
    <t>065-49852342</t>
  </si>
  <si>
    <t>065-49852331</t>
  </si>
  <si>
    <t>065-49852460</t>
  </si>
  <si>
    <t>065-49852390</t>
  </si>
  <si>
    <t>065-49852456</t>
  </si>
  <si>
    <t>065-44890322</t>
  </si>
  <si>
    <t>065-49852423</t>
  </si>
  <si>
    <t>065-49852316</t>
  </si>
  <si>
    <t>065-49852320</t>
  </si>
  <si>
    <t>065-49852364</t>
  </si>
  <si>
    <t>065-49852434</t>
  </si>
  <si>
    <t>065-49852445</t>
  </si>
  <si>
    <t>065-49852386</t>
  </si>
  <si>
    <t>065-49852375</t>
  </si>
  <si>
    <t>065-49852401</t>
  </si>
  <si>
    <t>065-49852412</t>
  </si>
  <si>
    <t>160-12267835</t>
  </si>
  <si>
    <t>160-12267824</t>
  </si>
  <si>
    <t>157-52641466</t>
  </si>
  <si>
    <t>157-52641455</t>
  </si>
  <si>
    <t>157-52641481</t>
  </si>
  <si>
    <t>157-52641470</t>
  </si>
  <si>
    <t>157-52641492</t>
  </si>
  <si>
    <t>157-52641503</t>
  </si>
  <si>
    <t>157-52641525</t>
  </si>
  <si>
    <t>157-52641536</t>
  </si>
  <si>
    <t>157-52641540</t>
  </si>
  <si>
    <t>157-51285872</t>
  </si>
  <si>
    <t>157-51285883</t>
  </si>
  <si>
    <t>157-51285894</t>
  </si>
  <si>
    <t>157-51285905</t>
  </si>
  <si>
    <t>157-51285953</t>
  </si>
  <si>
    <t>157-51285942</t>
  </si>
  <si>
    <t>157-51285964</t>
  </si>
  <si>
    <t>157-51285916</t>
  </si>
  <si>
    <t>157-51285920</t>
  </si>
  <si>
    <t>157-51285975</t>
  </si>
  <si>
    <t>157-51285931</t>
  </si>
  <si>
    <t>157-51285986</t>
  </si>
  <si>
    <t>157-52640744</t>
  </si>
  <si>
    <t>157-52640755</t>
  </si>
  <si>
    <t>157-52640766</t>
  </si>
  <si>
    <t>157-52640803</t>
  </si>
  <si>
    <t>157-52640770</t>
  </si>
  <si>
    <t>157-52640781</t>
  </si>
  <si>
    <t>157-52640792</t>
  </si>
  <si>
    <t>157-52640814</t>
  </si>
  <si>
    <t>157-52640836</t>
  </si>
  <si>
    <t>157-52640825</t>
  </si>
  <si>
    <t>157-54738666</t>
  </si>
  <si>
    <t>157-52641514</t>
  </si>
  <si>
    <t>157-52640840</t>
  </si>
  <si>
    <t>157-52640851</t>
  </si>
  <si>
    <t>157-52640862</t>
  </si>
  <si>
    <t>157-54738655</t>
  </si>
  <si>
    <t>157-52641595</t>
  </si>
  <si>
    <t>157-52641606</t>
  </si>
  <si>
    <t>157-51283750</t>
  </si>
  <si>
    <t>157-51283746</t>
  </si>
  <si>
    <t>157-51283621</t>
  </si>
  <si>
    <t>157-51283632</t>
  </si>
  <si>
    <t>157-51283654</t>
  </si>
  <si>
    <t>157-51283971</t>
  </si>
  <si>
    <t>157-51283945</t>
  </si>
  <si>
    <t>157-51283665</t>
  </si>
  <si>
    <t>157-51283783</t>
  </si>
  <si>
    <t>157-51283934</t>
  </si>
  <si>
    <t>157-51283761</t>
  </si>
  <si>
    <t>157-51283794</t>
  </si>
  <si>
    <t>157-51283606</t>
  </si>
  <si>
    <t>157-51283595</t>
  </si>
  <si>
    <t>157-51283610</t>
  </si>
  <si>
    <t>157-51283805</t>
  </si>
  <si>
    <t>157-51283584</t>
  </si>
  <si>
    <t>157-51283912</t>
  </si>
  <si>
    <t>157-51283923</t>
  </si>
  <si>
    <t>157-51283772</t>
  </si>
  <si>
    <t>157-51283816</t>
  </si>
  <si>
    <t>157-51283831</t>
  </si>
  <si>
    <t>157-51283956</t>
  </si>
  <si>
    <t>157-51283842</t>
  </si>
  <si>
    <t>157-51283820</t>
  </si>
  <si>
    <t>157-51282630</t>
  </si>
  <si>
    <t>157-51283853</t>
  </si>
  <si>
    <t>157-51283676</t>
  </si>
  <si>
    <t>157-51283680</t>
  </si>
  <si>
    <t>157-51283691</t>
  </si>
  <si>
    <t>157-51283702</t>
  </si>
  <si>
    <t>157-51283864</t>
  </si>
  <si>
    <t>157-51283875</t>
  </si>
  <si>
    <t>157-51283960</t>
  </si>
  <si>
    <t>157-51283886</t>
  </si>
  <si>
    <t>157-51283713</t>
  </si>
  <si>
    <t>157-51283890</t>
  </si>
  <si>
    <t>157-51283724</t>
  </si>
  <si>
    <t>157-51283901</t>
  </si>
  <si>
    <t>157-54738294</t>
  </si>
  <si>
    <t>157-51283735</t>
  </si>
  <si>
    <t>157-54738305</t>
  </si>
  <si>
    <t>157-54738316</t>
  </si>
  <si>
    <t>157-54738320</t>
  </si>
  <si>
    <t>160-12267813</t>
  </si>
  <si>
    <t>160-12267802</t>
  </si>
  <si>
    <t>160-12267791</t>
  </si>
  <si>
    <t>CV7856</t>
  </si>
  <si>
    <t>172-04322813</t>
  </si>
  <si>
    <t>235-97854094</t>
  </si>
  <si>
    <t>235-96187571</t>
  </si>
  <si>
    <t>235-96187475</t>
  </si>
  <si>
    <t>065-49852471</t>
  </si>
  <si>
    <t>065-49852482</t>
  </si>
  <si>
    <t>065-49852493</t>
  </si>
  <si>
    <t>065-49852504</t>
  </si>
  <si>
    <t>065-49852515</t>
  </si>
  <si>
    <t>065-49852596</t>
  </si>
  <si>
    <t>065-49852526</t>
  </si>
  <si>
    <t>065-49852600</t>
  </si>
  <si>
    <t>065-49852611</t>
  </si>
  <si>
    <t>065-49852530</t>
  </si>
  <si>
    <t>065-49852622</t>
  </si>
  <si>
    <t>065-44890355</t>
  </si>
  <si>
    <t>065-49852541</t>
  </si>
  <si>
    <t>065-44890366</t>
  </si>
  <si>
    <t>065-49852585</t>
  </si>
  <si>
    <t>065-44890370</t>
  </si>
  <si>
    <t>065-44890381</t>
  </si>
  <si>
    <t>065-44890392</t>
  </si>
  <si>
    <t>065-49852552</t>
  </si>
  <si>
    <t>065-44890403</t>
  </si>
  <si>
    <t>065-44890414</t>
  </si>
  <si>
    <t>065-49852563</t>
  </si>
  <si>
    <t>065-44890425</t>
  </si>
  <si>
    <t>065-44890436</t>
  </si>
  <si>
    <t>065-44890440</t>
  </si>
  <si>
    <t>065-44890451</t>
  </si>
  <si>
    <t>065-49852574</t>
  </si>
  <si>
    <t>157-54738714</t>
  </si>
  <si>
    <t>157-54738703</t>
  </si>
  <si>
    <t>157-54738692</t>
  </si>
  <si>
    <t>157-54738736</t>
  </si>
  <si>
    <t>157-54738681</t>
  </si>
  <si>
    <t>157-54738762</t>
  </si>
  <si>
    <t>157-54738751</t>
  </si>
  <si>
    <t>157-54738725</t>
  </si>
  <si>
    <t>157-54738740</t>
  </si>
  <si>
    <t>157-54738773</t>
  </si>
  <si>
    <t>157-54738784</t>
  </si>
  <si>
    <t>157-54738795</t>
  </si>
  <si>
    <t>157-54738670</t>
  </si>
  <si>
    <t>157-58186892</t>
  </si>
  <si>
    <t>157-58186940</t>
  </si>
  <si>
    <t>157-58186936</t>
  </si>
  <si>
    <t>157-58186903</t>
  </si>
  <si>
    <t>157-58186914</t>
  </si>
  <si>
    <t>157-58186925</t>
  </si>
  <si>
    <t>157-58186951</t>
  </si>
  <si>
    <t>157-58186962</t>
  </si>
  <si>
    <t>157-58186984</t>
  </si>
  <si>
    <t>157-58186973</t>
  </si>
  <si>
    <t>157-58187113</t>
  </si>
  <si>
    <t>157-58187124</t>
  </si>
  <si>
    <t>157-58187054</t>
  </si>
  <si>
    <t>157-58187065</t>
  </si>
  <si>
    <t>157-58187076</t>
  </si>
  <si>
    <t>157-58187080</t>
  </si>
  <si>
    <t>157-58187091</t>
  </si>
  <si>
    <t>157-58187102</t>
  </si>
  <si>
    <t>157-58186995</t>
  </si>
  <si>
    <t>157-58187010</t>
  </si>
  <si>
    <t>157-58187021</t>
  </si>
  <si>
    <t>157-58187032</t>
  </si>
  <si>
    <t>157-51283982</t>
  </si>
  <si>
    <t>157-51283993</t>
  </si>
  <si>
    <t>157-51284004</t>
  </si>
  <si>
    <t>157-51284015</t>
  </si>
  <si>
    <t>157-51284166</t>
  </si>
  <si>
    <t>157-51284310</t>
  </si>
  <si>
    <t>157-51284354</t>
  </si>
  <si>
    <t>157-51284170</t>
  </si>
  <si>
    <t>157-51284144</t>
  </si>
  <si>
    <t>157-51284365</t>
  </si>
  <si>
    <t>157-51284155</t>
  </si>
  <si>
    <t>157-51284332</t>
  </si>
  <si>
    <t>157-51284343</t>
  </si>
  <si>
    <t>157-51284376</t>
  </si>
  <si>
    <t>157-51284026</t>
  </si>
  <si>
    <t>157-51284030</t>
  </si>
  <si>
    <t>157-51284041</t>
  </si>
  <si>
    <t>157-51284181</t>
  </si>
  <si>
    <t>157-51284052</t>
  </si>
  <si>
    <t>157-51284192</t>
  </si>
  <si>
    <t>157-51284063</t>
  </si>
  <si>
    <t>157-51284074</t>
  </si>
  <si>
    <t>157-51284085</t>
  </si>
  <si>
    <t>157-51284096</t>
  </si>
  <si>
    <t>157-51284203</t>
  </si>
  <si>
    <t>157-51284321</t>
  </si>
  <si>
    <t>157-51284214</t>
  </si>
  <si>
    <t>157-51284100</t>
  </si>
  <si>
    <t>157-51284111</t>
  </si>
  <si>
    <t>157-51284225</t>
  </si>
  <si>
    <t>157-51284122</t>
  </si>
  <si>
    <t>157-51284236</t>
  </si>
  <si>
    <t>157-51284133</t>
  </si>
  <si>
    <t>157-51284240</t>
  </si>
  <si>
    <t>157-51284251</t>
  </si>
  <si>
    <t>157-54738611</t>
  </si>
  <si>
    <t>157-54738600</t>
  </si>
  <si>
    <t>157-54738596</t>
  </si>
  <si>
    <t>157-51285360</t>
  </si>
  <si>
    <t>157-51285135</t>
  </si>
  <si>
    <t>157-51285091</t>
  </si>
  <si>
    <t>157-51285054</t>
  </si>
  <si>
    <t>157-51285275</t>
  </si>
  <si>
    <t>157-54738585</t>
  </si>
  <si>
    <t>157-51285146</t>
  </si>
  <si>
    <t>157-54738574</t>
  </si>
  <si>
    <t>157-54738563</t>
  </si>
  <si>
    <t>157-52641562</t>
  </si>
  <si>
    <t>157-54738552</t>
  </si>
  <si>
    <t>157-54738541</t>
  </si>
  <si>
    <t>157-51285264</t>
  </si>
  <si>
    <t>157-51285150</t>
  </si>
  <si>
    <t>157-51285220</t>
  </si>
  <si>
    <t>157-52641573</t>
  </si>
  <si>
    <t>157-51285183</t>
  </si>
  <si>
    <t>157-52641584</t>
  </si>
  <si>
    <t>157-51285080</t>
  </si>
  <si>
    <t>157-52641805</t>
  </si>
  <si>
    <t>157-51285356</t>
  </si>
  <si>
    <t>157-51285253</t>
  </si>
  <si>
    <t>157-51285102</t>
  </si>
  <si>
    <t>157-51285345</t>
  </si>
  <si>
    <t>157-51285334</t>
  </si>
  <si>
    <t>157-51285172</t>
  </si>
  <si>
    <t>157-51285161</t>
  </si>
  <si>
    <t>157-52641820</t>
  </si>
  <si>
    <t>157-52641816</t>
  </si>
  <si>
    <t>157-51285323</t>
  </si>
  <si>
    <t>157-51285312</t>
  </si>
  <si>
    <t>157-51285301</t>
  </si>
  <si>
    <t>157-51285242</t>
  </si>
  <si>
    <t>157-51285216</t>
  </si>
  <si>
    <t>157-51285205</t>
  </si>
  <si>
    <t>157-51285194</t>
  </si>
  <si>
    <t>157-52641831</t>
  </si>
  <si>
    <t>157-51285076</t>
  </si>
  <si>
    <t>157-51285065</t>
  </si>
  <si>
    <t>157-51285231</t>
  </si>
  <si>
    <t>157-51285124</t>
  </si>
  <si>
    <t>157-51285113</t>
  </si>
  <si>
    <t>157-54738622</t>
  </si>
  <si>
    <t>157-54738633</t>
  </si>
  <si>
    <t>157-51285290</t>
  </si>
  <si>
    <t>157-51285286</t>
  </si>
  <si>
    <t>157-51285043</t>
  </si>
  <si>
    <t>160-12267850</t>
  </si>
  <si>
    <t>160-12267846</t>
  </si>
  <si>
    <t>369-99407162</t>
  </si>
  <si>
    <t>369-99407184</t>
  </si>
  <si>
    <t>369-99407173</t>
  </si>
  <si>
    <t>369-99407195</t>
  </si>
  <si>
    <t>369-99421744</t>
  </si>
  <si>
    <t>369-99421755</t>
  </si>
  <si>
    <t>369-99421862</t>
  </si>
  <si>
    <t>369-99421873</t>
  </si>
  <si>
    <t>369-99422024</t>
  </si>
  <si>
    <t>369-99421906</t>
  </si>
  <si>
    <t>369-99421910</t>
  </si>
  <si>
    <t>369-99419541</t>
  </si>
  <si>
    <t>369-99419552</t>
  </si>
  <si>
    <t>369-99421641</t>
  </si>
  <si>
    <t>369-99421652</t>
  </si>
  <si>
    <t>369-99421663</t>
  </si>
  <si>
    <t>369-99421674</t>
  </si>
  <si>
    <t>369-99421685</t>
  </si>
  <si>
    <t>369-99421696</t>
  </si>
  <si>
    <t>369-99421700</t>
  </si>
  <si>
    <t>369-99421711</t>
  </si>
  <si>
    <t>369-99421722</t>
  </si>
  <si>
    <t>369-99421733</t>
  </si>
  <si>
    <t>369-99419574</t>
  </si>
  <si>
    <t>369-99419585</t>
  </si>
  <si>
    <t>369-99419596</t>
  </si>
  <si>
    <t>369-99419600</t>
  </si>
  <si>
    <t>369-99419611</t>
  </si>
  <si>
    <t>369-99421630</t>
  </si>
  <si>
    <t>369-99421991</t>
  </si>
  <si>
    <t>369-99422002</t>
  </si>
  <si>
    <t>369-99422013</t>
  </si>
  <si>
    <t>369-99421766</t>
  </si>
  <si>
    <t>369-99421770</t>
  </si>
  <si>
    <t>369-99421781</t>
  </si>
  <si>
    <t>369-99421884</t>
  </si>
  <si>
    <t>369-99421895</t>
  </si>
  <si>
    <t>369-99421792</t>
  </si>
  <si>
    <t>369-99421803</t>
  </si>
  <si>
    <t>369-99421814</t>
  </si>
  <si>
    <t>369-99421825</t>
  </si>
  <si>
    <t>369-99421836</t>
  </si>
  <si>
    <t>369-99421840</t>
  </si>
  <si>
    <t>369-99421851</t>
  </si>
  <si>
    <t>369-99415853</t>
  </si>
  <si>
    <t>369-99415864</t>
  </si>
  <si>
    <t>369-99415772</t>
  </si>
  <si>
    <t>F57607</t>
  </si>
  <si>
    <t>752-30209060</t>
  </si>
  <si>
    <t>752-30209152</t>
  </si>
  <si>
    <t>752-30209163</t>
  </si>
  <si>
    <t>752-30209174</t>
  </si>
  <si>
    <t>752-30209185</t>
  </si>
  <si>
    <t>752-30209196</t>
  </si>
  <si>
    <t>752-30209200</t>
  </si>
  <si>
    <t>752-30209211</t>
  </si>
  <si>
    <t>752-30209233</t>
  </si>
  <si>
    <t>752-30209244</t>
  </si>
  <si>
    <t>752-30209071</t>
  </si>
  <si>
    <t>752-30209281</t>
  </si>
  <si>
    <t>752-30209270</t>
  </si>
  <si>
    <t>752-30209292</t>
  </si>
  <si>
    <t>752-30209303</t>
  </si>
  <si>
    <t>752-30209266</t>
  </si>
  <si>
    <t>752-30209255</t>
  </si>
  <si>
    <t>936-02197941</t>
  </si>
  <si>
    <t>936-02197882</t>
  </si>
  <si>
    <t>994-30287165</t>
  </si>
  <si>
    <t>065-44340925</t>
  </si>
  <si>
    <t>065-44340914</t>
  </si>
  <si>
    <t>065-44341006</t>
  </si>
  <si>
    <t>065-44340936</t>
  </si>
  <si>
    <t>065-44341021</t>
  </si>
  <si>
    <t>065-44341010</t>
  </si>
  <si>
    <t>065-42317936</t>
  </si>
  <si>
    <t>065-42336593</t>
  </si>
  <si>
    <t>065-42336604</t>
  </si>
  <si>
    <t>065-42336722</t>
  </si>
  <si>
    <t>065-42336663</t>
  </si>
  <si>
    <t>065-42336685</t>
  </si>
  <si>
    <t>065-42336733</t>
  </si>
  <si>
    <t>065-42336803</t>
  </si>
  <si>
    <t>065-42336814</t>
  </si>
  <si>
    <t>065-42336696</t>
  </si>
  <si>
    <t>065-46973916</t>
  </si>
  <si>
    <t>065-46973905</t>
  </si>
  <si>
    <t>065-46974104</t>
  </si>
  <si>
    <t>065-46975810</t>
  </si>
  <si>
    <t>065-46975821</t>
  </si>
  <si>
    <t>065-46974141</t>
  </si>
  <si>
    <t>065-46975832</t>
  </si>
  <si>
    <t>065-46974185</t>
  </si>
  <si>
    <t>065-46974152</t>
  </si>
  <si>
    <t>QR815</t>
  </si>
  <si>
    <t>157-53805485</t>
  </si>
  <si>
    <t>160-12267872</t>
  </si>
  <si>
    <t>160-12267861</t>
  </si>
  <si>
    <t>TK6267</t>
  </si>
  <si>
    <t>235-97856113</t>
  </si>
  <si>
    <t>369-99421921</t>
  </si>
  <si>
    <t>369-99421932</t>
  </si>
  <si>
    <t>369-99421943</t>
  </si>
  <si>
    <t>369-99421954</t>
  </si>
  <si>
    <t>369-99421965</t>
  </si>
  <si>
    <t>369-99421976</t>
  </si>
  <si>
    <t>369-99421980</t>
  </si>
  <si>
    <t>369-99422131</t>
  </si>
  <si>
    <t>369-99422142</t>
  </si>
  <si>
    <t>369-99422153</t>
  </si>
  <si>
    <t>369-99422164</t>
  </si>
  <si>
    <t>369-99422175</t>
  </si>
  <si>
    <t>369-99422201</t>
  </si>
  <si>
    <t>369-99422212</t>
  </si>
  <si>
    <t>369-99422400</t>
  </si>
  <si>
    <t>369-99422411</t>
  </si>
  <si>
    <t>369-99422422</t>
  </si>
  <si>
    <t>369-99422433</t>
  </si>
  <si>
    <t>369-99422444</t>
  </si>
  <si>
    <t>369-99422455</t>
  </si>
  <si>
    <t>369-99422503</t>
  </si>
  <si>
    <t>369-99422514</t>
  </si>
  <si>
    <t>369-99422525</t>
  </si>
  <si>
    <t>369-99422035</t>
  </si>
  <si>
    <t>369-99422046</t>
  </si>
  <si>
    <t>369-99422050</t>
  </si>
  <si>
    <t>369-99422061</t>
  </si>
  <si>
    <t>369-99422072</t>
  </si>
  <si>
    <t>369-99422083</t>
  </si>
  <si>
    <t>369-99422094</t>
  </si>
  <si>
    <t>369-99422105</t>
  </si>
  <si>
    <t>369-99422116</t>
  </si>
  <si>
    <t>369-99422120</t>
  </si>
  <si>
    <t>369-99422536</t>
  </si>
  <si>
    <t>369-99422540</t>
  </si>
  <si>
    <t>369-99422551</t>
  </si>
  <si>
    <t>369-99422562</t>
  </si>
  <si>
    <t>369-99422186</t>
  </si>
  <si>
    <t>369-99422190</t>
  </si>
  <si>
    <t>369-99422223</t>
  </si>
  <si>
    <t>F57609</t>
  </si>
  <si>
    <t>752-30209082</t>
  </si>
  <si>
    <t>752-30209314</t>
  </si>
  <si>
    <t>752-30209325</t>
  </si>
  <si>
    <t>752-30209336</t>
  </si>
  <si>
    <t>752-30209340</t>
  </si>
  <si>
    <t>752-30209351</t>
  </si>
  <si>
    <t>DL88</t>
  </si>
  <si>
    <t>006-53404186</t>
  </si>
  <si>
    <t>157-54738644</t>
  </si>
  <si>
    <t>157-54738880</t>
  </si>
  <si>
    <t>157-54738891</t>
  </si>
  <si>
    <t>157-58186225</t>
  </si>
  <si>
    <t>157-54738902</t>
  </si>
  <si>
    <t>157-54738913</t>
  </si>
  <si>
    <t>157-58185901</t>
  </si>
  <si>
    <t>157-58185912</t>
  </si>
  <si>
    <t>157-58185923</t>
  </si>
  <si>
    <t>157-58185934</t>
  </si>
  <si>
    <t>157-58185945</t>
  </si>
  <si>
    <t>157-58186133</t>
  </si>
  <si>
    <t>157-58185956</t>
  </si>
  <si>
    <t>157-58185982</t>
  </si>
  <si>
    <t>157-58185993</t>
  </si>
  <si>
    <t>157-58186004</t>
  </si>
  <si>
    <t>157-54738935</t>
  </si>
  <si>
    <t>157-58186015</t>
  </si>
  <si>
    <t>157-54738924</t>
  </si>
  <si>
    <t>157-58186155</t>
  </si>
  <si>
    <t>157-58186026</t>
  </si>
  <si>
    <t>157-58186030</t>
  </si>
  <si>
    <t>157-58186041</t>
  </si>
  <si>
    <t>157-58186214</t>
  </si>
  <si>
    <t>157-58186144</t>
  </si>
  <si>
    <t>157-58186052</t>
  </si>
  <si>
    <t>157-58186100</t>
  </si>
  <si>
    <t>157-58186170</t>
  </si>
  <si>
    <t>157-58186111</t>
  </si>
  <si>
    <t>157-58185971</t>
  </si>
  <si>
    <t>157-58186122</t>
  </si>
  <si>
    <t>157-58186063</t>
  </si>
  <si>
    <t>157-58185960</t>
  </si>
  <si>
    <t>157-58186074</t>
  </si>
  <si>
    <t>157-58186192</t>
  </si>
  <si>
    <t>157-58186203</t>
  </si>
  <si>
    <t>157-58186181</t>
  </si>
  <si>
    <t>157-54738946</t>
  </si>
  <si>
    <t>157-58186166</t>
  </si>
  <si>
    <t>157-54738950</t>
  </si>
  <si>
    <t>157-58186085</t>
  </si>
  <si>
    <t>157-58186096</t>
  </si>
  <si>
    <t>157-52641632</t>
  </si>
  <si>
    <t>157-52641643</t>
  </si>
  <si>
    <t>157-52641654</t>
  </si>
  <si>
    <t>157-52641842</t>
  </si>
  <si>
    <t>157-52641853</t>
  </si>
  <si>
    <t>157-52641864</t>
  </si>
  <si>
    <t>157-54738283</t>
  </si>
  <si>
    <t>160-12267894</t>
  </si>
  <si>
    <t>160-12267883</t>
  </si>
  <si>
    <t>369-99422643</t>
  </si>
  <si>
    <t>369-99422632</t>
  </si>
  <si>
    <t>369-99422713</t>
  </si>
  <si>
    <t>369-99422724</t>
  </si>
  <si>
    <t>369-99422735</t>
  </si>
  <si>
    <t>369-99422746</t>
  </si>
  <si>
    <t>369-99422750</t>
  </si>
  <si>
    <t>369-99422761</t>
  </si>
  <si>
    <t>369-99422956</t>
  </si>
  <si>
    <t>369-99422304</t>
  </si>
  <si>
    <t>369-99422315</t>
  </si>
  <si>
    <t>369-99422326</t>
  </si>
  <si>
    <t>369-99422330</t>
  </si>
  <si>
    <t>369-99422341</t>
  </si>
  <si>
    <t>369-99422352</t>
  </si>
  <si>
    <t>369-99422363</t>
  </si>
  <si>
    <t>369-99422374</t>
  </si>
  <si>
    <t>369-99422385</t>
  </si>
  <si>
    <t>369-99422396</t>
  </si>
  <si>
    <t>369-99422691</t>
  </si>
  <si>
    <t>369-99422702</t>
  </si>
  <si>
    <t>369-99422234</t>
  </si>
  <si>
    <t>369-99422245</t>
  </si>
  <si>
    <t>369-99422256</t>
  </si>
  <si>
    <t>369-99422260</t>
  </si>
  <si>
    <t>369-99422271</t>
  </si>
  <si>
    <t>369-99422282</t>
  </si>
  <si>
    <t>369-99422293</t>
  </si>
  <si>
    <t>369-99422466</t>
  </si>
  <si>
    <t>369-99422470</t>
  </si>
  <si>
    <t>369-99422481</t>
  </si>
  <si>
    <t>369-99422492</t>
  </si>
  <si>
    <t>369-99422654</t>
  </si>
  <si>
    <t>369-99422665</t>
  </si>
  <si>
    <t>369-99422676</t>
  </si>
  <si>
    <t>369-99422680</t>
  </si>
  <si>
    <t>369-99422573</t>
  </si>
  <si>
    <t>369-99422584</t>
  </si>
  <si>
    <t>369-99422595</t>
  </si>
  <si>
    <t>369-99422606</t>
  </si>
  <si>
    <t>369-99422610</t>
  </si>
  <si>
    <t>369-99422621</t>
  </si>
  <si>
    <t>369-99415794</t>
  </si>
  <si>
    <t>369-99415886</t>
  </si>
  <si>
    <t>369-99429374</t>
  </si>
  <si>
    <t>369-99415890</t>
  </si>
  <si>
    <t>752-30209093</t>
  </si>
  <si>
    <t>752-30209362</t>
  </si>
  <si>
    <t>752-30209373</t>
  </si>
  <si>
    <t>752-30209384</t>
  </si>
  <si>
    <t>752-30209395</t>
  </si>
  <si>
    <t>752-30209406</t>
  </si>
  <si>
    <t>752-30209410</t>
  </si>
  <si>
    <t>752-30209421</t>
  </si>
  <si>
    <t>936-00316466</t>
  </si>
  <si>
    <t>936-00316455</t>
  </si>
  <si>
    <t>936-00316444</t>
  </si>
  <si>
    <t>936-00316433</t>
  </si>
  <si>
    <t>065-46974196</t>
  </si>
  <si>
    <t>065-46974222</t>
  </si>
  <si>
    <t>065-46974266</t>
  </si>
  <si>
    <t>065-46975272</t>
  </si>
  <si>
    <t>065-46974270</t>
  </si>
  <si>
    <t>065-46975283</t>
  </si>
  <si>
    <t>157-58184361</t>
  </si>
  <si>
    <t>157-58184464</t>
  </si>
  <si>
    <t>157-58184685</t>
  </si>
  <si>
    <t>157-58184490</t>
  </si>
  <si>
    <t>157-58184302</t>
  </si>
  <si>
    <t>157-58184313</t>
  </si>
  <si>
    <t>157-58184324</t>
  </si>
  <si>
    <t>157-58184335</t>
  </si>
  <si>
    <t>157-58184630</t>
  </si>
  <si>
    <t>157-58184372</t>
  </si>
  <si>
    <t>157-58184383</t>
  </si>
  <si>
    <t>157-54738386</t>
  </si>
  <si>
    <t>157-58184501</t>
  </si>
  <si>
    <t>157-58184394</t>
  </si>
  <si>
    <t>157-58184545</t>
  </si>
  <si>
    <t>157-58184405</t>
  </si>
  <si>
    <t>157-58184523</t>
  </si>
  <si>
    <t>157-58184534</t>
  </si>
  <si>
    <t>157-58184416</t>
  </si>
  <si>
    <t>157-58184420</t>
  </si>
  <si>
    <t>157-58184641</t>
  </si>
  <si>
    <t>157-58184652</t>
  </si>
  <si>
    <t>157-58184560</t>
  </si>
  <si>
    <t>157-58184571</t>
  </si>
  <si>
    <t>157-58184663</t>
  </si>
  <si>
    <t>157-58184674</t>
  </si>
  <si>
    <t>157-58184696</t>
  </si>
  <si>
    <t>157-58184431</t>
  </si>
  <si>
    <t>157-58184442</t>
  </si>
  <si>
    <t>157-58184453</t>
  </si>
  <si>
    <t>157-58184475</t>
  </si>
  <si>
    <t>157-58184556</t>
  </si>
  <si>
    <t>157-58184486</t>
  </si>
  <si>
    <t>157-58184582</t>
  </si>
  <si>
    <t>157-54738375</t>
  </si>
  <si>
    <t>157-58184512</t>
  </si>
  <si>
    <t>157-51282221</t>
  </si>
  <si>
    <t>157-54738331</t>
  </si>
  <si>
    <t>160-12267916</t>
  </si>
  <si>
    <t>160-12267905</t>
  </si>
  <si>
    <t>5Y8032</t>
  </si>
  <si>
    <t>369-99422772</t>
  </si>
  <si>
    <t>369-99422783</t>
  </si>
  <si>
    <t>369-99422794</t>
  </si>
  <si>
    <t>369-99422805</t>
  </si>
  <si>
    <t>369-99422816</t>
  </si>
  <si>
    <t>369-99422820</t>
  </si>
  <si>
    <t>369-99422831</t>
  </si>
  <si>
    <t>369-99422842</t>
  </si>
  <si>
    <t>369-99422853</t>
  </si>
  <si>
    <t>369-99422864</t>
  </si>
  <si>
    <t>369-99422875</t>
  </si>
  <si>
    <t>369-99422886</t>
  </si>
  <si>
    <t>369-99422890</t>
  </si>
  <si>
    <t>369-99422901</t>
  </si>
  <si>
    <t>369-99422912</t>
  </si>
  <si>
    <t>369-99422923</t>
  </si>
  <si>
    <t>369-99422934</t>
  </si>
  <si>
    <t>369-99422945</t>
  </si>
  <si>
    <t>369-99422960</t>
  </si>
  <si>
    <t>369-99422971</t>
  </si>
  <si>
    <t>369-99422982</t>
  </si>
  <si>
    <t>369-99422993</t>
  </si>
  <si>
    <t>369-99423004</t>
  </si>
  <si>
    <t>369-99423015</t>
  </si>
  <si>
    <t>369-99423026</t>
  </si>
  <si>
    <t>369-99423030</t>
  </si>
  <si>
    <t>369-99423041</t>
  </si>
  <si>
    <t>369-99423052</t>
  </si>
  <si>
    <t>369-99423063</t>
  </si>
  <si>
    <t>369-99423074</t>
  </si>
  <si>
    <t>369-99423085</t>
  </si>
  <si>
    <t>369-99423096</t>
  </si>
  <si>
    <t>369-99423155</t>
  </si>
  <si>
    <t>369-99423100</t>
  </si>
  <si>
    <t>369-99423111</t>
  </si>
  <si>
    <t>369-99423122</t>
  </si>
  <si>
    <t>369-99423166</t>
  </si>
  <si>
    <t>369-99423133</t>
  </si>
  <si>
    <t>369-99423144</t>
  </si>
  <si>
    <t>369-99423192</t>
  </si>
  <si>
    <t>065-49764676</t>
  </si>
  <si>
    <t>065-49764680</t>
  </si>
  <si>
    <t>065-49852692</t>
  </si>
  <si>
    <t>065-49852703</t>
  </si>
  <si>
    <t>065-49852784</t>
  </si>
  <si>
    <t>065-46974281</t>
  </si>
  <si>
    <t>065-46974292</t>
  </si>
  <si>
    <t>065-46974546</t>
  </si>
  <si>
    <t>065-46975320</t>
  </si>
  <si>
    <t>157-58187043</t>
  </si>
  <si>
    <t>157-58187006</t>
  </si>
  <si>
    <t>157-58187290</t>
  </si>
  <si>
    <t>157-58187253</t>
  </si>
  <si>
    <t>157-58187264</t>
  </si>
  <si>
    <t>157-58187275</t>
  </si>
  <si>
    <t>157-58187286</t>
  </si>
  <si>
    <t>157-58187183</t>
  </si>
  <si>
    <t>157-58187146</t>
  </si>
  <si>
    <t>157-58187161</t>
  </si>
  <si>
    <t>157-58187150</t>
  </si>
  <si>
    <t>157-58187172</t>
  </si>
  <si>
    <t>157-58187194</t>
  </si>
  <si>
    <t>157-58187205</t>
  </si>
  <si>
    <t>157-58187216</t>
  </si>
  <si>
    <t>157-58187220</t>
  </si>
  <si>
    <t>157-58187231</t>
  </si>
  <si>
    <t>157-58187242</t>
  </si>
  <si>
    <t>157-58187135</t>
  </si>
  <si>
    <t>157-54738806</t>
  </si>
  <si>
    <t>157-58187371</t>
  </si>
  <si>
    <t>157-58187382</t>
  </si>
  <si>
    <t>157-54738810</t>
  </si>
  <si>
    <t>157-54738821</t>
  </si>
  <si>
    <t>157-58187301</t>
  </si>
  <si>
    <t>157-54738832</t>
  </si>
  <si>
    <t>157-58187312</t>
  </si>
  <si>
    <t>157-54738843</t>
  </si>
  <si>
    <t>157-58187356</t>
  </si>
  <si>
    <t>157-58187360</t>
  </si>
  <si>
    <t>157-54738854</t>
  </si>
  <si>
    <t>157-54738865</t>
  </si>
  <si>
    <t>157-58187323</t>
  </si>
  <si>
    <t>157-54738876</t>
  </si>
  <si>
    <t>157-58187334</t>
  </si>
  <si>
    <t>157-54739005</t>
  </si>
  <si>
    <t>157-54739016</t>
  </si>
  <si>
    <t>157-54738983</t>
  </si>
  <si>
    <t>157-54738994</t>
  </si>
  <si>
    <t>157-58187345</t>
  </si>
  <si>
    <t>157-54739020</t>
  </si>
  <si>
    <t>157-54739031</t>
  </si>
  <si>
    <t>157-54739042</t>
  </si>
  <si>
    <t>157-54739086</t>
  </si>
  <si>
    <t>157-54739123</t>
  </si>
  <si>
    <t>157-54739064</t>
  </si>
  <si>
    <t>157-54739090</t>
  </si>
  <si>
    <t>157-54739112</t>
  </si>
  <si>
    <t>157-54739075</t>
  </si>
  <si>
    <t>157-54739053</t>
  </si>
  <si>
    <t>QR8407</t>
  </si>
  <si>
    <t>157-53805496</t>
  </si>
  <si>
    <t>160-12267931</t>
  </si>
  <si>
    <t>160-12267920</t>
  </si>
  <si>
    <t>160-12267942</t>
  </si>
  <si>
    <t>160-12267964</t>
  </si>
  <si>
    <t>160-12267953</t>
  </si>
  <si>
    <t>157-58186262</t>
  </si>
  <si>
    <t>157-58186520</t>
  </si>
  <si>
    <t>157-58313124</t>
  </si>
  <si>
    <t>157-54738972</t>
  </si>
  <si>
    <t>157-58186295</t>
  </si>
  <si>
    <t>157-58186284</t>
  </si>
  <si>
    <t>157-58186376</t>
  </si>
  <si>
    <t>157-58186332</t>
  </si>
  <si>
    <t>157-58186424</t>
  </si>
  <si>
    <t>157-58186413</t>
  </si>
  <si>
    <t>157-58186380</t>
  </si>
  <si>
    <t>157-58186273</t>
  </si>
  <si>
    <t>157-54738961</t>
  </si>
  <si>
    <t>157-58186365</t>
  </si>
  <si>
    <t>157-58186354</t>
  </si>
  <si>
    <t>157-58186483</t>
  </si>
  <si>
    <t>157-58186240</t>
  </si>
  <si>
    <t>157-58186402</t>
  </si>
  <si>
    <t>157-58186461</t>
  </si>
  <si>
    <t>157-58186450</t>
  </si>
  <si>
    <t>157-58186251</t>
  </si>
  <si>
    <t>157-58186531</t>
  </si>
  <si>
    <t>157-58186472</t>
  </si>
  <si>
    <t>157-58186542</t>
  </si>
  <si>
    <t>157-58186343</t>
  </si>
  <si>
    <t>157-58186310</t>
  </si>
  <si>
    <t>157-58186446</t>
  </si>
  <si>
    <t>157-58186321</t>
  </si>
  <si>
    <t>157-58186505</t>
  </si>
  <si>
    <t>157-58186494</t>
  </si>
  <si>
    <t>157-58186306</t>
  </si>
  <si>
    <t>157-54738390</t>
  </si>
  <si>
    <t>157-54738412</t>
  </si>
  <si>
    <t>157-54738401</t>
  </si>
  <si>
    <t>157-58186236</t>
  </si>
  <si>
    <t>157-58313205</t>
  </si>
  <si>
    <t>157-58186391</t>
  </si>
  <si>
    <t>157-58313194</t>
  </si>
  <si>
    <t>157-58313183</t>
  </si>
  <si>
    <t>157-58186435</t>
  </si>
  <si>
    <t>157-58313220</t>
  </si>
  <si>
    <t>157-58186516</t>
  </si>
  <si>
    <t>157-58313216</t>
  </si>
  <si>
    <t>157-58186553</t>
  </si>
  <si>
    <t>157-54738434</t>
  </si>
  <si>
    <t>157-54738423</t>
  </si>
  <si>
    <t>157-58184346</t>
  </si>
  <si>
    <t>157-58184350</t>
  </si>
  <si>
    <t>157-58187592</t>
  </si>
  <si>
    <t>232-18635201</t>
  </si>
  <si>
    <t>369-99423774</t>
  </si>
  <si>
    <t>369-99423645</t>
  </si>
  <si>
    <t>369-99423634</t>
  </si>
  <si>
    <t>369-99423590</t>
  </si>
  <si>
    <t>369-99423575</t>
  </si>
  <si>
    <t>369-99423586</t>
  </si>
  <si>
    <t>369-99423564</t>
  </si>
  <si>
    <t>369-99423542</t>
  </si>
  <si>
    <t>369-99423531</t>
  </si>
  <si>
    <t>369-99423380</t>
  </si>
  <si>
    <t>369-99423376</t>
  </si>
  <si>
    <t>369-99423365</t>
  </si>
  <si>
    <t>369-99423354</t>
  </si>
  <si>
    <t>369-99423343</t>
  </si>
  <si>
    <t>369-99423332</t>
  </si>
  <si>
    <t>369-99423321</t>
  </si>
  <si>
    <t>369-99423310</t>
  </si>
  <si>
    <t>369-99423306</t>
  </si>
  <si>
    <t>369-99423295</t>
  </si>
  <si>
    <t>369-99423284</t>
  </si>
  <si>
    <t>369-99423273</t>
  </si>
  <si>
    <t>369-99423262</t>
  </si>
  <si>
    <t>369-99423251</t>
  </si>
  <si>
    <t>369-99423240</t>
  </si>
  <si>
    <t>369-99423236</t>
  </si>
  <si>
    <t>369-99423225</t>
  </si>
  <si>
    <t>369-99423214</t>
  </si>
  <si>
    <t>369-99423203</t>
  </si>
  <si>
    <t>369-99423461</t>
  </si>
  <si>
    <t>369-99423450</t>
  </si>
  <si>
    <t>369-99423446</t>
  </si>
  <si>
    <t>369-99423435</t>
  </si>
  <si>
    <t>369-99423424</t>
  </si>
  <si>
    <t>369-99423413</t>
  </si>
  <si>
    <t>369-99423402</t>
  </si>
  <si>
    <t>369-99423520</t>
  </si>
  <si>
    <t>369-99423516</t>
  </si>
  <si>
    <t>369-99423505</t>
  </si>
  <si>
    <t>369-99423494</t>
  </si>
  <si>
    <t>369-99423483</t>
  </si>
  <si>
    <t>369-99423472</t>
  </si>
  <si>
    <t>369-99423181</t>
  </si>
  <si>
    <t>369-99423170</t>
  </si>
  <si>
    <t>369-99423391</t>
  </si>
  <si>
    <t>369-99429444</t>
  </si>
  <si>
    <t>369-99429455</t>
  </si>
  <si>
    <t>369-99429466</t>
  </si>
  <si>
    <t>369-99429470</t>
  </si>
  <si>
    <t>369-99415805</t>
  </si>
  <si>
    <t>369-99415816</t>
  </si>
  <si>
    <t>752-30209513</t>
  </si>
  <si>
    <t>752-30209524</t>
  </si>
  <si>
    <t>752-30209535</t>
  </si>
  <si>
    <t>752-30209546</t>
  </si>
  <si>
    <t>752-30209550</t>
  </si>
  <si>
    <t>752-30209561</t>
  </si>
  <si>
    <t>752-30209572</t>
  </si>
  <si>
    <t>752-30209594</t>
  </si>
  <si>
    <t>752-30209583</t>
  </si>
  <si>
    <t>F57611</t>
  </si>
  <si>
    <t>752-30209443</t>
  </si>
  <si>
    <t>752-30209454</t>
  </si>
  <si>
    <t>752-30209465</t>
  </si>
  <si>
    <t>752-30209476</t>
  </si>
  <si>
    <t>752-30209480</t>
  </si>
  <si>
    <t>752-30209432</t>
  </si>
  <si>
    <t>752-30209502</t>
  </si>
  <si>
    <t>752-30209491</t>
  </si>
  <si>
    <t>936-00316470</t>
  </si>
  <si>
    <t>936-00316481</t>
  </si>
  <si>
    <t>DL0088</t>
  </si>
  <si>
    <t>006-53404190</t>
  </si>
  <si>
    <t>065-49852821</t>
  </si>
  <si>
    <t>065-49852832</t>
  </si>
  <si>
    <t>065-49852843</t>
  </si>
  <si>
    <t>065-49852854</t>
  </si>
  <si>
    <t>065-49852865</t>
  </si>
  <si>
    <t>065-49852950</t>
  </si>
  <si>
    <t>065-49852876</t>
  </si>
  <si>
    <t>065-49852880</t>
  </si>
  <si>
    <t>065-49852891</t>
  </si>
  <si>
    <t>065-49852946</t>
  </si>
  <si>
    <t>065-49852961</t>
  </si>
  <si>
    <t>065-49852902</t>
  </si>
  <si>
    <t>065-49852913</t>
  </si>
  <si>
    <t>065-49852972</t>
  </si>
  <si>
    <t>065-49852924</t>
  </si>
  <si>
    <t>065-49852935</t>
  </si>
  <si>
    <t>065-46974572</t>
  </si>
  <si>
    <t>065-46975364</t>
  </si>
  <si>
    <t>065-46974583</t>
  </si>
  <si>
    <t>065-46975375</t>
  </si>
  <si>
    <t>065-46974653</t>
  </si>
  <si>
    <t>065-46975390</t>
  </si>
  <si>
    <t>065-46974616</t>
  </si>
  <si>
    <t>157-53806152</t>
  </si>
  <si>
    <t>157-58185094</t>
  </si>
  <si>
    <t>157-58185072</t>
  </si>
  <si>
    <t>157-58184700</t>
  </si>
  <si>
    <t>157-58184906</t>
  </si>
  <si>
    <t>157-58184910</t>
  </si>
  <si>
    <t>157-58184991</t>
  </si>
  <si>
    <t>157-58185002</t>
  </si>
  <si>
    <t>157-58184711</t>
  </si>
  <si>
    <t>157-58184895</t>
  </si>
  <si>
    <t>157-58185035</t>
  </si>
  <si>
    <t>157-58184744</t>
  </si>
  <si>
    <t>157-58184755</t>
  </si>
  <si>
    <t>157-58184943</t>
  </si>
  <si>
    <t>157-58184766</t>
  </si>
  <si>
    <t>157-58184921</t>
  </si>
  <si>
    <t>157-58184932</t>
  </si>
  <si>
    <t>157-58184840</t>
  </si>
  <si>
    <t>157-58184851</t>
  </si>
  <si>
    <t>157-58184862</t>
  </si>
  <si>
    <t>157-58184965</t>
  </si>
  <si>
    <t>157-58184722</t>
  </si>
  <si>
    <t>157-58184733</t>
  </si>
  <si>
    <t>157-58185013</t>
  </si>
  <si>
    <t>157-58184770</t>
  </si>
  <si>
    <t>157-58184976</t>
  </si>
  <si>
    <t>157-58184873</t>
  </si>
  <si>
    <t>157-58184884</t>
  </si>
  <si>
    <t>157-58184980</t>
  </si>
  <si>
    <t>157-58185083</t>
  </si>
  <si>
    <t>157-58185046</t>
  </si>
  <si>
    <t>157-58184954</t>
  </si>
  <si>
    <t>157-58185050</t>
  </si>
  <si>
    <t>157-58185061</t>
  </si>
  <si>
    <t>157-58184781</t>
  </si>
  <si>
    <t>157-58184792</t>
  </si>
  <si>
    <t>157-58184803</t>
  </si>
  <si>
    <t>157-58184814</t>
  </si>
  <si>
    <t>157-58184825</t>
  </si>
  <si>
    <t>157-58185024</t>
  </si>
  <si>
    <t>157-54738445</t>
  </si>
  <si>
    <t>157-54738456</t>
  </si>
  <si>
    <t>157-58184836</t>
  </si>
  <si>
    <t>160-12267986</t>
  </si>
  <si>
    <t>160-12267975</t>
  </si>
  <si>
    <t>172-04322905</t>
  </si>
  <si>
    <t>369-99423833</t>
  </si>
  <si>
    <t>369-99423962</t>
  </si>
  <si>
    <t>369-99423973</t>
  </si>
  <si>
    <t>369-99424032</t>
  </si>
  <si>
    <t>369-99424021</t>
  </si>
  <si>
    <t>369-99424205</t>
  </si>
  <si>
    <t>369-99424216</t>
  </si>
  <si>
    <t>369-99424220</t>
  </si>
  <si>
    <t>369-99424231</t>
  </si>
  <si>
    <t>369-99424275</t>
  </si>
  <si>
    <t>369-99423763</t>
  </si>
  <si>
    <t>369-99423752</t>
  </si>
  <si>
    <t>369-99423741</t>
  </si>
  <si>
    <t>369-99423730</t>
  </si>
  <si>
    <t>369-99423726</t>
  </si>
  <si>
    <t>369-99423715</t>
  </si>
  <si>
    <t>369-99423693</t>
  </si>
  <si>
    <t>369-99423704</t>
  </si>
  <si>
    <t>369-99423682</t>
  </si>
  <si>
    <t>369-99423671</t>
  </si>
  <si>
    <t>369-99423660</t>
  </si>
  <si>
    <t>369-99423656</t>
  </si>
  <si>
    <t>369-99423623</t>
  </si>
  <si>
    <t>369-99423612</t>
  </si>
  <si>
    <t>369-99423601</t>
  </si>
  <si>
    <t>369-99423785</t>
  </si>
  <si>
    <t>369-99423796</t>
  </si>
  <si>
    <t>369-99423800</t>
  </si>
  <si>
    <t>369-99423822</t>
  </si>
  <si>
    <t>369-99423811</t>
  </si>
  <si>
    <t>369-99424010</t>
  </si>
  <si>
    <t>369-99424334</t>
  </si>
  <si>
    <t>369-99424345</t>
  </si>
  <si>
    <t>369-99423892</t>
  </si>
  <si>
    <t>369-99423903</t>
  </si>
  <si>
    <t>369-99423914</t>
  </si>
  <si>
    <t>369-99423925</t>
  </si>
  <si>
    <t>369-99423936</t>
  </si>
  <si>
    <t>369-99423940</t>
  </si>
  <si>
    <t>369-99423951</t>
  </si>
  <si>
    <t>369-99424253</t>
  </si>
  <si>
    <t>369-99424264</t>
  </si>
  <si>
    <t>369-99423984</t>
  </si>
  <si>
    <t>369-99423995</t>
  </si>
  <si>
    <t>369-99424006</t>
  </si>
  <si>
    <t>369-99424286</t>
  </si>
  <si>
    <t>369-99424290</t>
  </si>
  <si>
    <t>EY926</t>
  </si>
  <si>
    <t>607-54314960</t>
  </si>
  <si>
    <t>KJ970</t>
  </si>
  <si>
    <t>994-30286852</t>
  </si>
  <si>
    <t>006-53404201</t>
  </si>
  <si>
    <t>065-46975725</t>
  </si>
  <si>
    <t>065-46975714</t>
  </si>
  <si>
    <t>065-46975703</t>
  </si>
  <si>
    <t>065-44884615</t>
  </si>
  <si>
    <t>065-44884626</t>
  </si>
  <si>
    <t>065-44884630</t>
  </si>
  <si>
    <t>065-46974690</t>
  </si>
  <si>
    <t>065-46974664</t>
  </si>
  <si>
    <t>065-44884604</t>
  </si>
  <si>
    <t>065-46975681</t>
  </si>
  <si>
    <t>065-46975692</t>
  </si>
  <si>
    <t>065-44884593</t>
  </si>
  <si>
    <t>Q8R433</t>
  </si>
  <si>
    <t>157-58187673</t>
  </si>
  <si>
    <t>157-58187662</t>
  </si>
  <si>
    <t>157-58187651</t>
  </si>
  <si>
    <t>157-58187640</t>
  </si>
  <si>
    <t>157-58187706</t>
  </si>
  <si>
    <t>157-58187776</t>
  </si>
  <si>
    <t>157-58187780</t>
  </si>
  <si>
    <t>157-58187791</t>
  </si>
  <si>
    <t>157-58187802</t>
  </si>
  <si>
    <t>157-58187813</t>
  </si>
  <si>
    <t>157-58187824</t>
  </si>
  <si>
    <t>157-58187743</t>
  </si>
  <si>
    <t>157-58187754</t>
  </si>
  <si>
    <t>157-58187765</t>
  </si>
  <si>
    <t>157-58187732</t>
  </si>
  <si>
    <t>157-58187835</t>
  </si>
  <si>
    <t>157-58187684</t>
  </si>
  <si>
    <t>157-58187695</t>
  </si>
  <si>
    <t>157-58187710</t>
  </si>
  <si>
    <t>157-58187721</t>
  </si>
  <si>
    <t>157-58187846</t>
  </si>
  <si>
    <t>157-58187850</t>
  </si>
  <si>
    <t>157-58187861</t>
  </si>
  <si>
    <t>157-58187872</t>
  </si>
  <si>
    <t>157-58313662</t>
  </si>
  <si>
    <t>157-58313651</t>
  </si>
  <si>
    <t>157-58313640</t>
  </si>
  <si>
    <t>157-51814243</t>
  </si>
  <si>
    <t>157-51814195</t>
  </si>
  <si>
    <t>157-51814221</t>
  </si>
  <si>
    <t>157-51814210</t>
  </si>
  <si>
    <t>157-51814206</t>
  </si>
  <si>
    <t>157-51814184</t>
  </si>
  <si>
    <t>157-51814173</t>
  </si>
  <si>
    <t>157-58313430</t>
  </si>
  <si>
    <t>157-58313426</t>
  </si>
  <si>
    <t>157-58313441</t>
  </si>
  <si>
    <t>157-58187883</t>
  </si>
  <si>
    <t>157-58313673</t>
  </si>
  <si>
    <t>QR8453</t>
  </si>
  <si>
    <t>157-42268494</t>
  </si>
  <si>
    <t>157-58185142</t>
  </si>
  <si>
    <t>157-58185153</t>
  </si>
  <si>
    <t>157-58185116</t>
  </si>
  <si>
    <t>157-58185304</t>
  </si>
  <si>
    <t>157-58185175</t>
  </si>
  <si>
    <t>157-58185164</t>
  </si>
  <si>
    <t>157-58185315</t>
  </si>
  <si>
    <t>157-58185326</t>
  </si>
  <si>
    <t>157-58185120</t>
  </si>
  <si>
    <t>157-58185330</t>
  </si>
  <si>
    <t>157-58185492</t>
  </si>
  <si>
    <t>157-58185455</t>
  </si>
  <si>
    <t>157-58185466</t>
  </si>
  <si>
    <t>157-58185470</t>
  </si>
  <si>
    <t>157-58185341</t>
  </si>
  <si>
    <t>157-58185352</t>
  </si>
  <si>
    <t>157-58185105</t>
  </si>
  <si>
    <t>157-58185363</t>
  </si>
  <si>
    <t>157-58185374</t>
  </si>
  <si>
    <t>157-58185385</t>
  </si>
  <si>
    <t>157-58185260</t>
  </si>
  <si>
    <t>157-58185396</t>
  </si>
  <si>
    <t>157-58185131</t>
  </si>
  <si>
    <t>157-58185411</t>
  </si>
  <si>
    <t>157-58185422</t>
  </si>
  <si>
    <t>157-58185433</t>
  </si>
  <si>
    <t>157-58185400</t>
  </si>
  <si>
    <t>157-58185444</t>
  </si>
  <si>
    <t>157-58185293</t>
  </si>
  <si>
    <t>157-58185481</t>
  </si>
  <si>
    <t>157-58185186</t>
  </si>
  <si>
    <t>157-58185190</t>
  </si>
  <si>
    <t>157-58185201</t>
  </si>
  <si>
    <t>157-51282232</t>
  </si>
  <si>
    <t>157-58185212</t>
  </si>
  <si>
    <t>157-58185271</t>
  </si>
  <si>
    <t>157-54738460</t>
  </si>
  <si>
    <t>157-58185282</t>
  </si>
  <si>
    <t>157-58185223</t>
  </si>
  <si>
    <t>157-58185234</t>
  </si>
  <si>
    <t>157-54738471</t>
  </si>
  <si>
    <t>157-58185245</t>
  </si>
  <si>
    <t>157-54738482</t>
  </si>
  <si>
    <t>157-54738493</t>
  </si>
  <si>
    <t>157-58185256</t>
  </si>
  <si>
    <t>157-54738504</t>
  </si>
  <si>
    <t>157-54738515</t>
  </si>
  <si>
    <t>157-54738530</t>
  </si>
  <si>
    <t>157-54738526</t>
  </si>
  <si>
    <t>160-12268034</t>
  </si>
  <si>
    <t>160-12268023</t>
  </si>
  <si>
    <t>172-04322916</t>
  </si>
  <si>
    <t>MH6103</t>
  </si>
  <si>
    <t>232-18635223</t>
  </si>
  <si>
    <t>TK6787</t>
  </si>
  <si>
    <t>235-97869133</t>
  </si>
  <si>
    <t>752-30209826</t>
  </si>
  <si>
    <t>752-30209815</t>
  </si>
  <si>
    <t>752-30209793</t>
  </si>
  <si>
    <t>752-30209782</t>
  </si>
  <si>
    <t>752-30209771</t>
  </si>
  <si>
    <t>752-30209631</t>
  </si>
  <si>
    <t>752-30209830</t>
  </si>
  <si>
    <t>752-30209804</t>
  </si>
  <si>
    <t>065-49853016</t>
  </si>
  <si>
    <t>065-49853790</t>
  </si>
  <si>
    <t>065-49853801</t>
  </si>
  <si>
    <t>065-49853020</t>
  </si>
  <si>
    <t>065-49853764</t>
  </si>
  <si>
    <t>065-49853031</t>
  </si>
  <si>
    <t>065-49853775</t>
  </si>
  <si>
    <t>065-49853786</t>
  </si>
  <si>
    <t>065-49853042</t>
  </si>
  <si>
    <t>065-49853134</t>
  </si>
  <si>
    <t>065-49853053</t>
  </si>
  <si>
    <t>065-49853075</t>
  </si>
  <si>
    <t>065-49853086</t>
  </si>
  <si>
    <t>065-49853101</t>
  </si>
  <si>
    <t>065-49853112</t>
  </si>
  <si>
    <t>065-49853123</t>
  </si>
  <si>
    <t>065-49853731</t>
  </si>
  <si>
    <t>065-49853742</t>
  </si>
  <si>
    <t>065-49853090</t>
  </si>
  <si>
    <t>065-49853720</t>
  </si>
  <si>
    <t>065-49853753</t>
  </si>
  <si>
    <t>065-49853064</t>
  </si>
  <si>
    <t>065-49852983</t>
  </si>
  <si>
    <t>065-49852994</t>
  </si>
  <si>
    <t>065-49853812</t>
  </si>
  <si>
    <t>065-49853005</t>
  </si>
  <si>
    <t>065-49853823</t>
  </si>
  <si>
    <t>065-49853834</t>
  </si>
  <si>
    <t>065-49853845</t>
  </si>
  <si>
    <t>157-58187916</t>
  </si>
  <si>
    <t>157-51814265</t>
  </si>
  <si>
    <t>157-58187894</t>
  </si>
  <si>
    <t>157-58187905</t>
  </si>
  <si>
    <t>157-58187942</t>
  </si>
  <si>
    <t>157-58187953</t>
  </si>
  <si>
    <t>157-58187964</t>
  </si>
  <si>
    <t>157-58187975</t>
  </si>
  <si>
    <t>157-58187920</t>
  </si>
  <si>
    <t>157-58187931</t>
  </si>
  <si>
    <t>157-58187986</t>
  </si>
  <si>
    <t>157-58188001</t>
  </si>
  <si>
    <t>157-58187990</t>
  </si>
  <si>
    <t>157-58188012</t>
  </si>
  <si>
    <t>157-51814232</t>
  </si>
  <si>
    <t>157-51814254</t>
  </si>
  <si>
    <t>157-58188104</t>
  </si>
  <si>
    <t>157-58188023</t>
  </si>
  <si>
    <t>157-58188034</t>
  </si>
  <si>
    <t>157-58188045</t>
  </si>
  <si>
    <t>157-58188056</t>
  </si>
  <si>
    <t>157-58188060</t>
  </si>
  <si>
    <t>157-58188071</t>
  </si>
  <si>
    <t>157-58188115</t>
  </si>
  <si>
    <t>157-58188082</t>
  </si>
  <si>
    <t>157-58188126</t>
  </si>
  <si>
    <t>157-58188130</t>
  </si>
  <si>
    <t>157-58188093</t>
  </si>
  <si>
    <t>157-51814534</t>
  </si>
  <si>
    <t>157-51814582</t>
  </si>
  <si>
    <t>157-51814615</t>
  </si>
  <si>
    <t>157-51814453</t>
  </si>
  <si>
    <t>157-51814604</t>
  </si>
  <si>
    <t>157-51814571</t>
  </si>
  <si>
    <t>157-51814593</t>
  </si>
  <si>
    <t>157-51814663</t>
  </si>
  <si>
    <t>157-51814652</t>
  </si>
  <si>
    <t>157-51814560</t>
  </si>
  <si>
    <t>157-51814545</t>
  </si>
  <si>
    <t>157-51814556</t>
  </si>
  <si>
    <t>157-51814674</t>
  </si>
  <si>
    <t>157-51814685</t>
  </si>
  <si>
    <t>157-51814700</t>
  </si>
  <si>
    <t>157-51814696</t>
  </si>
  <si>
    <t>157-58185503</t>
  </si>
  <si>
    <t>157-58185514</t>
  </si>
  <si>
    <t>157-58185746</t>
  </si>
  <si>
    <t>157-58185750</t>
  </si>
  <si>
    <t>157-58185525</t>
  </si>
  <si>
    <t>157-58185735</t>
  </si>
  <si>
    <t>157-58185536</t>
  </si>
  <si>
    <t>157-58185783</t>
  </si>
  <si>
    <t>157-58185724</t>
  </si>
  <si>
    <t>157-58185540</t>
  </si>
  <si>
    <t>157-58185772</t>
  </si>
  <si>
    <t>157-58185551</t>
  </si>
  <si>
    <t>157-58185794</t>
  </si>
  <si>
    <t>157-58185853</t>
  </si>
  <si>
    <t>157-58185890</t>
  </si>
  <si>
    <t>157-58185831</t>
  </si>
  <si>
    <t>157-58185761</t>
  </si>
  <si>
    <t>157-58185562</t>
  </si>
  <si>
    <t>157-58185573</t>
  </si>
  <si>
    <t>157-58185805</t>
  </si>
  <si>
    <t>157-58185816</t>
  </si>
  <si>
    <t>157-58185584</t>
  </si>
  <si>
    <t>157-58185820</t>
  </si>
  <si>
    <t>157-51814276</t>
  </si>
  <si>
    <t>157-51814280</t>
  </si>
  <si>
    <t>157-58185595</t>
  </si>
  <si>
    <t>157-51814291</t>
  </si>
  <si>
    <t>157-58185606</t>
  </si>
  <si>
    <t>157-51814302</t>
  </si>
  <si>
    <t>157-51814313</t>
  </si>
  <si>
    <t>157-58185864</t>
  </si>
  <si>
    <t>157-58185875</t>
  </si>
  <si>
    <t>157-58185665</t>
  </si>
  <si>
    <t>157-58185610</t>
  </si>
  <si>
    <t>157-51814324</t>
  </si>
  <si>
    <t>157-51814335</t>
  </si>
  <si>
    <t>157-58185621</t>
  </si>
  <si>
    <t>157-51814346</t>
  </si>
  <si>
    <t>157-51814350</t>
  </si>
  <si>
    <t>157-51814361</t>
  </si>
  <si>
    <t>157-58185632</t>
  </si>
  <si>
    <t>157-51814372</t>
  </si>
  <si>
    <t>157-51814383</t>
  </si>
  <si>
    <t>157-51814394</t>
  </si>
  <si>
    <t>157-51814405</t>
  </si>
  <si>
    <t>157-51814416</t>
  </si>
  <si>
    <t>157-58185886</t>
  </si>
  <si>
    <t>157-58185676</t>
  </si>
  <si>
    <t>157-58185680</t>
  </si>
  <si>
    <t>157-58185842</t>
  </si>
  <si>
    <t>157-58185691</t>
  </si>
  <si>
    <t>157-51814431</t>
  </si>
  <si>
    <t>157-51814442</t>
  </si>
  <si>
    <t>157-58185702</t>
  </si>
  <si>
    <t>157-51814420</t>
  </si>
  <si>
    <t>157-58185643</t>
  </si>
  <si>
    <t>157-51814464</t>
  </si>
  <si>
    <t>157-58185654</t>
  </si>
  <si>
    <t>157-51814626</t>
  </si>
  <si>
    <t>157-51814630</t>
  </si>
  <si>
    <t>157-51814641</t>
  </si>
  <si>
    <t>157-58313500</t>
  </si>
  <si>
    <t>157-58313511</t>
  </si>
  <si>
    <t>157-58313522</t>
  </si>
  <si>
    <t>157-58313533</t>
  </si>
  <si>
    <t>157-58313544</t>
  </si>
  <si>
    <t>157-58186564</t>
  </si>
  <si>
    <t>157-51814512</t>
  </si>
  <si>
    <t>157-51814523</t>
  </si>
  <si>
    <t>157-58186575</t>
  </si>
  <si>
    <t>157-58186586</t>
  </si>
  <si>
    <t>157-58186590</t>
  </si>
  <si>
    <t>157-58186601</t>
  </si>
  <si>
    <t>157-58186612</t>
  </si>
  <si>
    <t>157-58186881</t>
  </si>
  <si>
    <t>157-58186623</t>
  </si>
  <si>
    <t>157-58186634</t>
  </si>
  <si>
    <t>157-58186645</t>
  </si>
  <si>
    <t>157-51814475</t>
  </si>
  <si>
    <t>157-58186656</t>
  </si>
  <si>
    <t>157-58186660</t>
  </si>
  <si>
    <t>157-58313636</t>
  </si>
  <si>
    <t>157-58186671</t>
  </si>
  <si>
    <t>157-58313625</t>
  </si>
  <si>
    <t>157-58186682</t>
  </si>
  <si>
    <t>157-58186693</t>
  </si>
  <si>
    <t>157-58186704</t>
  </si>
  <si>
    <t>157-58313614</t>
  </si>
  <si>
    <t>157-58186715</t>
  </si>
  <si>
    <t>157-58313603</t>
  </si>
  <si>
    <t>157-58186726</t>
  </si>
  <si>
    <t>157-58186730</t>
  </si>
  <si>
    <t>157-58313581</t>
  </si>
  <si>
    <t>157-58313592</t>
  </si>
  <si>
    <t>157-58186741</t>
  </si>
  <si>
    <t>157-58186752</t>
  </si>
  <si>
    <t>157-58313570</t>
  </si>
  <si>
    <t>157-58186763</t>
  </si>
  <si>
    <t>157-58313566</t>
  </si>
  <si>
    <t>157-58186774</t>
  </si>
  <si>
    <t>157-58186785</t>
  </si>
  <si>
    <t>157-51814490</t>
  </si>
  <si>
    <t>157-51814501</t>
  </si>
  <si>
    <t>157-58186796</t>
  </si>
  <si>
    <t>157-58186800</t>
  </si>
  <si>
    <t>157-58186870</t>
  </si>
  <si>
    <t>157-58186811</t>
  </si>
  <si>
    <t>157-58313231</t>
  </si>
  <si>
    <t>157-58313555</t>
  </si>
  <si>
    <t>157-58186822</t>
  </si>
  <si>
    <t>157-58186833</t>
  </si>
  <si>
    <t>157-58186844</t>
  </si>
  <si>
    <t>157-51814486</t>
  </si>
  <si>
    <t>157-58186855</t>
  </si>
  <si>
    <t>157-58186866</t>
  </si>
  <si>
    <t>157-58313452</t>
  </si>
  <si>
    <t>157-58313485</t>
  </si>
  <si>
    <t>160-12268056</t>
  </si>
  <si>
    <t>160-12268045</t>
  </si>
  <si>
    <t>369-99424452</t>
  </si>
  <si>
    <t>369-99424953</t>
  </si>
  <si>
    <t>369-99424566</t>
  </si>
  <si>
    <t>369-99424570</t>
  </si>
  <si>
    <t>369-99424533</t>
  </si>
  <si>
    <t>369-99424964</t>
  </si>
  <si>
    <t>369-99424975</t>
  </si>
  <si>
    <t>369-99424356</t>
  </si>
  <si>
    <t>369-99424360</t>
  </si>
  <si>
    <t>369-99424371</t>
  </si>
  <si>
    <t>369-99424382</t>
  </si>
  <si>
    <t>369-99424393</t>
  </si>
  <si>
    <t>369-99424404</t>
  </si>
  <si>
    <t>369-99424415</t>
  </si>
  <si>
    <t>369-99424426</t>
  </si>
  <si>
    <t>369-99424430</t>
  </si>
  <si>
    <t>369-99424441</t>
  </si>
  <si>
    <t>369-99424474</t>
  </si>
  <si>
    <t>369-99424485</t>
  </si>
  <si>
    <t>369-99424673</t>
  </si>
  <si>
    <t>369-99424684</t>
  </si>
  <si>
    <t>369-99424695</t>
  </si>
  <si>
    <t>369-99424706</t>
  </si>
  <si>
    <t>369-99424920</t>
  </si>
  <si>
    <t>369-99424931</t>
  </si>
  <si>
    <t>369-99424942</t>
  </si>
  <si>
    <t>369-99424592</t>
  </si>
  <si>
    <t>369-99424603</t>
  </si>
  <si>
    <t>369-99424581</t>
  </si>
  <si>
    <t>369-99424651</t>
  </si>
  <si>
    <t>369-99424662</t>
  </si>
  <si>
    <t>369-99424496</t>
  </si>
  <si>
    <t>369-99424500</t>
  </si>
  <si>
    <t>369-99424614</t>
  </si>
  <si>
    <t>369-99424625</t>
  </si>
  <si>
    <t>369-99424636</t>
  </si>
  <si>
    <t>369-99424640</t>
  </si>
  <si>
    <t>369-99424721</t>
  </si>
  <si>
    <t>369-99424732</t>
  </si>
  <si>
    <t>369-99424743</t>
  </si>
  <si>
    <t>F57614</t>
  </si>
  <si>
    <t>752-30209141</t>
  </si>
  <si>
    <t>752-30209712</t>
  </si>
  <si>
    <t>752-30209723</t>
  </si>
  <si>
    <t>752-30209734</t>
  </si>
  <si>
    <t>752-30209745</t>
  </si>
  <si>
    <t>752-30209756</t>
  </si>
  <si>
    <t>752-30209760</t>
  </si>
  <si>
    <t>065-49869212</t>
  </si>
  <si>
    <t>065-49869223</t>
  </si>
  <si>
    <t>065-49869234</t>
  </si>
  <si>
    <t>065-49869271</t>
  </si>
  <si>
    <t>065-49869282</t>
  </si>
  <si>
    <t>065-49869293</t>
  </si>
  <si>
    <t>065-49869411</t>
  </si>
  <si>
    <t>065-49869256</t>
  </si>
  <si>
    <t>065-49869260</t>
  </si>
  <si>
    <t>065-49869304</t>
  </si>
  <si>
    <t>065-49869422</t>
  </si>
  <si>
    <t>065-49870251</t>
  </si>
  <si>
    <t>065-49870240</t>
  </si>
  <si>
    <t>065-49870236</t>
  </si>
  <si>
    <t>065-49870262</t>
  </si>
  <si>
    <t>065-49870214</t>
  </si>
  <si>
    <t>065-49870450</t>
  </si>
  <si>
    <t>065-49870461</t>
  </si>
  <si>
    <t>065-49870225</t>
  </si>
  <si>
    <t>065-49870472</t>
  </si>
  <si>
    <t>065-49870483</t>
  </si>
  <si>
    <t>QR8467</t>
  </si>
  <si>
    <t>157-53806476</t>
  </si>
  <si>
    <t>160-12268071</t>
  </si>
  <si>
    <t>160-12268060</t>
  </si>
  <si>
    <t>369-99424850</t>
  </si>
  <si>
    <t>369-99424861</t>
  </si>
  <si>
    <t>369-99424872</t>
  </si>
  <si>
    <t>369-99424883</t>
  </si>
  <si>
    <t>369-99424894</t>
  </si>
  <si>
    <t>369-99424905</t>
  </si>
  <si>
    <t>369-99424916</t>
  </si>
  <si>
    <t>369-99424710</t>
  </si>
  <si>
    <t>369-99424463</t>
  </si>
  <si>
    <t>369-99424986</t>
  </si>
  <si>
    <t>369-99424990</t>
  </si>
  <si>
    <t>369-99425060</t>
  </si>
  <si>
    <t>369-99425071</t>
  </si>
  <si>
    <t>369-99425082</t>
  </si>
  <si>
    <t>369-99425093</t>
  </si>
  <si>
    <t>369-99425104</t>
  </si>
  <si>
    <t>369-99425115</t>
  </si>
  <si>
    <t>369-99425406</t>
  </si>
  <si>
    <t>369-99425410</t>
  </si>
  <si>
    <t>369-99425421</t>
  </si>
  <si>
    <t>369-99425432</t>
  </si>
  <si>
    <t>369-99425211</t>
  </si>
  <si>
    <t>369-99424754</t>
  </si>
  <si>
    <t>369-99424765</t>
  </si>
  <si>
    <t>369-99424776</t>
  </si>
  <si>
    <t>369-99424780</t>
  </si>
  <si>
    <t>369-99424791</t>
  </si>
  <si>
    <t>369-99424802</t>
  </si>
  <si>
    <t>369-99424813</t>
  </si>
  <si>
    <t>369-99424824</t>
  </si>
  <si>
    <t>369-99424835</t>
  </si>
  <si>
    <t>369-99424846</t>
  </si>
  <si>
    <t>369-99425126</t>
  </si>
  <si>
    <t>369-99425130</t>
  </si>
  <si>
    <t>369-99425001</t>
  </si>
  <si>
    <t>369-99425012</t>
  </si>
  <si>
    <t>369-99425023</t>
  </si>
  <si>
    <t>369-99425034</t>
  </si>
  <si>
    <t>369-99425045</t>
  </si>
  <si>
    <t>369-99425056</t>
  </si>
  <si>
    <t>006-53404212</t>
  </si>
  <si>
    <t>014-24364325</t>
  </si>
  <si>
    <t>QR817</t>
  </si>
  <si>
    <t>157-53806244</t>
  </si>
  <si>
    <t>157-53806896</t>
  </si>
  <si>
    <t>157-53806830</t>
  </si>
  <si>
    <t>157-53806233</t>
  </si>
  <si>
    <t>157-51814814</t>
  </si>
  <si>
    <t>157-51814825</t>
  </si>
  <si>
    <t>157-51814836</t>
  </si>
  <si>
    <t>157-51814840</t>
  </si>
  <si>
    <t>157-51815175</t>
  </si>
  <si>
    <t>157-51813635</t>
  </si>
  <si>
    <t>157-51815186</t>
  </si>
  <si>
    <t>157-51814792</t>
  </si>
  <si>
    <t>157-51814803</t>
  </si>
  <si>
    <t>157-51815013</t>
  </si>
  <si>
    <t>157-51815024</t>
  </si>
  <si>
    <t>157-51815131</t>
  </si>
  <si>
    <t>157-51815035</t>
  </si>
  <si>
    <t>157-51815046</t>
  </si>
  <si>
    <t>157-51815116</t>
  </si>
  <si>
    <t>157-51815061</t>
  </si>
  <si>
    <t>157-51815120</t>
  </si>
  <si>
    <t>157-51815072</t>
  </si>
  <si>
    <t>157-51815083</t>
  </si>
  <si>
    <t>157-51815094</t>
  </si>
  <si>
    <t>157-51813613</t>
  </si>
  <si>
    <t>157-51813624</t>
  </si>
  <si>
    <t>157-51815105</t>
  </si>
  <si>
    <t>157-51813425</t>
  </si>
  <si>
    <t>157-51813591</t>
  </si>
  <si>
    <t>157-51813602</t>
  </si>
  <si>
    <t>157-51813436</t>
  </si>
  <si>
    <t>157-51814770</t>
  </si>
  <si>
    <t>157-51814781</t>
  </si>
  <si>
    <t>157-51813440</t>
  </si>
  <si>
    <t>157-51813576</t>
  </si>
  <si>
    <t>157-51813580</t>
  </si>
  <si>
    <t>157-51813451</t>
  </si>
  <si>
    <t>157-51813543</t>
  </si>
  <si>
    <t>157-51815050</t>
  </si>
  <si>
    <t>157-51813462</t>
  </si>
  <si>
    <t>157-51813473</t>
  </si>
  <si>
    <t>157-51814755</t>
  </si>
  <si>
    <t>157-51814766</t>
  </si>
  <si>
    <t>157-51813484</t>
  </si>
  <si>
    <t>157-51813532</t>
  </si>
  <si>
    <t>157-51813495</t>
  </si>
  <si>
    <t>157-51813646</t>
  </si>
  <si>
    <t>157-51813650</t>
  </si>
  <si>
    <t>157-51813506</t>
  </si>
  <si>
    <t>157-51813510</t>
  </si>
  <si>
    <t>157-51813521</t>
  </si>
  <si>
    <t>157-58313463</t>
  </si>
  <si>
    <t>160-12268093</t>
  </si>
  <si>
    <t>160-12268082</t>
  </si>
  <si>
    <t>235-97857616</t>
  </si>
  <si>
    <t>235-97939166</t>
  </si>
  <si>
    <t>369-99425222</t>
  </si>
  <si>
    <t>369-99425233</t>
  </si>
  <si>
    <t>369-99425373</t>
  </si>
  <si>
    <t>369-99425384</t>
  </si>
  <si>
    <t>369-99425395</t>
  </si>
  <si>
    <t>369-99425443</t>
  </si>
  <si>
    <t>369-99848700</t>
  </si>
  <si>
    <t>369-99425362</t>
  </si>
  <si>
    <t>369-99848792</t>
  </si>
  <si>
    <t>369-99848781</t>
  </si>
  <si>
    <t>369-99848814</t>
  </si>
  <si>
    <t>369-99425244</t>
  </si>
  <si>
    <t>369-99425255</t>
  </si>
  <si>
    <t>369-99425266</t>
  </si>
  <si>
    <t>369-99425270</t>
  </si>
  <si>
    <t>369-99425281</t>
  </si>
  <si>
    <t>369-99425292</t>
  </si>
  <si>
    <t>369-99425303</t>
  </si>
  <si>
    <t>369-99425314</t>
  </si>
  <si>
    <t>369-99425325</t>
  </si>
  <si>
    <t>369-99425336</t>
  </si>
  <si>
    <t>369-99425141</t>
  </si>
  <si>
    <t>369-99425152</t>
  </si>
  <si>
    <t>369-99425163</t>
  </si>
  <si>
    <t>369-99425174</t>
  </si>
  <si>
    <t>369-99425185</t>
  </si>
  <si>
    <t>369-99425196</t>
  </si>
  <si>
    <t>369-99425200</t>
  </si>
  <si>
    <t>369-99425340</t>
  </si>
  <si>
    <t>369-99425351</t>
  </si>
  <si>
    <t>369-99848906</t>
  </si>
  <si>
    <t>369-99848910</t>
  </si>
  <si>
    <t>369-99848711</t>
  </si>
  <si>
    <t>369-99848722</t>
  </si>
  <si>
    <t>369-99848733</t>
  </si>
  <si>
    <t>369-99848744</t>
  </si>
  <si>
    <t>369-99848755</t>
  </si>
  <si>
    <t>369-99848766</t>
  </si>
  <si>
    <t>369-99848770</t>
  </si>
  <si>
    <t>369-99429621</t>
  </si>
  <si>
    <t>369-99429676</t>
  </si>
  <si>
    <t>369-99429643</t>
  </si>
  <si>
    <t>369-99429654</t>
  </si>
  <si>
    <t>369-99429665</t>
  </si>
  <si>
    <t>X7856</t>
  </si>
  <si>
    <t>752-30209966</t>
  </si>
  <si>
    <t>752-30209944</t>
  </si>
  <si>
    <t>752-30209933</t>
  </si>
  <si>
    <t>752-30209653</t>
  </si>
  <si>
    <t>752-30209922</t>
  </si>
  <si>
    <t>752-30209911</t>
  </si>
  <si>
    <t>752-30209900</t>
  </si>
  <si>
    <t>752-30209992</t>
  </si>
  <si>
    <t>752-30209981</t>
  </si>
  <si>
    <t>752-30210003</t>
  </si>
  <si>
    <t>752-30209970</t>
  </si>
  <si>
    <t>752-30209955</t>
  </si>
  <si>
    <t>752-30210014</t>
  </si>
  <si>
    <t>936-00316691</t>
  </si>
  <si>
    <t>936-00316702</t>
  </si>
  <si>
    <t>065-49869315</t>
  </si>
  <si>
    <t>065-49869330</t>
  </si>
  <si>
    <t>065-49869326</t>
  </si>
  <si>
    <t>065-49869341</t>
  </si>
  <si>
    <t>065-49869374</t>
  </si>
  <si>
    <t>065-49869352</t>
  </si>
  <si>
    <t>065-49869385</t>
  </si>
  <si>
    <t>065-49869363</t>
  </si>
  <si>
    <t>065-49870284</t>
  </si>
  <si>
    <t>065-49870273</t>
  </si>
  <si>
    <t>065-49870295</t>
  </si>
  <si>
    <t>065-49870730</t>
  </si>
  <si>
    <t>065-49870741</t>
  </si>
  <si>
    <t>065-49870306</t>
  </si>
  <si>
    <t>065-49870752</t>
  </si>
  <si>
    <t>160-12268104</t>
  </si>
  <si>
    <t>160-12268115</t>
  </si>
  <si>
    <t>065-49870774</t>
  </si>
  <si>
    <t>065-49870763</t>
  </si>
  <si>
    <t>065-49870332</t>
  </si>
  <si>
    <t>065-49870321</t>
  </si>
  <si>
    <t>157-53806255</t>
  </si>
  <si>
    <t>157-66577523</t>
  </si>
  <si>
    <t>157-66577534</t>
  </si>
  <si>
    <t>157-66577545</t>
  </si>
  <si>
    <t>157-66577711</t>
  </si>
  <si>
    <t>157-66577722</t>
  </si>
  <si>
    <t>157-66577556</t>
  </si>
  <si>
    <t>157-66577733</t>
  </si>
  <si>
    <t>157-66577851</t>
  </si>
  <si>
    <t>157-66577744</t>
  </si>
  <si>
    <t>157-66577895</t>
  </si>
  <si>
    <t>157-66577862</t>
  </si>
  <si>
    <t>157-66577873</t>
  </si>
  <si>
    <t>157-66577884</t>
  </si>
  <si>
    <t>157-66577910</t>
  </si>
  <si>
    <t>157-66577906</t>
  </si>
  <si>
    <t>157-66577560</t>
  </si>
  <si>
    <t>157-66577755</t>
  </si>
  <si>
    <t>157-66577571</t>
  </si>
  <si>
    <t>157-66577792</t>
  </si>
  <si>
    <t>157-66577593</t>
  </si>
  <si>
    <t>157-66577803</t>
  </si>
  <si>
    <t>157-66577814</t>
  </si>
  <si>
    <t>157-66577685</t>
  </si>
  <si>
    <t>157-66577582</t>
  </si>
  <si>
    <t>157-66577766</t>
  </si>
  <si>
    <t>157-66577770</t>
  </si>
  <si>
    <t>157-66577781</t>
  </si>
  <si>
    <t>157-66577615</t>
  </si>
  <si>
    <t>157-66577604</t>
  </si>
  <si>
    <t>157-66577825</t>
  </si>
  <si>
    <t>157-66577836</t>
  </si>
  <si>
    <t>157-66577626</t>
  </si>
  <si>
    <t>157-66577630</t>
  </si>
  <si>
    <t>157-66577840</t>
  </si>
  <si>
    <t>157-66577641</t>
  </si>
  <si>
    <t>157-51814921</t>
  </si>
  <si>
    <t>157-66577652</t>
  </si>
  <si>
    <t>157-51814932</t>
  </si>
  <si>
    <t>157-66577663</t>
  </si>
  <si>
    <t>157-51814943</t>
  </si>
  <si>
    <t>157-66577696</t>
  </si>
  <si>
    <t>157-51814954</t>
  </si>
  <si>
    <t>157-51814976</t>
  </si>
  <si>
    <t>157-66577700</t>
  </si>
  <si>
    <t>157-51814980</t>
  </si>
  <si>
    <t>157-51814991</t>
  </si>
  <si>
    <t>157-66577674</t>
  </si>
  <si>
    <t>157-51814965</t>
  </si>
  <si>
    <t>157-51815002</t>
  </si>
  <si>
    <t>157-51813661</t>
  </si>
  <si>
    <t>157-66777992</t>
  </si>
  <si>
    <t>157-66778003</t>
  </si>
  <si>
    <t>157-66777981</t>
  </si>
  <si>
    <t>157-66778014</t>
  </si>
  <si>
    <t>157-66777970</t>
  </si>
  <si>
    <t>157-66777955</t>
  </si>
  <si>
    <t>157-51815315</t>
  </si>
  <si>
    <t>157-51815326</t>
  </si>
  <si>
    <t>157-66777690</t>
  </si>
  <si>
    <t>157-66777701</t>
  </si>
  <si>
    <t>157-66777712</t>
  </si>
  <si>
    <t>157-66777723</t>
  </si>
  <si>
    <t>157-66777734</t>
  </si>
  <si>
    <t>157-66777745</t>
  </si>
  <si>
    <t>157-66777922</t>
  </si>
  <si>
    <t>157-66777885</t>
  </si>
  <si>
    <t>157-66777756</t>
  </si>
  <si>
    <t>157-66777966</t>
  </si>
  <si>
    <t>157-66777760</t>
  </si>
  <si>
    <t>157-51815293</t>
  </si>
  <si>
    <t>157-51815304</t>
  </si>
  <si>
    <t>157-58188255</t>
  </si>
  <si>
    <t>157-66777771</t>
  </si>
  <si>
    <t>157-66777782</t>
  </si>
  <si>
    <t>157-66777933</t>
  </si>
  <si>
    <t>157-66777900</t>
  </si>
  <si>
    <t>157-66777793</t>
  </si>
  <si>
    <t>157-66777804</t>
  </si>
  <si>
    <t>157-66777896</t>
  </si>
  <si>
    <t>157-66777815</t>
  </si>
  <si>
    <t>157-66777911</t>
  </si>
  <si>
    <t>157-66777863</t>
  </si>
  <si>
    <t>157-66777874</t>
  </si>
  <si>
    <t>157-66777826</t>
  </si>
  <si>
    <t>157-66777830</t>
  </si>
  <si>
    <t>157-66777944</t>
  </si>
  <si>
    <t>157-66777841</t>
  </si>
  <si>
    <t>157-66777852</t>
  </si>
  <si>
    <t>157-58313474</t>
  </si>
  <si>
    <t>157-58313496</t>
  </si>
  <si>
    <t>157-58313091</t>
  </si>
  <si>
    <t>157-58313102</t>
  </si>
  <si>
    <t>157-58313113</t>
  </si>
  <si>
    <t>157-51814906</t>
  </si>
  <si>
    <t>157-51814910</t>
  </si>
  <si>
    <t>157-51814873</t>
  </si>
  <si>
    <t>157-51814862</t>
  </si>
  <si>
    <t>157-51814851</t>
  </si>
  <si>
    <t>157-51814884</t>
  </si>
  <si>
    <t>157-51814895</t>
  </si>
  <si>
    <t>157-66778353</t>
  </si>
  <si>
    <t>157-66778401</t>
  </si>
  <si>
    <t>157-66778364</t>
  </si>
  <si>
    <t>157-66778390</t>
  </si>
  <si>
    <t>157-66778386</t>
  </si>
  <si>
    <t>157-66778375</t>
  </si>
  <si>
    <t>157-66778456</t>
  </si>
  <si>
    <t>157-66778412</t>
  </si>
  <si>
    <t>157-66778423</t>
  </si>
  <si>
    <t>157-66778434</t>
  </si>
  <si>
    <t>157-66778445</t>
  </si>
  <si>
    <t>157-66778460</t>
  </si>
  <si>
    <t>157-66778471</t>
  </si>
  <si>
    <t>157-66778482</t>
  </si>
  <si>
    <t>157-66778493</t>
  </si>
  <si>
    <t>157-66778504</t>
  </si>
  <si>
    <t>157-66778515</t>
  </si>
  <si>
    <t>157-66778526</t>
  </si>
  <si>
    <t>157-66778541</t>
  </si>
  <si>
    <t>157-51814722</t>
  </si>
  <si>
    <t>157-66778574</t>
  </si>
  <si>
    <t>157-66778585</t>
  </si>
  <si>
    <t>157-66778596</t>
  </si>
  <si>
    <t>157-51814711</t>
  </si>
  <si>
    <t>157-66778552</t>
  </si>
  <si>
    <t>157-66778563</t>
  </si>
  <si>
    <t>157-51814733</t>
  </si>
  <si>
    <t>157-51814744</t>
  </si>
  <si>
    <t>157-51815212</t>
  </si>
  <si>
    <t>157-51815223</t>
  </si>
  <si>
    <t>157-51815190</t>
  </si>
  <si>
    <t>157-51815234</t>
  </si>
  <si>
    <t>157-51815201</t>
  </si>
  <si>
    <t>157-51815245</t>
  </si>
  <si>
    <t>157-66778530</t>
  </si>
  <si>
    <t>157-51815256</t>
  </si>
  <si>
    <t>157-58188266</t>
  </si>
  <si>
    <t>157-51815260</t>
  </si>
  <si>
    <t>157-51815282</t>
  </si>
  <si>
    <t>160-12268130</t>
  </si>
  <si>
    <t>160-12268126</t>
  </si>
  <si>
    <t>160-12268141</t>
  </si>
  <si>
    <t>160-12268152</t>
  </si>
  <si>
    <t>160-12268163</t>
  </si>
  <si>
    <t>TK6259</t>
  </si>
  <si>
    <t>235-97868256</t>
  </si>
  <si>
    <t>752-30210095</t>
  </si>
  <si>
    <t>752-30210106</t>
  </si>
  <si>
    <t>752-30210084</t>
  </si>
  <si>
    <t>752-30210051</t>
  </si>
  <si>
    <t>752-30210040</t>
  </si>
  <si>
    <t>752-30210073</t>
  </si>
  <si>
    <t>752-30210036</t>
  </si>
  <si>
    <t>752-30210025</t>
  </si>
  <si>
    <t>752-30209675</t>
  </si>
  <si>
    <t>752-30210062</t>
  </si>
  <si>
    <t>752-30210132</t>
  </si>
  <si>
    <t>752-30210121</t>
  </si>
  <si>
    <t>752-30209686</t>
  </si>
  <si>
    <t>752-30210110</t>
  </si>
  <si>
    <t>933-34015553</t>
  </si>
  <si>
    <t>933-34015715</t>
  </si>
  <si>
    <t>936-02198000</t>
  </si>
  <si>
    <t>936-00316735</t>
  </si>
  <si>
    <t>003-31644594</t>
  </si>
  <si>
    <t>003-31644605</t>
  </si>
  <si>
    <t>003-31644620</t>
  </si>
  <si>
    <t>003-31644616</t>
  </si>
  <si>
    <t>003-31644885</t>
  </si>
  <si>
    <t>003-31644896</t>
  </si>
  <si>
    <t>065-49851130</t>
  </si>
  <si>
    <t>065-49851756</t>
  </si>
  <si>
    <t>065-49851141</t>
  </si>
  <si>
    <t>065-49851760</t>
  </si>
  <si>
    <t>065-49870354</t>
  </si>
  <si>
    <t>065-49870365</t>
  </si>
  <si>
    <t>065-49870376</t>
  </si>
  <si>
    <t>065-49870785</t>
  </si>
  <si>
    <t>065-49870402</t>
  </si>
  <si>
    <t>065-49870391</t>
  </si>
  <si>
    <t>065-49870796</t>
  </si>
  <si>
    <t>065-49870413</t>
  </si>
  <si>
    <t>000-66577674</t>
  </si>
  <si>
    <t>000-66577696</t>
  </si>
  <si>
    <t>000-66577803</t>
  </si>
  <si>
    <t>000-66577593</t>
  </si>
  <si>
    <t>157-66577921</t>
  </si>
  <si>
    <t>157-66578142</t>
  </si>
  <si>
    <t>157-66578260</t>
  </si>
  <si>
    <t>157-66578105</t>
  </si>
  <si>
    <t>157-66578116</t>
  </si>
  <si>
    <t>157-66578271</t>
  </si>
  <si>
    <t>157-66578282</t>
  </si>
  <si>
    <t>157-66578293</t>
  </si>
  <si>
    <t>157-66578256</t>
  </si>
  <si>
    <t>157-66578201</t>
  </si>
  <si>
    <t>157-66578212</t>
  </si>
  <si>
    <t>157-66578223</t>
  </si>
  <si>
    <t>157-66577965</t>
  </si>
  <si>
    <t>157-66578245</t>
  </si>
  <si>
    <t>157-58188373</t>
  </si>
  <si>
    <t>157-66578304</t>
  </si>
  <si>
    <t>157-66578315</t>
  </si>
  <si>
    <t>157-66578094</t>
  </si>
  <si>
    <t>157-66578083</t>
  </si>
  <si>
    <t>157-66578234</t>
  </si>
  <si>
    <t>157-66577932</t>
  </si>
  <si>
    <t>157-66578153</t>
  </si>
  <si>
    <t>157-66578164</t>
  </si>
  <si>
    <t>157-66577943</t>
  </si>
  <si>
    <t>157-66578175</t>
  </si>
  <si>
    <t>157-66578186</t>
  </si>
  <si>
    <t>157-66577954</t>
  </si>
  <si>
    <t>157-66578190</t>
  </si>
  <si>
    <t>157-66577976</t>
  </si>
  <si>
    <t>157-58188384</t>
  </si>
  <si>
    <t>157-58188395</t>
  </si>
  <si>
    <t>157-66577980</t>
  </si>
  <si>
    <t>157-51813322</t>
  </si>
  <si>
    <t>157-51813333</t>
  </si>
  <si>
    <t>157-66577991</t>
  </si>
  <si>
    <t>157-51813344</t>
  </si>
  <si>
    <t>157-51813355</t>
  </si>
  <si>
    <t>157-66578002</t>
  </si>
  <si>
    <t>157-51813366</t>
  </si>
  <si>
    <t>157-51813370</t>
  </si>
  <si>
    <t>157-51813381</t>
  </si>
  <si>
    <t>157-66578120</t>
  </si>
  <si>
    <t>157-66578131</t>
  </si>
  <si>
    <t>157-66578013</t>
  </si>
  <si>
    <t>157-66578024</t>
  </si>
  <si>
    <t>157-66578035</t>
  </si>
  <si>
    <t>157-66578046</t>
  </si>
  <si>
    <t>157-51813403</t>
  </si>
  <si>
    <t>157-51813392</t>
  </si>
  <si>
    <t>157-66578050</t>
  </si>
  <si>
    <t>157-51813414</t>
  </si>
  <si>
    <t>157-66827051</t>
  </si>
  <si>
    <t>157-66827062</t>
  </si>
  <si>
    <t>157-66578061</t>
  </si>
  <si>
    <t>157-66827095</t>
  </si>
  <si>
    <t>157-66827106</t>
  </si>
  <si>
    <t>157-66827110</t>
  </si>
  <si>
    <t>157-66827073</t>
  </si>
  <si>
    <t>157-66827084</t>
  </si>
  <si>
    <t>157-66578072</t>
  </si>
  <si>
    <t>157-66827121</t>
  </si>
  <si>
    <t>157-66827132</t>
  </si>
  <si>
    <t>157-66827143</t>
  </si>
  <si>
    <t>157-66827154</t>
  </si>
  <si>
    <t>157-66827165</t>
  </si>
  <si>
    <t>157-66827176</t>
  </si>
  <si>
    <t>157-66827180</t>
  </si>
  <si>
    <t>157-66827191</t>
  </si>
  <si>
    <t>160-12268185</t>
  </si>
  <si>
    <t>160-12268174</t>
  </si>
  <si>
    <t>172-04323012</t>
  </si>
  <si>
    <t>MH7113</t>
  </si>
  <si>
    <t>232-18635293</t>
  </si>
  <si>
    <t>369-99849116</t>
  </si>
  <si>
    <t>369-99849120</t>
  </si>
  <si>
    <t>369-99849131</t>
  </si>
  <si>
    <t>369-99849142</t>
  </si>
  <si>
    <t>369-99849304</t>
  </si>
  <si>
    <t>369-99849315</t>
  </si>
  <si>
    <t>369-99849326</t>
  </si>
  <si>
    <t>369-99849503</t>
  </si>
  <si>
    <t>369-99848895</t>
  </si>
  <si>
    <t>369-99849190</t>
  </si>
  <si>
    <t>369-99849584</t>
  </si>
  <si>
    <t>369-99849993</t>
  </si>
  <si>
    <t>369-99850004</t>
  </si>
  <si>
    <t>369-99850041</t>
  </si>
  <si>
    <t>369-99850052</t>
  </si>
  <si>
    <t>369-99850063</t>
  </si>
  <si>
    <t>369-99849234</t>
  </si>
  <si>
    <t>369-99849245</t>
  </si>
  <si>
    <t>369-99849256</t>
  </si>
  <si>
    <t>369-99849260</t>
  </si>
  <si>
    <t>369-99849470</t>
  </si>
  <si>
    <t>369-99849481</t>
  </si>
  <si>
    <t>369-99849492</t>
  </si>
  <si>
    <t>369-99849551</t>
  </si>
  <si>
    <t>369-99849201</t>
  </si>
  <si>
    <t>369-99849212</t>
  </si>
  <si>
    <t>369-99849223</t>
  </si>
  <si>
    <t>369-99849455</t>
  </si>
  <si>
    <t>369-99849562</t>
  </si>
  <si>
    <t>369-99849352</t>
  </si>
  <si>
    <t>369-99849363</t>
  </si>
  <si>
    <t>369-99849374</t>
  </si>
  <si>
    <t>369-99849385</t>
  </si>
  <si>
    <t>369-99849396</t>
  </si>
  <si>
    <t>369-99849400</t>
  </si>
  <si>
    <t>369-99849411</t>
  </si>
  <si>
    <t>369-99849330</t>
  </si>
  <si>
    <t>369-99849341</t>
  </si>
  <si>
    <t>369-99849422</t>
  </si>
  <si>
    <t>369-99849433</t>
  </si>
  <si>
    <t>369-99849444</t>
  </si>
  <si>
    <t>369-99429680</t>
  </si>
  <si>
    <t>369-99429573</t>
  </si>
  <si>
    <t>369-99429724</t>
  </si>
  <si>
    <t>369-99429750</t>
  </si>
  <si>
    <t>369-99429735</t>
  </si>
  <si>
    <t>369-99429584</t>
  </si>
  <si>
    <t>369-99429595</t>
  </si>
  <si>
    <t>752-30210364</t>
  </si>
  <si>
    <t>752-30210375</t>
  </si>
  <si>
    <t>752-30210331</t>
  </si>
  <si>
    <t>752-30210320</t>
  </si>
  <si>
    <t>752-30210316</t>
  </si>
  <si>
    <t>752-30209690</t>
  </si>
  <si>
    <t>752-30210353</t>
  </si>
  <si>
    <t>752-30210342</t>
  </si>
  <si>
    <t>F57618</t>
  </si>
  <si>
    <t>752-30210213</t>
  </si>
  <si>
    <t>752-30210202</t>
  </si>
  <si>
    <t>752-30210191</t>
  </si>
  <si>
    <t>752-30210180</t>
  </si>
  <si>
    <t>752-30210154</t>
  </si>
  <si>
    <t>752-30210143</t>
  </si>
  <si>
    <t>752-30210176</t>
  </si>
  <si>
    <t>752-30210165</t>
  </si>
  <si>
    <t>752-30209664</t>
  </si>
  <si>
    <t>F57621</t>
  </si>
  <si>
    <t>752-30210386</t>
  </si>
  <si>
    <t>752-30210445</t>
  </si>
  <si>
    <t>752-30210434</t>
  </si>
  <si>
    <t>752-30210412</t>
  </si>
  <si>
    <t>752-30210423</t>
  </si>
  <si>
    <t>752-30210401</t>
  </si>
  <si>
    <t>752-30209701</t>
  </si>
  <si>
    <t>752-30210390</t>
  </si>
  <si>
    <t>065-49870435</t>
  </si>
  <si>
    <t>065-49870446</t>
  </si>
  <si>
    <t>065-49870424</t>
  </si>
  <si>
    <t>065-49870800</t>
  </si>
  <si>
    <t>065-49870811</t>
  </si>
  <si>
    <t>065-49870822</t>
  </si>
  <si>
    <t>157-66778644</t>
  </si>
  <si>
    <t>157-66778740</t>
  </si>
  <si>
    <t>157-66827412</t>
  </si>
  <si>
    <t>157-66778655</t>
  </si>
  <si>
    <t>157-66778666</t>
  </si>
  <si>
    <t>157-66778670</t>
  </si>
  <si>
    <t>157-66778681</t>
  </si>
  <si>
    <t>157-66778751</t>
  </si>
  <si>
    <t>157-66778762</t>
  </si>
  <si>
    <t>157-66778784</t>
  </si>
  <si>
    <t>157-66778773</t>
  </si>
  <si>
    <t>157-66827482</t>
  </si>
  <si>
    <t>157-66778692</t>
  </si>
  <si>
    <t>157-66778736</t>
  </si>
  <si>
    <t>157-66778703</t>
  </si>
  <si>
    <t>157-66778714</t>
  </si>
  <si>
    <t>157-66778725</t>
  </si>
  <si>
    <t>157-66778795</t>
  </si>
  <si>
    <t>157-66778806</t>
  </si>
  <si>
    <t>157-66778821</t>
  </si>
  <si>
    <t>157-66827423</t>
  </si>
  <si>
    <t>157-66827434</t>
  </si>
  <si>
    <t>157-66827445</t>
  </si>
  <si>
    <t>157-66827456</t>
  </si>
  <si>
    <t>157-66827504</t>
  </si>
  <si>
    <t>157-66778832</t>
  </si>
  <si>
    <t>157-66827342</t>
  </si>
  <si>
    <t>157-66827353</t>
  </si>
  <si>
    <t>157-66827331</t>
  </si>
  <si>
    <t>157-66827364</t>
  </si>
  <si>
    <t>157-66827375</t>
  </si>
  <si>
    <t>157-66827386</t>
  </si>
  <si>
    <t>157-66827493</t>
  </si>
  <si>
    <t>157-66827390</t>
  </si>
  <si>
    <t>157-66578326</t>
  </si>
  <si>
    <t>157-66578330</t>
  </si>
  <si>
    <t>157-66578363</t>
  </si>
  <si>
    <t>157-66578503</t>
  </si>
  <si>
    <t>157-66578374</t>
  </si>
  <si>
    <t>157-66578514</t>
  </si>
  <si>
    <t>157-66578385</t>
  </si>
  <si>
    <t>157-66578606</t>
  </si>
  <si>
    <t>157-66578610</t>
  </si>
  <si>
    <t>157-66578536</t>
  </si>
  <si>
    <t>157-66578396</t>
  </si>
  <si>
    <t>157-66578525</t>
  </si>
  <si>
    <t>157-66578540</t>
  </si>
  <si>
    <t>157-66578702</t>
  </si>
  <si>
    <t>157-66578665</t>
  </si>
  <si>
    <t>157-66578676</t>
  </si>
  <si>
    <t>157-66578680</t>
  </si>
  <si>
    <t>157-66578691</t>
  </si>
  <si>
    <t>157-66578341</t>
  </si>
  <si>
    <t>157-66578551</t>
  </si>
  <si>
    <t>157-66578352</t>
  </si>
  <si>
    <t>157-66578562</t>
  </si>
  <si>
    <t>157-66578573</t>
  </si>
  <si>
    <t>157-66578654</t>
  </si>
  <si>
    <t>157-66578400</t>
  </si>
  <si>
    <t>157-66578584</t>
  </si>
  <si>
    <t>157-66578492</t>
  </si>
  <si>
    <t>157-66578713</t>
  </si>
  <si>
    <t>157-66578595</t>
  </si>
  <si>
    <t>157-66578481</t>
  </si>
  <si>
    <t>157-66578411</t>
  </si>
  <si>
    <t>157-66578422</t>
  </si>
  <si>
    <t>157-66578433</t>
  </si>
  <si>
    <t>157-66578444</t>
  </si>
  <si>
    <t>157-66827213</t>
  </si>
  <si>
    <t>157-66827202</t>
  </si>
  <si>
    <t>157-66827224</t>
  </si>
  <si>
    <t>157-66827235</t>
  </si>
  <si>
    <t>157-66578455</t>
  </si>
  <si>
    <t>157-66578470</t>
  </si>
  <si>
    <t>157-66578621</t>
  </si>
  <si>
    <t>157-66578466</t>
  </si>
  <si>
    <t>157-66578632</t>
  </si>
  <si>
    <t>157-66827246</t>
  </si>
  <si>
    <t>157-66827250</t>
  </si>
  <si>
    <t>157-66827261</t>
  </si>
  <si>
    <t>157-66827272</t>
  </si>
  <si>
    <t>157-66827283</t>
  </si>
  <si>
    <t>157-66827294</t>
  </si>
  <si>
    <t>160-12268200</t>
  </si>
  <si>
    <t>160-12268196</t>
  </si>
  <si>
    <t>160-12268211</t>
  </si>
  <si>
    <t>160-12268222</t>
  </si>
  <si>
    <t>160-12268233</t>
  </si>
  <si>
    <t>235-98168280</t>
  </si>
  <si>
    <t>235-97858084</t>
  </si>
  <si>
    <t>235-95533012</t>
  </si>
  <si>
    <t>065-49870111</t>
  </si>
  <si>
    <t>157-66778913</t>
  </si>
  <si>
    <t>157-66778924</t>
  </si>
  <si>
    <t>157-67478390</t>
  </si>
  <si>
    <t>157-66827401</t>
  </si>
  <si>
    <t>157-66778843</t>
  </si>
  <si>
    <t>157-66778880</t>
  </si>
  <si>
    <t>157-66778891</t>
  </si>
  <si>
    <t>157-66778902</t>
  </si>
  <si>
    <t>157-66778935</t>
  </si>
  <si>
    <t>157-66778946</t>
  </si>
  <si>
    <t>157-66778950</t>
  </si>
  <si>
    <t>157-66778961</t>
  </si>
  <si>
    <t>157-66778972</t>
  </si>
  <si>
    <t>157-66778983</t>
  </si>
  <si>
    <t>157-66778994</t>
  </si>
  <si>
    <t>157-66779020</t>
  </si>
  <si>
    <t>157-66779016</t>
  </si>
  <si>
    <t>157-66779005</t>
  </si>
  <si>
    <t>157-66779031</t>
  </si>
  <si>
    <t>157-66779042</t>
  </si>
  <si>
    <t>157-67478364</t>
  </si>
  <si>
    <t>157-67478305</t>
  </si>
  <si>
    <t>157-67478316</t>
  </si>
  <si>
    <t>157-67478320</t>
  </si>
  <si>
    <t>157-67478331</t>
  </si>
  <si>
    <t>157-67478342</t>
  </si>
  <si>
    <t>157-67478353</t>
  </si>
  <si>
    <t>157-67478375</t>
  </si>
  <si>
    <t>157-66779053</t>
  </si>
  <si>
    <t>157-67478283</t>
  </si>
  <si>
    <t>157-66779064</t>
  </si>
  <si>
    <t>157-66779075</t>
  </si>
  <si>
    <t>157-67478294</t>
  </si>
  <si>
    <t>157-66779086</t>
  </si>
  <si>
    <t>157-67478386</t>
  </si>
  <si>
    <t>157-67478633</t>
  </si>
  <si>
    <t>157-66779090</t>
  </si>
  <si>
    <t>157-66827460</t>
  </si>
  <si>
    <t>157-66827471</t>
  </si>
  <si>
    <t>157-66778810</t>
  </si>
  <si>
    <t>157-66778854</t>
  </si>
  <si>
    <t>157-66778865</t>
  </si>
  <si>
    <t>157-66778876</t>
  </si>
  <si>
    <t>157-66777620</t>
  </si>
  <si>
    <t>157-66578772</t>
  </si>
  <si>
    <t>157-66578735</t>
  </si>
  <si>
    <t>157-66578724</t>
  </si>
  <si>
    <t>157-66777686</t>
  </si>
  <si>
    <t>157-66578746</t>
  </si>
  <si>
    <t>157-66578750</t>
  </si>
  <si>
    <t>157-66578761</t>
  </si>
  <si>
    <t>157-66777465</t>
  </si>
  <si>
    <t>157-66578783</t>
  </si>
  <si>
    <t>157-66777476</t>
  </si>
  <si>
    <t>157-66777480</t>
  </si>
  <si>
    <t>157-66777491</t>
  </si>
  <si>
    <t>157-66777454</t>
  </si>
  <si>
    <t>157-66777502</t>
  </si>
  <si>
    <t>157-66578794</t>
  </si>
  <si>
    <t>157-66777642</t>
  </si>
  <si>
    <t>157-66777631</t>
  </si>
  <si>
    <t>157-66777550</t>
  </si>
  <si>
    <t>157-66777546</t>
  </si>
  <si>
    <t>157-66777561</t>
  </si>
  <si>
    <t>157-66777653</t>
  </si>
  <si>
    <t>157-66777535</t>
  </si>
  <si>
    <t>157-66777572</t>
  </si>
  <si>
    <t>157-66578805</t>
  </si>
  <si>
    <t>157-66777583</t>
  </si>
  <si>
    <t>157-66777664</t>
  </si>
  <si>
    <t>157-66578816</t>
  </si>
  <si>
    <t>157-66578820</t>
  </si>
  <si>
    <t>157-66777513</t>
  </si>
  <si>
    <t>157-66578831</t>
  </si>
  <si>
    <t>157-66777605</t>
  </si>
  <si>
    <t>157-66777616</t>
  </si>
  <si>
    <t>157-67478445</t>
  </si>
  <si>
    <t>157-66777524</t>
  </si>
  <si>
    <t>157-66578842</t>
  </si>
  <si>
    <t>157-66578853</t>
  </si>
  <si>
    <t>157-66578864</t>
  </si>
  <si>
    <t>157-51282254</t>
  </si>
  <si>
    <t>157-66578643</t>
  </si>
  <si>
    <t>157-66827305</t>
  </si>
  <si>
    <t>157-66578875</t>
  </si>
  <si>
    <t>157-66827316</t>
  </si>
  <si>
    <t>157-66777675</t>
  </si>
  <si>
    <t>157-66827320</t>
  </si>
  <si>
    <t>157-67478434</t>
  </si>
  <si>
    <t>157-67478456</t>
  </si>
  <si>
    <t>157-54738364</t>
  </si>
  <si>
    <t>157-67478412</t>
  </si>
  <si>
    <t>157-67478401</t>
  </si>
  <si>
    <t>157-66778305</t>
  </si>
  <si>
    <t>157-66778294</t>
  </si>
  <si>
    <t>157-66778025</t>
  </si>
  <si>
    <t>157-67478423</t>
  </si>
  <si>
    <t>157-67478272</t>
  </si>
  <si>
    <t>157-67478261</t>
  </si>
  <si>
    <t>157-66778246</t>
  </si>
  <si>
    <t>157-66778095</t>
  </si>
  <si>
    <t>157-67478250</t>
  </si>
  <si>
    <t>157-67478246</t>
  </si>
  <si>
    <t>157-67478235</t>
  </si>
  <si>
    <t>157-66778165</t>
  </si>
  <si>
    <t>157-66778154</t>
  </si>
  <si>
    <t>157-67478224</t>
  </si>
  <si>
    <t>157-67478213</t>
  </si>
  <si>
    <t>157-66778202</t>
  </si>
  <si>
    <t>157-66778191</t>
  </si>
  <si>
    <t>157-66778180</t>
  </si>
  <si>
    <t>157-66778176</t>
  </si>
  <si>
    <t>157-66778320</t>
  </si>
  <si>
    <t>157-66778316</t>
  </si>
  <si>
    <t>157-66827541</t>
  </si>
  <si>
    <t>157-66778106</t>
  </si>
  <si>
    <t>157-66778036</t>
  </si>
  <si>
    <t>157-66778331</t>
  </si>
  <si>
    <t>157-66778250</t>
  </si>
  <si>
    <t>157-67478202</t>
  </si>
  <si>
    <t>157-66778283</t>
  </si>
  <si>
    <t>157-66778213</t>
  </si>
  <si>
    <t>157-66827515</t>
  </si>
  <si>
    <t>157-66778235</t>
  </si>
  <si>
    <t>157-66778224</t>
  </si>
  <si>
    <t>157-66827530</t>
  </si>
  <si>
    <t>157-66778084</t>
  </si>
  <si>
    <t>157-66778073</t>
  </si>
  <si>
    <t>157-66778062</t>
  </si>
  <si>
    <t>157-66778051</t>
  </si>
  <si>
    <t>157-66778040</t>
  </si>
  <si>
    <t>157-66827526</t>
  </si>
  <si>
    <t>157-66778272</t>
  </si>
  <si>
    <t>157-66778132</t>
  </si>
  <si>
    <t>157-66778121</t>
  </si>
  <si>
    <t>157-66778110</t>
  </si>
  <si>
    <t>157-66778143</t>
  </si>
  <si>
    <t>157-66778261</t>
  </si>
  <si>
    <t>160-12268255</t>
  </si>
  <si>
    <t>160-12268244</t>
  </si>
  <si>
    <t>369-99850236</t>
  </si>
  <si>
    <t>369-99850354</t>
  </si>
  <si>
    <t>369-99850240</t>
  </si>
  <si>
    <t>369-99850251</t>
  </si>
  <si>
    <t>369-99850446</t>
  </si>
  <si>
    <t>369-99850085</t>
  </si>
  <si>
    <t>369-99850166</t>
  </si>
  <si>
    <t>369-99850155</t>
  </si>
  <si>
    <t>369-99850273</t>
  </si>
  <si>
    <t>369-99850284</t>
  </si>
  <si>
    <t>369-99850295</t>
  </si>
  <si>
    <t>369-99850306</t>
  </si>
  <si>
    <t>369-99850310</t>
  </si>
  <si>
    <t>369-99850321</t>
  </si>
  <si>
    <t>369-99850170</t>
  </si>
  <si>
    <t>369-99850181</t>
  </si>
  <si>
    <t>369-99850192</t>
  </si>
  <si>
    <t>369-99850203</t>
  </si>
  <si>
    <t>369-99850214</t>
  </si>
  <si>
    <t>369-99850225</t>
  </si>
  <si>
    <t>369-99850671</t>
  </si>
  <si>
    <t>369-99850332</t>
  </si>
  <si>
    <t>369-99850343</t>
  </si>
  <si>
    <t>369-99850380</t>
  </si>
  <si>
    <t>369-99850391</t>
  </si>
  <si>
    <t>369-99850402</t>
  </si>
  <si>
    <t>369-99850413</t>
  </si>
  <si>
    <t>369-99850424</t>
  </si>
  <si>
    <t>369-99850435</t>
  </si>
  <si>
    <t>369-99429794</t>
  </si>
  <si>
    <t>369-99429945</t>
  </si>
  <si>
    <t>369-99429805</t>
  </si>
  <si>
    <t>369-99429912</t>
  </si>
  <si>
    <t>369-99407280</t>
  </si>
  <si>
    <t>369-99407276</t>
  </si>
  <si>
    <t>369-99407265</t>
  </si>
  <si>
    <t>752-30210224</t>
  </si>
  <si>
    <t>752-30210456</t>
  </si>
  <si>
    <t>752-30210460</t>
  </si>
  <si>
    <t>752-30210471</t>
  </si>
  <si>
    <t>752-30210482</t>
  </si>
  <si>
    <t>752-30210493</t>
  </si>
  <si>
    <t>752-30210504</t>
  </si>
  <si>
    <t>014-24474450</t>
  </si>
  <si>
    <t>065-49870516</t>
  </si>
  <si>
    <t>065-49870520</t>
  </si>
  <si>
    <t>065-49870531</t>
  </si>
  <si>
    <t>065-49870833</t>
  </si>
  <si>
    <t>065-49870505</t>
  </si>
  <si>
    <t>065-49870844</t>
  </si>
  <si>
    <t>065-49870855</t>
  </si>
  <si>
    <t>065-49870866</t>
  </si>
  <si>
    <t>065-49870542</t>
  </si>
  <si>
    <t>160-13894974</t>
  </si>
  <si>
    <t>160-12268266</t>
  </si>
  <si>
    <t>369-99426014</t>
  </si>
  <si>
    <t>369-99426003</t>
  </si>
  <si>
    <t>369-99851006</t>
  </si>
  <si>
    <t>369-99850914</t>
  </si>
  <si>
    <t>369-99850903</t>
  </si>
  <si>
    <t>369-99850520</t>
  </si>
  <si>
    <t>369-99850531</t>
  </si>
  <si>
    <t>369-99850822</t>
  </si>
  <si>
    <t>369-99850811</t>
  </si>
  <si>
    <t>369-99850800</t>
  </si>
  <si>
    <t>369-99850833</t>
  </si>
  <si>
    <t>369-99850796</t>
  </si>
  <si>
    <t>369-99850730</t>
  </si>
  <si>
    <t>369-99850726</t>
  </si>
  <si>
    <t>369-99850715</t>
  </si>
  <si>
    <t>369-99850752</t>
  </si>
  <si>
    <t>369-99850741</t>
  </si>
  <si>
    <t>369-99850612</t>
  </si>
  <si>
    <t>369-99850785</t>
  </si>
  <si>
    <t>369-99850763</t>
  </si>
  <si>
    <t>369-99850774</t>
  </si>
  <si>
    <t>369-99850601</t>
  </si>
  <si>
    <t>369-99850693</t>
  </si>
  <si>
    <t>369-99850682</t>
  </si>
  <si>
    <t>369-99850575</t>
  </si>
  <si>
    <t>369-99850564</t>
  </si>
  <si>
    <t>369-99850553</t>
  </si>
  <si>
    <t>369-99850542</t>
  </si>
  <si>
    <t>369-99850660</t>
  </si>
  <si>
    <t>369-99850656</t>
  </si>
  <si>
    <t>369-99850645</t>
  </si>
  <si>
    <t>369-99850623</t>
  </si>
  <si>
    <t>369-99850590</t>
  </si>
  <si>
    <t>369-99850586</t>
  </si>
  <si>
    <t>369-99850461</t>
  </si>
  <si>
    <t>369-99850450</t>
  </si>
  <si>
    <t>369-99850516</t>
  </si>
  <si>
    <t>369-99850505</t>
  </si>
  <si>
    <t>369-99850494</t>
  </si>
  <si>
    <t>369-99850483</t>
  </si>
  <si>
    <t>369-99850472</t>
  </si>
  <si>
    <t>369-99850376</t>
  </si>
  <si>
    <t>369-99850365</t>
  </si>
  <si>
    <t>369-99850634</t>
  </si>
  <si>
    <t>369-99850704</t>
  </si>
  <si>
    <t>369-99429816</t>
  </si>
  <si>
    <t>369-99429820</t>
  </si>
  <si>
    <t>752-30210541</t>
  </si>
  <si>
    <t>752-30210530</t>
  </si>
  <si>
    <t>752-30210526</t>
  </si>
  <si>
    <t>752-30210515</t>
  </si>
  <si>
    <t>752-30210235</t>
  </si>
  <si>
    <t>065-49870015</t>
  </si>
  <si>
    <t>065-49870026</t>
  </si>
  <si>
    <t>065-49870030</t>
  </si>
  <si>
    <t>065-49870041</t>
  </si>
  <si>
    <t>065-49870074</t>
  </si>
  <si>
    <t>065-49870052</t>
  </si>
  <si>
    <t>065-49870085</t>
  </si>
  <si>
    <t>065-49870096</t>
  </si>
  <si>
    <t>065-49870100</t>
  </si>
  <si>
    <t>157-52751086</t>
  </si>
  <si>
    <t>157-52751090</t>
  </si>
  <si>
    <t>157-52751160</t>
  </si>
  <si>
    <t>157-52751031</t>
  </si>
  <si>
    <t>157-52751042</t>
  </si>
  <si>
    <t>157-52751053</t>
  </si>
  <si>
    <t>157-52751064</t>
  </si>
  <si>
    <t>157-52751075</t>
  </si>
  <si>
    <t>157-52751101</t>
  </si>
  <si>
    <t>157-52751123</t>
  </si>
  <si>
    <t>157-52751134</t>
  </si>
  <si>
    <t>157-52751112</t>
  </si>
  <si>
    <t>157-52751171</t>
  </si>
  <si>
    <t>157-52751182</t>
  </si>
  <si>
    <t>157-52751145</t>
  </si>
  <si>
    <t>157-52751156</t>
  </si>
  <si>
    <t>157-52751215</t>
  </si>
  <si>
    <t>157-52751241</t>
  </si>
  <si>
    <t>157-52751204</t>
  </si>
  <si>
    <t>157-52751226</t>
  </si>
  <si>
    <t>157-52751230</t>
  </si>
  <si>
    <t>157-52751252</t>
  </si>
  <si>
    <t>157-52751263</t>
  </si>
  <si>
    <t>157-52751274</t>
  </si>
  <si>
    <t>157-52751915</t>
  </si>
  <si>
    <t>157-52750504</t>
  </si>
  <si>
    <t>157-52750515</t>
  </si>
  <si>
    <t>157-52750526</t>
  </si>
  <si>
    <t>157-52751193</t>
  </si>
  <si>
    <t>157-52751893</t>
  </si>
  <si>
    <t>157-52751904</t>
  </si>
  <si>
    <t>157-67478644</t>
  </si>
  <si>
    <t>157-52750482</t>
  </si>
  <si>
    <t>157-52750493</t>
  </si>
  <si>
    <t>157-52751952</t>
  </si>
  <si>
    <t>157-52751963</t>
  </si>
  <si>
    <t>157-52751985</t>
  </si>
  <si>
    <t>157-52751926</t>
  </si>
  <si>
    <t>157-52751930</t>
  </si>
  <si>
    <t>157-52751941</t>
  </si>
  <si>
    <t>157-52751974</t>
  </si>
  <si>
    <t>157-67476710</t>
  </si>
  <si>
    <t>157-67476706</t>
  </si>
  <si>
    <t>157-67476743</t>
  </si>
  <si>
    <t>157-67476732</t>
  </si>
  <si>
    <t>157-67476640</t>
  </si>
  <si>
    <t>157-67476636</t>
  </si>
  <si>
    <t>157-67476625</t>
  </si>
  <si>
    <t>157-67476614</t>
  </si>
  <si>
    <t>157-67476511</t>
  </si>
  <si>
    <t>157-67476500</t>
  </si>
  <si>
    <t>157-67476485</t>
  </si>
  <si>
    <t>157-67478530</t>
  </si>
  <si>
    <t>157-67478541</t>
  </si>
  <si>
    <t>157-67478552</t>
  </si>
  <si>
    <t>157-67478563</t>
  </si>
  <si>
    <t>157-67476581</t>
  </si>
  <si>
    <t>157-67476522</t>
  </si>
  <si>
    <t>157-67476496</t>
  </si>
  <si>
    <t>157-67476721</t>
  </si>
  <si>
    <t>157-67476474</t>
  </si>
  <si>
    <t>157-67476754</t>
  </si>
  <si>
    <t>157-67476651</t>
  </si>
  <si>
    <t>157-67476555</t>
  </si>
  <si>
    <t>157-52751801</t>
  </si>
  <si>
    <t>157-52751812</t>
  </si>
  <si>
    <t>157-67476570</t>
  </si>
  <si>
    <t>157-52751823</t>
  </si>
  <si>
    <t>157-52751790</t>
  </si>
  <si>
    <t>157-67476776</t>
  </si>
  <si>
    <t>157-67476765</t>
  </si>
  <si>
    <t>157-67476592</t>
  </si>
  <si>
    <t>157-52751786</t>
  </si>
  <si>
    <t>157-67476780</t>
  </si>
  <si>
    <t>157-67476673</t>
  </si>
  <si>
    <t>157-67476603</t>
  </si>
  <si>
    <t>157-67476662</t>
  </si>
  <si>
    <t>157-67476566</t>
  </si>
  <si>
    <t>157-52751834</t>
  </si>
  <si>
    <t>157-52751845</t>
  </si>
  <si>
    <t>157-67476544</t>
  </si>
  <si>
    <t>157-67476533</t>
  </si>
  <si>
    <t>157-52751996</t>
  </si>
  <si>
    <t>157-67476695</t>
  </si>
  <si>
    <t>157-67476684</t>
  </si>
  <si>
    <t>157-67476463</t>
  </si>
  <si>
    <t>157-52751882</t>
  </si>
  <si>
    <t>157-52751871</t>
  </si>
  <si>
    <t>157-52751860</t>
  </si>
  <si>
    <t>160-13894996</t>
  </si>
  <si>
    <t>160-13894985</t>
  </si>
  <si>
    <t>TK6241</t>
  </si>
  <si>
    <t>235-96204916</t>
  </si>
  <si>
    <t>369-99851032</t>
  </si>
  <si>
    <t>369-99851043</t>
  </si>
  <si>
    <t>369-99851054</t>
  </si>
  <si>
    <t>369-99851065</t>
  </si>
  <si>
    <t>369-99851076</t>
  </si>
  <si>
    <t>369-99851080</t>
  </si>
  <si>
    <t>369-99851091</t>
  </si>
  <si>
    <t>369-99851102</t>
  </si>
  <si>
    <t>369-99851113</t>
  </si>
  <si>
    <t>369-99851124</t>
  </si>
  <si>
    <t>369-99851135</t>
  </si>
  <si>
    <t>369-99851146</t>
  </si>
  <si>
    <t>369-99851150</t>
  </si>
  <si>
    <t>369-99851172</t>
  </si>
  <si>
    <t>369-99851183</t>
  </si>
  <si>
    <t>369-99850925</t>
  </si>
  <si>
    <t>369-99850936</t>
  </si>
  <si>
    <t>369-99850940</t>
  </si>
  <si>
    <t>369-99850951</t>
  </si>
  <si>
    <t>369-99850962</t>
  </si>
  <si>
    <t>369-99850973</t>
  </si>
  <si>
    <t>369-99850984</t>
  </si>
  <si>
    <t>369-99850995</t>
  </si>
  <si>
    <t>369-99850844</t>
  </si>
  <si>
    <t>369-99850855</t>
  </si>
  <si>
    <t>369-99850866</t>
  </si>
  <si>
    <t>369-99850870</t>
  </si>
  <si>
    <t>369-99850881</t>
  </si>
  <si>
    <t>369-99850892</t>
  </si>
  <si>
    <t>369-99851161</t>
  </si>
  <si>
    <t>369-99851010</t>
  </si>
  <si>
    <t>369-99851021</t>
  </si>
  <si>
    <t>(extra1)</t>
  </si>
  <si>
    <t>369-99851286</t>
  </si>
  <si>
    <t>369-99851290</t>
  </si>
  <si>
    <t>369-99429831</t>
  </si>
  <si>
    <t>369-99429923</t>
  </si>
  <si>
    <t>369-99429934</t>
  </si>
  <si>
    <t>752-30210250</t>
  </si>
  <si>
    <t>752-30210552</t>
  </si>
  <si>
    <t>752-30210563</t>
  </si>
  <si>
    <t>752-30210574</t>
  </si>
  <si>
    <t>752-30210585</t>
  </si>
  <si>
    <t>752-30210596</t>
  </si>
  <si>
    <t>752-30210600</t>
  </si>
  <si>
    <t>936-00317892</t>
  </si>
  <si>
    <t>936-00317881</t>
  </si>
  <si>
    <t>936-00317870</t>
  </si>
  <si>
    <t>160-13895011</t>
  </si>
  <si>
    <t>160-13895000</t>
  </si>
  <si>
    <t>F57623</t>
  </si>
  <si>
    <t>752-30210261</t>
  </si>
  <si>
    <t>752-30210611</t>
  </si>
  <si>
    <t>752-30210622</t>
  </si>
  <si>
    <t>752-30210633</t>
  </si>
  <si>
    <t>752-30210644</t>
  </si>
  <si>
    <t>752-30210655</t>
  </si>
  <si>
    <t>752-30210666</t>
  </si>
  <si>
    <t>752-30210670</t>
  </si>
  <si>
    <t>065-49870601</t>
  </si>
  <si>
    <t>065-49870612</t>
  </si>
  <si>
    <t>065-49871113</t>
  </si>
  <si>
    <t>065-49870590</t>
  </si>
  <si>
    <t>065-49871124</t>
  </si>
  <si>
    <t>065-49871135</t>
  </si>
  <si>
    <t>157-66827552</t>
  </si>
  <si>
    <t>157-66827935</t>
  </si>
  <si>
    <t>157-66827563</t>
  </si>
  <si>
    <t>157-66827725</t>
  </si>
  <si>
    <t>157-66827574</t>
  </si>
  <si>
    <t>157-66827736</t>
  </si>
  <si>
    <t>157-66827585</t>
  </si>
  <si>
    <t>157-66827740</t>
  </si>
  <si>
    <t>157-66827946</t>
  </si>
  <si>
    <t>157-66827596</t>
  </si>
  <si>
    <t>157-66827600</t>
  </si>
  <si>
    <t>157-66827611</t>
  </si>
  <si>
    <t>157-66827622</t>
  </si>
  <si>
    <t>157-66827633</t>
  </si>
  <si>
    <t>157-66827644</t>
  </si>
  <si>
    <t>157-66827913</t>
  </si>
  <si>
    <t>157-66827880</t>
  </si>
  <si>
    <t>157-66827902</t>
  </si>
  <si>
    <t>157-66827655</t>
  </si>
  <si>
    <t>157-66827751</t>
  </si>
  <si>
    <t>157-58185713</t>
  </si>
  <si>
    <t>157-66827924</t>
  </si>
  <si>
    <t>157-66827666</t>
  </si>
  <si>
    <t>157-66827670</t>
  </si>
  <si>
    <t>157-66827773</t>
  </si>
  <si>
    <t>157-66827762</t>
  </si>
  <si>
    <t>157-66827681</t>
  </si>
  <si>
    <t>157-66827784</t>
  </si>
  <si>
    <t>157-66827692</t>
  </si>
  <si>
    <t>157-66827795</t>
  </si>
  <si>
    <t>157-66827703</t>
  </si>
  <si>
    <t>157-66827810</t>
  </si>
  <si>
    <t>157-66827821</t>
  </si>
  <si>
    <t>157-66827714</t>
  </si>
  <si>
    <t>157-66827806</t>
  </si>
  <si>
    <t>157-66827891</t>
  </si>
  <si>
    <t>157-66827843</t>
  </si>
  <si>
    <t>157-67477454</t>
  </si>
  <si>
    <t>157-67477465</t>
  </si>
  <si>
    <t>157-67477476</t>
  </si>
  <si>
    <t>157-67477480</t>
  </si>
  <si>
    <t>157-67477491</t>
  </si>
  <si>
    <t>157-67477513</t>
  </si>
  <si>
    <t>157-67477524</t>
  </si>
  <si>
    <t>157-67477535</t>
  </si>
  <si>
    <t>157-67477546</t>
  </si>
  <si>
    <t>157-67477550</t>
  </si>
  <si>
    <t>157-67477561</t>
  </si>
  <si>
    <t>157-67477572</t>
  </si>
  <si>
    <t>157-67477583</t>
  </si>
  <si>
    <t>157-67477502</t>
  </si>
  <si>
    <t>157-67477642</t>
  </si>
  <si>
    <t>157-67477616</t>
  </si>
  <si>
    <t>157-67477594</t>
  </si>
  <si>
    <t>157-52752066</t>
  </si>
  <si>
    <t>157-67477631</t>
  </si>
  <si>
    <t>157-67477653</t>
  </si>
  <si>
    <t>157-67477620</t>
  </si>
  <si>
    <t>157-52752011</t>
  </si>
  <si>
    <t>157-52752022</t>
  </si>
  <si>
    <t>157-52752033</t>
  </si>
  <si>
    <t>157-52752044</t>
  </si>
  <si>
    <t>157-67477605</t>
  </si>
  <si>
    <t>157-52752265</t>
  </si>
  <si>
    <t>157-52752254</t>
  </si>
  <si>
    <t>157-67477664</t>
  </si>
  <si>
    <t>157-52752055</t>
  </si>
  <si>
    <t>157-67477675</t>
  </si>
  <si>
    <t>157-52752276</t>
  </si>
  <si>
    <t>157-52752243</t>
  </si>
  <si>
    <t>157-52752081</t>
  </si>
  <si>
    <t>157-52752070</t>
  </si>
  <si>
    <t>157-67477690</t>
  </si>
  <si>
    <t>157-67477686</t>
  </si>
  <si>
    <t>160-13895033</t>
  </si>
  <si>
    <t>160-13895022</t>
  </si>
  <si>
    <t>160-13895044</t>
  </si>
  <si>
    <t>160-13895066</t>
  </si>
  <si>
    <t>160-13895055</t>
  </si>
  <si>
    <t>752-30210681</t>
  </si>
  <si>
    <t>752-30210272</t>
  </si>
  <si>
    <t>752-30210692</t>
  </si>
  <si>
    <t>752-30210703</t>
  </si>
  <si>
    <t>752-30210714</t>
  </si>
  <si>
    <t>752-30210725</t>
  </si>
  <si>
    <t>752-30210736</t>
  </si>
  <si>
    <t>752-30210740</t>
  </si>
  <si>
    <t>752-30210283</t>
  </si>
  <si>
    <t>752-30210751</t>
  </si>
  <si>
    <t>752-30210762</t>
  </si>
  <si>
    <t>752-30210773</t>
  </si>
  <si>
    <t>752-30210784</t>
  </si>
  <si>
    <t>936-00317914</t>
  </si>
  <si>
    <t>936-00317903</t>
  </si>
  <si>
    <t>065-49870656</t>
  </si>
  <si>
    <t>065-49870645</t>
  </si>
  <si>
    <t>065-49870634</t>
  </si>
  <si>
    <t>065-49871150</t>
  </si>
  <si>
    <t>065-49871146</t>
  </si>
  <si>
    <t>157-67476813</t>
  </si>
  <si>
    <t>157-67476824</t>
  </si>
  <si>
    <t>157-67476846</t>
  </si>
  <si>
    <t>157-67476835</t>
  </si>
  <si>
    <t>157-67478460</t>
  </si>
  <si>
    <t>157-67478471</t>
  </si>
  <si>
    <t>157-67478482</t>
  </si>
  <si>
    <t>157-67478493</t>
  </si>
  <si>
    <t>157-67478504</t>
  </si>
  <si>
    <t>157-67477034</t>
  </si>
  <si>
    <t>157-67477012</t>
  </si>
  <si>
    <t>157-67476964</t>
  </si>
  <si>
    <t>157-67476975</t>
  </si>
  <si>
    <t>157-67477001</t>
  </si>
  <si>
    <t>157-67476916</t>
  </si>
  <si>
    <t>157-67476990</t>
  </si>
  <si>
    <t>157-67476905</t>
  </si>
  <si>
    <t>157-67476850</t>
  </si>
  <si>
    <t>157-67476942</t>
  </si>
  <si>
    <t>157-67476986</t>
  </si>
  <si>
    <t>157-67477060</t>
  </si>
  <si>
    <t>157-67477056</t>
  </si>
  <si>
    <t>157-67476802</t>
  </si>
  <si>
    <t>157-67477045</t>
  </si>
  <si>
    <t>157-67476931</t>
  </si>
  <si>
    <t>157-67477023</t>
  </si>
  <si>
    <t>157-67476920</t>
  </si>
  <si>
    <t>157-67476883</t>
  </si>
  <si>
    <t>157-67476894</t>
  </si>
  <si>
    <t>157-67478526</t>
  </si>
  <si>
    <t>157-67478515</t>
  </si>
  <si>
    <t>157-67476861</t>
  </si>
  <si>
    <t>157-67476872</t>
  </si>
  <si>
    <t>157-67476791</t>
  </si>
  <si>
    <t>157-67477093</t>
  </si>
  <si>
    <t>157-67477082</t>
  </si>
  <si>
    <t>157-67476953</t>
  </si>
  <si>
    <t>157-67477071</t>
  </si>
  <si>
    <t>157-66827994</t>
  </si>
  <si>
    <t>157-66828005</t>
  </si>
  <si>
    <t>157-66828123</t>
  </si>
  <si>
    <t>157-66828016</t>
  </si>
  <si>
    <t>157-66828020</t>
  </si>
  <si>
    <t>157-66828031</t>
  </si>
  <si>
    <t>157-66828134</t>
  </si>
  <si>
    <t>157-66828145</t>
  </si>
  <si>
    <t>157-66828042</t>
  </si>
  <si>
    <t>157-66827950</t>
  </si>
  <si>
    <t>157-66827972</t>
  </si>
  <si>
    <t>157-66828053</t>
  </si>
  <si>
    <t>157-66827961</t>
  </si>
  <si>
    <t>157-66828300</t>
  </si>
  <si>
    <t>157-66828311</t>
  </si>
  <si>
    <t>157-66828156</t>
  </si>
  <si>
    <t>157-66828112</t>
  </si>
  <si>
    <t>157-66827983</t>
  </si>
  <si>
    <t>157-66828160</t>
  </si>
  <si>
    <t>157-66828171</t>
  </si>
  <si>
    <t>157-66828182</t>
  </si>
  <si>
    <t>157-66828230</t>
  </si>
  <si>
    <t>157-66828193</t>
  </si>
  <si>
    <t>157-66828296</t>
  </si>
  <si>
    <t>157-66828322</t>
  </si>
  <si>
    <t>157-66828333</t>
  </si>
  <si>
    <t>157-66828204</t>
  </si>
  <si>
    <t>157-66828215</t>
  </si>
  <si>
    <t>157-66828241</t>
  </si>
  <si>
    <t>157-66828226</t>
  </si>
  <si>
    <t>157-66828064</t>
  </si>
  <si>
    <t>157-66828285</t>
  </si>
  <si>
    <t>157-66828344</t>
  </si>
  <si>
    <t>157-66828075</t>
  </si>
  <si>
    <t>157-66828252</t>
  </si>
  <si>
    <t>157-66828274</t>
  </si>
  <si>
    <t>157-66828086</t>
  </si>
  <si>
    <t>157-66828263</t>
  </si>
  <si>
    <t>157-66828101</t>
  </si>
  <si>
    <t>157-66828090</t>
  </si>
  <si>
    <t>160-13895081</t>
  </si>
  <si>
    <t>160-13895070</t>
  </si>
  <si>
    <t>172-04323152</t>
  </si>
  <si>
    <t>369-99851485</t>
  </si>
  <si>
    <t>369-99851496</t>
  </si>
  <si>
    <t>369-99851500</t>
  </si>
  <si>
    <t>369-99851592</t>
  </si>
  <si>
    <t>369-99851640</t>
  </si>
  <si>
    <t>369-99851651</t>
  </si>
  <si>
    <t>369-99851581</t>
  </si>
  <si>
    <t>369-99432616</t>
  </si>
  <si>
    <t>369-99432675</t>
  </si>
  <si>
    <t>369-99851603</t>
  </si>
  <si>
    <t>369-99851614</t>
  </si>
  <si>
    <t>369-99851625</t>
  </si>
  <si>
    <t>369-99851636</t>
  </si>
  <si>
    <t>369-99432583</t>
  </si>
  <si>
    <t>369-99432594</t>
  </si>
  <si>
    <t>369-99851511</t>
  </si>
  <si>
    <t>369-99851522</t>
  </si>
  <si>
    <t>369-99851533</t>
  </si>
  <si>
    <t>369-99432222</t>
  </si>
  <si>
    <t>369-99432605</t>
  </si>
  <si>
    <t>369-99851544</t>
  </si>
  <si>
    <t>369-99851555</t>
  </si>
  <si>
    <t>369-99851566</t>
  </si>
  <si>
    <t>369-99851570</t>
  </si>
  <si>
    <t>369-99851662</t>
  </si>
  <si>
    <t>369-99851673</t>
  </si>
  <si>
    <t>369-99851684</t>
  </si>
  <si>
    <t>369-99432266</t>
  </si>
  <si>
    <t>369-99432270</t>
  </si>
  <si>
    <t>369-99432233</t>
  </si>
  <si>
    <t>369-99432244</t>
  </si>
  <si>
    <t>369-99432255</t>
  </si>
  <si>
    <t>369-99429982</t>
  </si>
  <si>
    <t>369-99429886</t>
  </si>
  <si>
    <t>369-99429993</t>
  </si>
  <si>
    <t>369-99430004</t>
  </si>
  <si>
    <t>369-99430015</t>
  </si>
  <si>
    <t>369-99430026</t>
  </si>
  <si>
    <t>752-30210294</t>
  </si>
  <si>
    <t>752-30210810</t>
  </si>
  <si>
    <t>752-30210821</t>
  </si>
  <si>
    <t>752-30210832</t>
  </si>
  <si>
    <t>752-30210795</t>
  </si>
  <si>
    <t>752-30210806</t>
  </si>
  <si>
    <t>752-30210843</t>
  </si>
  <si>
    <t>752-30210854</t>
  </si>
  <si>
    <t>F57625</t>
  </si>
  <si>
    <t>752-30211020</t>
  </si>
  <si>
    <t>752-30210935</t>
  </si>
  <si>
    <t>752-30210924</t>
  </si>
  <si>
    <t>752-30210913</t>
  </si>
  <si>
    <t>752-30210902</t>
  </si>
  <si>
    <t>752-30210891</t>
  </si>
  <si>
    <t>752-30210880</t>
  </si>
  <si>
    <t>752-30210876</t>
  </si>
  <si>
    <t>752-30210865</t>
  </si>
  <si>
    <t>752-30210305</t>
  </si>
  <si>
    <t>065-49870671</t>
  </si>
  <si>
    <t>065-49870682</t>
  </si>
  <si>
    <t>065-49871161</t>
  </si>
  <si>
    <t>065-49870693</t>
  </si>
  <si>
    <t>065-49871172</t>
  </si>
  <si>
    <t>065-49871183</t>
  </si>
  <si>
    <t>065-49870704</t>
  </si>
  <si>
    <t>065-49870715</t>
  </si>
  <si>
    <t>065-49870726</t>
  </si>
  <si>
    <t>065-49871194</t>
  </si>
  <si>
    <t>065-49871205</t>
  </si>
  <si>
    <t>157-67477734</t>
  </si>
  <si>
    <t>157-67477712</t>
  </si>
  <si>
    <t>157-67477723</t>
  </si>
  <si>
    <t>157-52752173</t>
  </si>
  <si>
    <t>157-67477745</t>
  </si>
  <si>
    <t>157-67477793</t>
  </si>
  <si>
    <t>157-67477782</t>
  </si>
  <si>
    <t>157-67477863</t>
  </si>
  <si>
    <t>157-67477852</t>
  </si>
  <si>
    <t>157-67477804</t>
  </si>
  <si>
    <t>157-67477760</t>
  </si>
  <si>
    <t>157-67477756</t>
  </si>
  <si>
    <t>157-67477815</t>
  </si>
  <si>
    <t>157-52883504</t>
  </si>
  <si>
    <t>157-67477826</t>
  </si>
  <si>
    <t>157-52883515</t>
  </si>
  <si>
    <t>157-67477830</t>
  </si>
  <si>
    <t>157-52883423</t>
  </si>
  <si>
    <t>157-52883821</t>
  </si>
  <si>
    <t>157-67477874</t>
  </si>
  <si>
    <t>157-67477885</t>
  </si>
  <si>
    <t>157-52883434</t>
  </si>
  <si>
    <t>157-52883810</t>
  </si>
  <si>
    <t>157-52752092</t>
  </si>
  <si>
    <t>157-52752103</t>
  </si>
  <si>
    <t>157-52752114</t>
  </si>
  <si>
    <t>157-67477701</t>
  </si>
  <si>
    <t>157-67477911</t>
  </si>
  <si>
    <t>157-67477922</t>
  </si>
  <si>
    <t>157-67477933</t>
  </si>
  <si>
    <t>157-67477944</t>
  </si>
  <si>
    <t>157-52752151</t>
  </si>
  <si>
    <t>157-52752162</t>
  </si>
  <si>
    <t>157-52752184</t>
  </si>
  <si>
    <t>157-52883460</t>
  </si>
  <si>
    <t>157-67477900</t>
  </si>
  <si>
    <t>157-52883471</t>
  </si>
  <si>
    <t>157-52883482</t>
  </si>
  <si>
    <t>157-52883445</t>
  </si>
  <si>
    <t>157-52883456</t>
  </si>
  <si>
    <t>157-67477841</t>
  </si>
  <si>
    <t>157-66828392</t>
  </si>
  <si>
    <t>157-66828403</t>
  </si>
  <si>
    <t>157-66828414</t>
  </si>
  <si>
    <t>157-67397956</t>
  </si>
  <si>
    <t>157-67397912</t>
  </si>
  <si>
    <t>157-66828425</t>
  </si>
  <si>
    <t>157-67397761</t>
  </si>
  <si>
    <t>157-67397772</t>
  </si>
  <si>
    <t>157-67397960</t>
  </si>
  <si>
    <t>157-67397923</t>
  </si>
  <si>
    <t>157-67397794</t>
  </si>
  <si>
    <t>157-67397783</t>
  </si>
  <si>
    <t>157-67397934</t>
  </si>
  <si>
    <t>157-67397820</t>
  </si>
  <si>
    <t>157-66828436</t>
  </si>
  <si>
    <t>157-67397945</t>
  </si>
  <si>
    <t>157-67397746</t>
  </si>
  <si>
    <t>157-67397750</t>
  </si>
  <si>
    <t>157-66828366</t>
  </si>
  <si>
    <t>157-66828370</t>
  </si>
  <si>
    <t>157-66828381</t>
  </si>
  <si>
    <t>157-67397816</t>
  </si>
  <si>
    <t>157-66828506</t>
  </si>
  <si>
    <t>157-66828355</t>
  </si>
  <si>
    <t>157-67397901</t>
  </si>
  <si>
    <t>157-67397805</t>
  </si>
  <si>
    <t>157-66828510</t>
  </si>
  <si>
    <t>157-67397831</t>
  </si>
  <si>
    <t>157-66828440</t>
  </si>
  <si>
    <t>157-66828451</t>
  </si>
  <si>
    <t>157-67397842</t>
  </si>
  <si>
    <t>157-66828462</t>
  </si>
  <si>
    <t>157-66828473</t>
  </si>
  <si>
    <t>157-67397853</t>
  </si>
  <si>
    <t>157-66828484</t>
  </si>
  <si>
    <t>157-67397886</t>
  </si>
  <si>
    <t>157-66828495</t>
  </si>
  <si>
    <t>157-67397864</t>
  </si>
  <si>
    <t>157-67397875</t>
  </si>
  <si>
    <t>160-13895103</t>
  </si>
  <si>
    <t>160-13895092</t>
  </si>
  <si>
    <t>160-13895114</t>
  </si>
  <si>
    <t>160-13895136</t>
  </si>
  <si>
    <t>160-13895125</t>
  </si>
  <si>
    <t>172-04323163</t>
  </si>
  <si>
    <t>235-98168663</t>
  </si>
  <si>
    <t>157-67478051</t>
  </si>
  <si>
    <t>157-67478040</t>
  </si>
  <si>
    <t>157-67478073</t>
  </si>
  <si>
    <t>157-67478062</t>
  </si>
  <si>
    <t>157-52883493</t>
  </si>
  <si>
    <t>157-67478095</t>
  </si>
  <si>
    <t>157-67478106</t>
  </si>
  <si>
    <t>157-67478154</t>
  </si>
  <si>
    <t>157-67478121</t>
  </si>
  <si>
    <t>157-67478084</t>
  </si>
  <si>
    <t>157-67478025</t>
  </si>
  <si>
    <t>157-67477771</t>
  </si>
  <si>
    <t>157-67478143</t>
  </si>
  <si>
    <t>157-67478036</t>
  </si>
  <si>
    <t>157-67478132</t>
  </si>
  <si>
    <t>157-67477955</t>
  </si>
  <si>
    <t>157-67477966</t>
  </si>
  <si>
    <t>157-67477992</t>
  </si>
  <si>
    <t>157-67477970</t>
  </si>
  <si>
    <t>157-67478003</t>
  </si>
  <si>
    <t>157-67478176</t>
  </si>
  <si>
    <t>157-67478180</t>
  </si>
  <si>
    <t>157-67478165</t>
  </si>
  <si>
    <t>157-67478014</t>
  </si>
  <si>
    <t>157-67477981</t>
  </si>
  <si>
    <t>157-67478191</t>
  </si>
  <si>
    <t>157-67478110</t>
  </si>
  <si>
    <t>157-52884996</t>
  </si>
  <si>
    <t>157-52885000</t>
  </si>
  <si>
    <t>157-52885011</t>
  </si>
  <si>
    <t>157-67397971</t>
  </si>
  <si>
    <t>157-67397982</t>
  </si>
  <si>
    <t>157-67397993</t>
  </si>
  <si>
    <t>157-67398004</t>
  </si>
  <si>
    <t>157-67398306</t>
  </si>
  <si>
    <t>157-67398144</t>
  </si>
  <si>
    <t>157-67476441</t>
  </si>
  <si>
    <t>157-67398155</t>
  </si>
  <si>
    <t>157-67398321</t>
  </si>
  <si>
    <t>157-67398332</t>
  </si>
  <si>
    <t>157-67398015</t>
  </si>
  <si>
    <t>157-67476452</t>
  </si>
  <si>
    <t>157-67398133</t>
  </si>
  <si>
    <t>157-67476430</t>
  </si>
  <si>
    <t>157-67398166</t>
  </si>
  <si>
    <t>157-67398026</t>
  </si>
  <si>
    <t>157-67398170</t>
  </si>
  <si>
    <t>157-67398181</t>
  </si>
  <si>
    <t>157-67398192</t>
  </si>
  <si>
    <t>157-67398030</t>
  </si>
  <si>
    <t>157-67398203</t>
  </si>
  <si>
    <t>157-67398041</t>
  </si>
  <si>
    <t>157-67398214</t>
  </si>
  <si>
    <t>157-67398225</t>
  </si>
  <si>
    <t>157-67398052</t>
  </si>
  <si>
    <t>157-67398236</t>
  </si>
  <si>
    <t>157-67398240</t>
  </si>
  <si>
    <t>157-67398063</t>
  </si>
  <si>
    <t>157-67398251</t>
  </si>
  <si>
    <t>157-67398074</t>
  </si>
  <si>
    <t>157-67398262</t>
  </si>
  <si>
    <t>157-67398273</t>
  </si>
  <si>
    <t>157-67398085</t>
  </si>
  <si>
    <t>157-67398284</t>
  </si>
  <si>
    <t>157-67398295</t>
  </si>
  <si>
    <t>157-67398096</t>
  </si>
  <si>
    <t>157-67478596</t>
  </si>
  <si>
    <t>157-67478600</t>
  </si>
  <si>
    <t>157-67398100</t>
  </si>
  <si>
    <t>157-52883670</t>
  </si>
  <si>
    <t>157-52883681</t>
  </si>
  <si>
    <t>157-52883692</t>
  </si>
  <si>
    <t>157-67398111</t>
  </si>
  <si>
    <t>157-67478611</t>
  </si>
  <si>
    <t>157-67398122</t>
  </si>
  <si>
    <t>157-52883666</t>
  </si>
  <si>
    <t>157-67478622</t>
  </si>
  <si>
    <t>157-52883655</t>
  </si>
  <si>
    <t>157-67398310</t>
  </si>
  <si>
    <t>157-67477266</t>
  </si>
  <si>
    <t>157-67477270</t>
  </si>
  <si>
    <t>157-67477281</t>
  </si>
  <si>
    <t>157-52883865</t>
  </si>
  <si>
    <t>157-67477292</t>
  </si>
  <si>
    <t>157-67477255</t>
  </si>
  <si>
    <t>157-67477303</t>
  </si>
  <si>
    <t>157-52883876</t>
  </si>
  <si>
    <t>157-67477314</t>
  </si>
  <si>
    <t>157-52883552</t>
  </si>
  <si>
    <t>157-52883563</t>
  </si>
  <si>
    <t>157-67477325</t>
  </si>
  <si>
    <t>157-67477336</t>
  </si>
  <si>
    <t>157-52883891</t>
  </si>
  <si>
    <t>157-52883902</t>
  </si>
  <si>
    <t>157-67477340</t>
  </si>
  <si>
    <t>157-52884926</t>
  </si>
  <si>
    <t>157-52884930</t>
  </si>
  <si>
    <t>157-52884941</t>
  </si>
  <si>
    <t>157-67477351</t>
  </si>
  <si>
    <t>157-52884952</t>
  </si>
  <si>
    <t>157-67477373</t>
  </si>
  <si>
    <t>157-67477384</t>
  </si>
  <si>
    <t>157-67477395</t>
  </si>
  <si>
    <t>157-67477406</t>
  </si>
  <si>
    <t>157-52883574</t>
  </si>
  <si>
    <t>157-67477362</t>
  </si>
  <si>
    <t>157-52883596</t>
  </si>
  <si>
    <t>157-52883600</t>
  </si>
  <si>
    <t>157-52883585</t>
  </si>
  <si>
    <t>157-67477130</t>
  </si>
  <si>
    <t>157-67477141</t>
  </si>
  <si>
    <t>157-67477152</t>
  </si>
  <si>
    <t>157-67477174</t>
  </si>
  <si>
    <t>157-67477185</t>
  </si>
  <si>
    <t>157-67477196</t>
  </si>
  <si>
    <t>157-67477200</t>
  </si>
  <si>
    <t>157-67477211</t>
  </si>
  <si>
    <t>157-67477222</t>
  </si>
  <si>
    <t>157-67477233</t>
  </si>
  <si>
    <t>157-67477244</t>
  </si>
  <si>
    <t>157-67477126</t>
  </si>
  <si>
    <t>157-67477163</t>
  </si>
  <si>
    <t>157-67477410</t>
  </si>
  <si>
    <t>157-67477421</t>
  </si>
  <si>
    <t>157-52883880</t>
  </si>
  <si>
    <t>157-67477432</t>
  </si>
  <si>
    <t>157-52883913</t>
  </si>
  <si>
    <t>157-67477443</t>
  </si>
  <si>
    <t>157-52884963</t>
  </si>
  <si>
    <t>157-52884974</t>
  </si>
  <si>
    <t>157-52883526</t>
  </si>
  <si>
    <t>157-52884985</t>
  </si>
  <si>
    <t>157-52885092</t>
  </si>
  <si>
    <t>157-52883530</t>
  </si>
  <si>
    <t>157-52883541</t>
  </si>
  <si>
    <t>157-58188362</t>
  </si>
  <si>
    <t>157-52751856</t>
  </si>
  <si>
    <t>369-99432734</t>
  </si>
  <si>
    <t>369-99432745</t>
  </si>
  <si>
    <t>369-99432756</t>
  </si>
  <si>
    <t>369-99432804</t>
  </si>
  <si>
    <t>369-99432793</t>
  </si>
  <si>
    <t>369-99432771</t>
  </si>
  <si>
    <t>369-99432782</t>
  </si>
  <si>
    <t>369-99433585</t>
  </si>
  <si>
    <t>369-99433530</t>
  </si>
  <si>
    <t>369-99433526</t>
  </si>
  <si>
    <t>369-99433563</t>
  </si>
  <si>
    <t>369-99433574</t>
  </si>
  <si>
    <t>369-99432723</t>
  </si>
  <si>
    <t>369-99433456</t>
  </si>
  <si>
    <t>369-99433515</t>
  </si>
  <si>
    <t>369-99433541</t>
  </si>
  <si>
    <t>369-99433552</t>
  </si>
  <si>
    <t>369-99434005</t>
  </si>
  <si>
    <t>369-99434101</t>
  </si>
  <si>
    <t>369-99433460</t>
  </si>
  <si>
    <t>369-99433471</t>
  </si>
  <si>
    <t>369-99433504</t>
  </si>
  <si>
    <t>369-99433482</t>
  </si>
  <si>
    <t>369-99433493</t>
  </si>
  <si>
    <t>369-99434016</t>
  </si>
  <si>
    <t>369-99434042</t>
  </si>
  <si>
    <t>369-99434031</t>
  </si>
  <si>
    <t>369-99434020</t>
  </si>
  <si>
    <t>369-99434053</t>
  </si>
  <si>
    <t>369-99434064</t>
  </si>
  <si>
    <t>369-99434090</t>
  </si>
  <si>
    <t>369-99434086</t>
  </si>
  <si>
    <t>369-99434075</t>
  </si>
  <si>
    <t>369-99426036</t>
  </si>
  <si>
    <t>369-99426025</t>
  </si>
  <si>
    <t>369-99430030</t>
  </si>
  <si>
    <t>369-99430041</t>
  </si>
  <si>
    <t>369-99430122</t>
  </si>
  <si>
    <t>369-99430133</t>
  </si>
  <si>
    <t>160-13895140</t>
  </si>
  <si>
    <t>160-13895151</t>
  </si>
  <si>
    <t>F57628</t>
  </si>
  <si>
    <t>752-30211101</t>
  </si>
  <si>
    <t>752-30211090</t>
  </si>
  <si>
    <t>752-30211086</t>
  </si>
  <si>
    <t>752-30211075</t>
  </si>
  <si>
    <t>752-30211064</t>
  </si>
  <si>
    <t>752-30211053</t>
  </si>
  <si>
    <t>752-30211031</t>
  </si>
  <si>
    <t>752-30211042</t>
  </si>
  <si>
    <t>752-30210946</t>
  </si>
  <si>
    <t>752-30211112</t>
  </si>
  <si>
    <t>752-30211123</t>
  </si>
  <si>
    <t>752-30211134</t>
  </si>
  <si>
    <t>752-30211145</t>
  </si>
  <si>
    <t>752-30211156</t>
  </si>
  <si>
    <t>752-30211160</t>
  </si>
  <si>
    <t>752-30211171</t>
  </si>
  <si>
    <t>752-30211182</t>
  </si>
  <si>
    <t>752-30211193</t>
  </si>
  <si>
    <t>752-30211204</t>
  </si>
  <si>
    <t>065-49870914</t>
  </si>
  <si>
    <t>065-49870343</t>
  </si>
  <si>
    <t>065-49870310</t>
  </si>
  <si>
    <t>065-49870903</t>
  </si>
  <si>
    <t>065-49870892</t>
  </si>
  <si>
    <t>065-49870881</t>
  </si>
  <si>
    <t>065-49870553</t>
  </si>
  <si>
    <t>065-49870494</t>
  </si>
  <si>
    <t>065-49870380</t>
  </si>
  <si>
    <t>065-49870925</t>
  </si>
  <si>
    <t>160-13895162</t>
  </si>
  <si>
    <t>160-13895173</t>
  </si>
  <si>
    <t>752-30211263</t>
  </si>
  <si>
    <t>752-30211252</t>
  </si>
  <si>
    <t>752-30211241</t>
  </si>
  <si>
    <t>752-30211215</t>
  </si>
  <si>
    <t>752-30211274</t>
  </si>
  <si>
    <t>752-30211230</t>
  </si>
  <si>
    <t>752-30211226</t>
  </si>
  <si>
    <t>752-30210950</t>
  </si>
  <si>
    <t>065-46974594</t>
  </si>
  <si>
    <t>065-46975051</t>
  </si>
  <si>
    <t>065-46975040</t>
  </si>
  <si>
    <t>065-46974605</t>
  </si>
  <si>
    <t>160-11074851</t>
  </si>
  <si>
    <t>160-11074840</t>
  </si>
  <si>
    <t>160-11074862</t>
  </si>
  <si>
    <t>157-41177603</t>
  </si>
  <si>
    <t>157-41177614</t>
  </si>
  <si>
    <t>157-41177791</t>
  </si>
  <si>
    <t>157-41177802</t>
  </si>
  <si>
    <t>157-41177942</t>
  </si>
  <si>
    <t>157-41177824</t>
  </si>
  <si>
    <t>157-41177953</t>
  </si>
  <si>
    <t>157-41177835</t>
  </si>
  <si>
    <t>157-41177964</t>
  </si>
  <si>
    <t>157-41177846</t>
  </si>
  <si>
    <t>157-41177780</t>
  </si>
  <si>
    <t>157-41177990</t>
  </si>
  <si>
    <t>157-41177640</t>
  </si>
  <si>
    <t>157-41177861</t>
  </si>
  <si>
    <t>157-41177651</t>
  </si>
  <si>
    <t>157-41177872</t>
  </si>
  <si>
    <t>157-41177883</t>
  </si>
  <si>
    <t>157-41177905</t>
  </si>
  <si>
    <t>157-41177975</t>
  </si>
  <si>
    <t>157-41177850</t>
  </si>
  <si>
    <t>157-41177625</t>
  </si>
  <si>
    <t>157-41177916</t>
  </si>
  <si>
    <t>157-41177920</t>
  </si>
  <si>
    <t>157-41177931</t>
  </si>
  <si>
    <t>157-41177813</t>
  </si>
  <si>
    <t>157-41177662</t>
  </si>
  <si>
    <t>157-41177894</t>
  </si>
  <si>
    <t>157-41177673</t>
  </si>
  <si>
    <t>157-41177684</t>
  </si>
  <si>
    <t>157-41177695</t>
  </si>
  <si>
    <t>157-41177636</t>
  </si>
  <si>
    <t>157-41702194</t>
  </si>
  <si>
    <t>157-41177706</t>
  </si>
  <si>
    <t>157-41702242</t>
  </si>
  <si>
    <t>157-41702253</t>
  </si>
  <si>
    <t>157-41702264</t>
  </si>
  <si>
    <t>157-41177710</t>
  </si>
  <si>
    <t>157-41702205</t>
  </si>
  <si>
    <t>157-41702216</t>
  </si>
  <si>
    <t>157-41702220</t>
  </si>
  <si>
    <t>157-41702231</t>
  </si>
  <si>
    <t>157-41177721</t>
  </si>
  <si>
    <t>157-41702275</t>
  </si>
  <si>
    <t>157-41702286</t>
  </si>
  <si>
    <t>157-41702290</t>
  </si>
  <si>
    <t>157-41177732</t>
  </si>
  <si>
    <t>157-41702301</t>
  </si>
  <si>
    <t>157-41702312</t>
  </si>
  <si>
    <t>157-41177743</t>
  </si>
  <si>
    <t>157-41702323</t>
  </si>
  <si>
    <t>157-41702334</t>
  </si>
  <si>
    <t>157-41702345</t>
  </si>
  <si>
    <t>157-41702356</t>
  </si>
  <si>
    <t>157-41177754</t>
  </si>
  <si>
    <t>157-41702360</t>
  </si>
  <si>
    <t>157-41702371</t>
  </si>
  <si>
    <t>157-41177765</t>
  </si>
  <si>
    <t>157-41177776</t>
  </si>
  <si>
    <t>157-41177986</t>
  </si>
  <si>
    <t>157-41178196</t>
  </si>
  <si>
    <t>157-41178200</t>
  </si>
  <si>
    <t>157-41180145</t>
  </si>
  <si>
    <t>157-41180123</t>
  </si>
  <si>
    <t>157-41180182</t>
  </si>
  <si>
    <t>157-41180193</t>
  </si>
  <si>
    <t>157-41180204</t>
  </si>
  <si>
    <t>157-41180215</t>
  </si>
  <si>
    <t>157-41180226</t>
  </si>
  <si>
    <t>157-41180230</t>
  </si>
  <si>
    <t>157-41180241</t>
  </si>
  <si>
    <t>157-41180252</t>
  </si>
  <si>
    <t>157-41180263</t>
  </si>
  <si>
    <t>157-41180112</t>
  </si>
  <si>
    <t>157-41702102</t>
  </si>
  <si>
    <t>157-41702091</t>
  </si>
  <si>
    <t>157-41180134</t>
  </si>
  <si>
    <t>157-41180274</t>
  </si>
  <si>
    <t>157-41180285</t>
  </si>
  <si>
    <t>157-41180296</t>
  </si>
  <si>
    <t>157-41180311</t>
  </si>
  <si>
    <t>157-41180300</t>
  </si>
  <si>
    <t>157-41180333</t>
  </si>
  <si>
    <t>157-41702404</t>
  </si>
  <si>
    <t>157-41180322</t>
  </si>
  <si>
    <t>157-41702393</t>
  </si>
  <si>
    <t>157-41180355</t>
  </si>
  <si>
    <t>157-41702382</t>
  </si>
  <si>
    <t>157-41180344</t>
  </si>
  <si>
    <t>157-41702430</t>
  </si>
  <si>
    <t>157-41702463</t>
  </si>
  <si>
    <t>157-41702474</t>
  </si>
  <si>
    <t>157-41702485</t>
  </si>
  <si>
    <t>157-41702452</t>
  </si>
  <si>
    <t>157-41180160</t>
  </si>
  <si>
    <t>157-41180171</t>
  </si>
  <si>
    <t>157-41180156</t>
  </si>
  <si>
    <t>157-41702426</t>
  </si>
  <si>
    <t>157-41702496</t>
  </si>
  <si>
    <t>157-41702511</t>
  </si>
  <si>
    <t>157-41702441</t>
  </si>
  <si>
    <t>157-41702500</t>
  </si>
  <si>
    <t>157-41702522</t>
  </si>
  <si>
    <t>157-41702533</t>
  </si>
  <si>
    <t>157-41702415</t>
  </si>
  <si>
    <t>160-11074744</t>
  </si>
  <si>
    <t>160-11074755</t>
  </si>
  <si>
    <t>752-30185120</t>
  </si>
  <si>
    <t>752-30185105</t>
  </si>
  <si>
    <t>752-30185083</t>
  </si>
  <si>
    <t>752-30185072</t>
  </si>
  <si>
    <t>752-30185061</t>
  </si>
  <si>
    <t>752-30185050</t>
  </si>
  <si>
    <t>752-30185116</t>
  </si>
  <si>
    <t>752-30185094</t>
  </si>
  <si>
    <t>065-46962344</t>
  </si>
  <si>
    <t>065-46962355</t>
  </si>
  <si>
    <t>065-46962366</t>
  </si>
  <si>
    <t>065-46962370</t>
  </si>
  <si>
    <t>065-46962506</t>
  </si>
  <si>
    <t>065-46962451</t>
  </si>
  <si>
    <t>065-46962381</t>
  </si>
  <si>
    <t>065-46962392</t>
  </si>
  <si>
    <t>065-46962403</t>
  </si>
  <si>
    <t>065-46962414</t>
  </si>
  <si>
    <t>065-46962425</t>
  </si>
  <si>
    <t>065-46962462</t>
  </si>
  <si>
    <t>065-46962473</t>
  </si>
  <si>
    <t>065-46962510</t>
  </si>
  <si>
    <t>065-46962484</t>
  </si>
  <si>
    <t>065-46962521</t>
  </si>
  <si>
    <t>065-46962495</t>
  </si>
  <si>
    <t>065-46962532</t>
  </si>
  <si>
    <t>065-46962440</t>
  </si>
  <si>
    <t>065-46962436</t>
  </si>
  <si>
    <t>065-46974620</t>
  </si>
  <si>
    <t>065-46974631</t>
  </si>
  <si>
    <t>065-46974642</t>
  </si>
  <si>
    <t>065-46975073</t>
  </si>
  <si>
    <t>065-46975084</t>
  </si>
  <si>
    <t>157-41178001</t>
  </si>
  <si>
    <t>157-41178012</t>
  </si>
  <si>
    <t>157-41178336</t>
  </si>
  <si>
    <t>157-41178395</t>
  </si>
  <si>
    <t>157-41178340</t>
  </si>
  <si>
    <t>157-41178384</t>
  </si>
  <si>
    <t>157-41178211</t>
  </si>
  <si>
    <t>157-41178373</t>
  </si>
  <si>
    <t>157-41178351</t>
  </si>
  <si>
    <t>157-41178222</t>
  </si>
  <si>
    <t>157-41178023</t>
  </si>
  <si>
    <t>157-41178045</t>
  </si>
  <si>
    <t>157-41178056</t>
  </si>
  <si>
    <t>157-41178185</t>
  </si>
  <si>
    <t>157-41178034</t>
  </si>
  <si>
    <t>157-41178233</t>
  </si>
  <si>
    <t>157-41178060</t>
  </si>
  <si>
    <t>157-41178071</t>
  </si>
  <si>
    <t>157-41178082</t>
  </si>
  <si>
    <t>157-41178244</t>
  </si>
  <si>
    <t>157-41178255</t>
  </si>
  <si>
    <t>157-41178093</t>
  </si>
  <si>
    <t>157-41178266</t>
  </si>
  <si>
    <t>157-41178270</t>
  </si>
  <si>
    <t>157-41178104</t>
  </si>
  <si>
    <t>157-41178281</t>
  </si>
  <si>
    <t>157-41178126</t>
  </si>
  <si>
    <t>157-41178292</t>
  </si>
  <si>
    <t>157-41178130</t>
  </si>
  <si>
    <t>157-41178303</t>
  </si>
  <si>
    <t>157-41178141</t>
  </si>
  <si>
    <t>157-41178314</t>
  </si>
  <si>
    <t>157-41178325</t>
  </si>
  <si>
    <t>157-41178152</t>
  </si>
  <si>
    <t>157-41178583</t>
  </si>
  <si>
    <t>157-41178594</t>
  </si>
  <si>
    <t>157-41178163</t>
  </si>
  <si>
    <t>157-41178605</t>
  </si>
  <si>
    <t>157-41178616</t>
  </si>
  <si>
    <t>157-41178174</t>
  </si>
  <si>
    <t>157-41178620</t>
  </si>
  <si>
    <t>157-41178631</t>
  </si>
  <si>
    <t>157-41178642</t>
  </si>
  <si>
    <t>157-41178653</t>
  </si>
  <si>
    <t>157-41178362</t>
  </si>
  <si>
    <t>157-41178572</t>
  </si>
  <si>
    <t>157-41178664</t>
  </si>
  <si>
    <t>157-41178115</t>
  </si>
  <si>
    <t>160-11074770</t>
  </si>
  <si>
    <t>160-11074766</t>
  </si>
  <si>
    <t>369-98462486</t>
  </si>
  <si>
    <t>369-99404130</t>
  </si>
  <si>
    <t>369-99404141</t>
  </si>
  <si>
    <t>369-98461996</t>
  </si>
  <si>
    <t>369-98462044</t>
  </si>
  <si>
    <t>369-98462070</t>
  </si>
  <si>
    <t>369-98462081</t>
  </si>
  <si>
    <t>369-98462092</t>
  </si>
  <si>
    <t>369-98462103</t>
  </si>
  <si>
    <t>369-98462243</t>
  </si>
  <si>
    <t>369-98462372</t>
  </si>
  <si>
    <t>369-98462335</t>
  </si>
  <si>
    <t>369-99404152</t>
  </si>
  <si>
    <t>369-98462464</t>
  </si>
  <si>
    <t>369-98461963</t>
  </si>
  <si>
    <t>369-98461974</t>
  </si>
  <si>
    <t>369-98462000</t>
  </si>
  <si>
    <t>369-98462136</t>
  </si>
  <si>
    <t>369-98462221</t>
  </si>
  <si>
    <t>369-98462232</t>
  </si>
  <si>
    <t>369-98462254</t>
  </si>
  <si>
    <t>369-98462265</t>
  </si>
  <si>
    <t>369-98462011</t>
  </si>
  <si>
    <t>369-98462022</t>
  </si>
  <si>
    <t>369-98462033</t>
  </si>
  <si>
    <t>369-98462114</t>
  </si>
  <si>
    <t>369-98462140</t>
  </si>
  <si>
    <t>369-98462151</t>
  </si>
  <si>
    <t>369-98462162</t>
  </si>
  <si>
    <t>369-99404174</t>
  </si>
  <si>
    <t>369-99404185</t>
  </si>
  <si>
    <t>369-99404163</t>
  </si>
  <si>
    <t>065-46975121</t>
  </si>
  <si>
    <t>065-46974701</t>
  </si>
  <si>
    <t>065-46974712</t>
  </si>
  <si>
    <t>065-46974723</t>
  </si>
  <si>
    <t>065-46975062</t>
  </si>
  <si>
    <t>065-46975132</t>
  </si>
  <si>
    <t>065-46975143</t>
  </si>
  <si>
    <t>065-46974675</t>
  </si>
  <si>
    <t>065-46975095</t>
  </si>
  <si>
    <t>065-46974686</t>
  </si>
  <si>
    <t>065-46975106</t>
  </si>
  <si>
    <t>065-46975110</t>
  </si>
  <si>
    <t>157-41701273</t>
  </si>
  <si>
    <t>157-41701284</t>
  </si>
  <si>
    <t>157-41701306</t>
  </si>
  <si>
    <t>157-41701310</t>
  </si>
  <si>
    <t>157-41702544</t>
  </si>
  <si>
    <t>157-41701332</t>
  </si>
  <si>
    <t>157-41701343</t>
  </si>
  <si>
    <t>157-41701376</t>
  </si>
  <si>
    <t>157-41701380</t>
  </si>
  <si>
    <t>157-41701391</t>
  </si>
  <si>
    <t>157-41701435</t>
  </si>
  <si>
    <t>157-41701424</t>
  </si>
  <si>
    <t>157-41701402</t>
  </si>
  <si>
    <t>157-41701413</t>
  </si>
  <si>
    <t>157-41701262</t>
  </si>
  <si>
    <t>157-41701295</t>
  </si>
  <si>
    <t>157-41701321</t>
  </si>
  <si>
    <t>157-41701446</t>
  </si>
  <si>
    <t>157-41701450</t>
  </si>
  <si>
    <t>157-41701461</t>
  </si>
  <si>
    <t>157-41701483</t>
  </si>
  <si>
    <t>157-41701505</t>
  </si>
  <si>
    <t>157-41701494</t>
  </si>
  <si>
    <t>157-41701472</t>
  </si>
  <si>
    <t>157-41180366</t>
  </si>
  <si>
    <t>157-41180370</t>
  </si>
  <si>
    <t>157-41180381</t>
  </si>
  <si>
    <t>157-41180392</t>
  </si>
  <si>
    <t>157-41180440</t>
  </si>
  <si>
    <t>157-41180403</t>
  </si>
  <si>
    <t>157-41180414</t>
  </si>
  <si>
    <t>157-41180425</t>
  </si>
  <si>
    <t>157-41180451</t>
  </si>
  <si>
    <t>157-41180462</t>
  </si>
  <si>
    <t>157-41180473</t>
  </si>
  <si>
    <t>157-41701354</t>
  </si>
  <si>
    <t>157-41701365</t>
  </si>
  <si>
    <t>157-41180436</t>
  </si>
  <si>
    <t>157-41178443</t>
  </si>
  <si>
    <t>157-41178454</t>
  </si>
  <si>
    <t>157-41178465</t>
  </si>
  <si>
    <t>157-41178476</t>
  </si>
  <si>
    <t>000-41178443</t>
  </si>
  <si>
    <t>000-41178454</t>
  </si>
  <si>
    <t>000-41178465</t>
  </si>
  <si>
    <t>000-41178476</t>
  </si>
  <si>
    <t>157-41178406</t>
  </si>
  <si>
    <t>157-41178480</t>
  </si>
  <si>
    <t>157-41178745</t>
  </si>
  <si>
    <t>157-41702555</t>
  </si>
  <si>
    <t>157-41178410</t>
  </si>
  <si>
    <t>157-41702566</t>
  </si>
  <si>
    <t>157-41702570</t>
  </si>
  <si>
    <t>157-41178734</t>
  </si>
  <si>
    <t>157-41178675</t>
  </si>
  <si>
    <t>157-41178686</t>
  </si>
  <si>
    <t>157-41178690</t>
  </si>
  <si>
    <t>157-41178701</t>
  </si>
  <si>
    <t>157-41178712</t>
  </si>
  <si>
    <t>157-41178723</t>
  </si>
  <si>
    <t>157-41178756</t>
  </si>
  <si>
    <t>157-41702581</t>
  </si>
  <si>
    <t>157-41178793</t>
  </si>
  <si>
    <t>157-41702592</t>
  </si>
  <si>
    <t>157-41178421</t>
  </si>
  <si>
    <t>157-41178432</t>
  </si>
  <si>
    <t>157-41702625</t>
  </si>
  <si>
    <t>157-41702636</t>
  </si>
  <si>
    <t>157-41702640</t>
  </si>
  <si>
    <t>157-41178561</t>
  </si>
  <si>
    <t>157-41178491</t>
  </si>
  <si>
    <t>157-41702603</t>
  </si>
  <si>
    <t>157-41702614</t>
  </si>
  <si>
    <t>157-41178760</t>
  </si>
  <si>
    <t>157-41178771</t>
  </si>
  <si>
    <t>157-53669976</t>
  </si>
  <si>
    <t>157-53670050</t>
  </si>
  <si>
    <t>157-41178502</t>
  </si>
  <si>
    <t>157-53670256</t>
  </si>
  <si>
    <t>157-41178513</t>
  </si>
  <si>
    <t>157-53670293</t>
  </si>
  <si>
    <t>157-54211356</t>
  </si>
  <si>
    <t>157-58070681</t>
  </si>
  <si>
    <t>157-41178524</t>
  </si>
  <si>
    <t>157-41178535</t>
  </si>
  <si>
    <t>157-53670282</t>
  </si>
  <si>
    <t>157-41178546</t>
  </si>
  <si>
    <t>157-41178550</t>
  </si>
  <si>
    <t>157-41178782</t>
  </si>
  <si>
    <t>157-58070692</t>
  </si>
  <si>
    <t>157-58070703</t>
  </si>
  <si>
    <t>160-11074781</t>
  </si>
  <si>
    <t>160-11074792</t>
  </si>
  <si>
    <t>CX3027</t>
  </si>
  <si>
    <t>160-11074884</t>
  </si>
  <si>
    <t>160-11074873</t>
  </si>
  <si>
    <t>160-11074895</t>
  </si>
  <si>
    <t>752-30185201</t>
  </si>
  <si>
    <t>752-30185212</t>
  </si>
  <si>
    <t>752-30185223</t>
  </si>
  <si>
    <t>752-30185234</t>
  </si>
  <si>
    <t>752-30185245</t>
  </si>
  <si>
    <t>752-30185256</t>
  </si>
  <si>
    <t>752-30185260</t>
  </si>
  <si>
    <t>752-30185271</t>
  </si>
  <si>
    <t>752-30185131</t>
  </si>
  <si>
    <t>752-30185142</t>
  </si>
  <si>
    <t>752-30184954</t>
  </si>
  <si>
    <t>752-30185153</t>
  </si>
  <si>
    <t>752-30185164</t>
  </si>
  <si>
    <t>752-30185175</t>
  </si>
  <si>
    <t>752-30184906</t>
  </si>
  <si>
    <t>752-30185186</t>
  </si>
  <si>
    <t>752-30184921</t>
  </si>
  <si>
    <t>752-30185190</t>
  </si>
  <si>
    <t>065-46962591</t>
  </si>
  <si>
    <t>065-46962602</t>
  </si>
  <si>
    <t>065-46962786</t>
  </si>
  <si>
    <t>065-46962613</t>
  </si>
  <si>
    <t>065-46962624</t>
  </si>
  <si>
    <t>065-46962650</t>
  </si>
  <si>
    <t>065-46962661</t>
  </si>
  <si>
    <t>065-46962753</t>
  </si>
  <si>
    <t>065-46962672</t>
  </si>
  <si>
    <t>065-46962764</t>
  </si>
  <si>
    <t>065-46962683</t>
  </si>
  <si>
    <t>065-46962790</t>
  </si>
  <si>
    <t>065-46962801</t>
  </si>
  <si>
    <t>065-46962705</t>
  </si>
  <si>
    <t>065-46962716</t>
  </si>
  <si>
    <t>065-46962775</t>
  </si>
  <si>
    <t>065-46962635</t>
  </si>
  <si>
    <t>065-46962646</t>
  </si>
  <si>
    <t>065-46962694</t>
  </si>
  <si>
    <t>065-46962720</t>
  </si>
  <si>
    <t>065-46962812</t>
  </si>
  <si>
    <t>065-46962731</t>
  </si>
  <si>
    <t>065-46962823</t>
  </si>
  <si>
    <t>065-46962742</t>
  </si>
  <si>
    <t>065-46962834</t>
  </si>
  <si>
    <t>065-46963092</t>
  </si>
  <si>
    <t>065-46963103</t>
  </si>
  <si>
    <t>065-46963114</t>
  </si>
  <si>
    <t>157-41180484</t>
  </si>
  <si>
    <t>157-41701181</t>
  </si>
  <si>
    <t>157-41701203</t>
  </si>
  <si>
    <t>157-41701192</t>
  </si>
  <si>
    <t>157-41701214</t>
  </si>
  <si>
    <t>157-41701225</t>
  </si>
  <si>
    <t>157-41701516</t>
  </si>
  <si>
    <t>157-41701531</t>
  </si>
  <si>
    <t>157-41701553</t>
  </si>
  <si>
    <t>157-41701575</t>
  </si>
  <si>
    <t>157-41701564</t>
  </si>
  <si>
    <t>157-41701586</t>
  </si>
  <si>
    <t>157-41701520</t>
  </si>
  <si>
    <t>157-41701601</t>
  </si>
  <si>
    <t>157-41701612</t>
  </si>
  <si>
    <t>157-41701623</t>
  </si>
  <si>
    <t>157-41701645</t>
  </si>
  <si>
    <t>157-41701542</t>
  </si>
  <si>
    <t>157-41701590</t>
  </si>
  <si>
    <t>157-41701693</t>
  </si>
  <si>
    <t>157-41701634</t>
  </si>
  <si>
    <t>157-41701656</t>
  </si>
  <si>
    <t>157-41701741</t>
  </si>
  <si>
    <t>157-41701704</t>
  </si>
  <si>
    <t>157-41701671</t>
  </si>
  <si>
    <t>157-41701730</t>
  </si>
  <si>
    <t>157-41701715</t>
  </si>
  <si>
    <t>157-41701682</t>
  </si>
  <si>
    <t>157-41701660</t>
  </si>
  <si>
    <t>157-41701726</t>
  </si>
  <si>
    <t>157-41705322</t>
  </si>
  <si>
    <t>157-41705333</t>
  </si>
  <si>
    <t>157-41701752</t>
  </si>
  <si>
    <t>157-41705300</t>
  </si>
  <si>
    <t>157-41705311</t>
  </si>
  <si>
    <t>157-41705344</t>
  </si>
  <si>
    <t>157-41705366</t>
  </si>
  <si>
    <t>157-41705403</t>
  </si>
  <si>
    <t>157-41705392</t>
  </si>
  <si>
    <t>157-41705440</t>
  </si>
  <si>
    <t>157-41705355</t>
  </si>
  <si>
    <t>157-41705381</t>
  </si>
  <si>
    <t>157-41705370</t>
  </si>
  <si>
    <t>157-41705436</t>
  </si>
  <si>
    <t>157-41705414</t>
  </si>
  <si>
    <t>160-11074803</t>
  </si>
  <si>
    <t>160-11074814</t>
  </si>
  <si>
    <t>752-30185282</t>
  </si>
  <si>
    <t>752-30185293</t>
  </si>
  <si>
    <t>752-30185304</t>
  </si>
  <si>
    <t>752-30185315</t>
  </si>
  <si>
    <t>752-30185326</t>
  </si>
  <si>
    <t>752-30185330</t>
  </si>
  <si>
    <t>752-30185341</t>
  </si>
  <si>
    <t>933-34689970</t>
  </si>
  <si>
    <t>JFK</t>
  </si>
  <si>
    <t>065-44355776</t>
  </si>
  <si>
    <t>065-46964525</t>
  </si>
  <si>
    <t>065-46964536</t>
  </si>
  <si>
    <t>065-44355802</t>
  </si>
  <si>
    <t>065-44355813</t>
  </si>
  <si>
    <t>065-44356045</t>
  </si>
  <si>
    <t>065-44356056</t>
  </si>
  <si>
    <t>065-46964514</t>
  </si>
  <si>
    <t>065-44356060</t>
  </si>
  <si>
    <t>065-44356270</t>
  </si>
  <si>
    <t>065-44356281</t>
  </si>
  <si>
    <t>065-44356292</t>
  </si>
  <si>
    <t>065-44356303</t>
  </si>
  <si>
    <t>065-46963173</t>
  </si>
  <si>
    <t>065-46963184</t>
  </si>
  <si>
    <t>065-46964455</t>
  </si>
  <si>
    <t>065-46964466</t>
  </si>
  <si>
    <t>065-46964503</t>
  </si>
  <si>
    <t>065-44356314</t>
  </si>
  <si>
    <t>065-46963125</t>
  </si>
  <si>
    <t>065-46963136</t>
  </si>
  <si>
    <t>065-46963162</t>
  </si>
  <si>
    <t>065-46964470</t>
  </si>
  <si>
    <t>065-46963140</t>
  </si>
  <si>
    <t>065-46963151</t>
  </si>
  <si>
    <t>065-46964481</t>
  </si>
  <si>
    <t>065-46964492</t>
  </si>
  <si>
    <t>065-46964540</t>
  </si>
  <si>
    <t>065-46975165</t>
  </si>
  <si>
    <t>065-46975154</t>
  </si>
  <si>
    <t>065-46974885</t>
  </si>
  <si>
    <t>065-46974863</t>
  </si>
  <si>
    <t>065-46974874</t>
  </si>
  <si>
    <t>065-46975176</t>
  </si>
  <si>
    <t>160-11074836</t>
  </si>
  <si>
    <t>160-11074825</t>
  </si>
  <si>
    <t>157-41179703</t>
  </si>
  <si>
    <t>157-41179692</t>
  </si>
  <si>
    <t>157-41179725</t>
  </si>
  <si>
    <t>157-41179666</t>
  </si>
  <si>
    <t>157-41179655</t>
  </si>
  <si>
    <t>157-41179740</t>
  </si>
  <si>
    <t>157-41179736</t>
  </si>
  <si>
    <t>157-41179670</t>
  </si>
  <si>
    <t>157-41179681</t>
  </si>
  <si>
    <t>157-41179541</t>
  </si>
  <si>
    <t>157-41179810</t>
  </si>
  <si>
    <t>157-41179832</t>
  </si>
  <si>
    <t>157-41179563</t>
  </si>
  <si>
    <t>157-41179552</t>
  </si>
  <si>
    <t>157-41179806</t>
  </si>
  <si>
    <t>157-41179795</t>
  </si>
  <si>
    <t>157-41179843</t>
  </si>
  <si>
    <t>157-41702706</t>
  </si>
  <si>
    <t>157-41702695</t>
  </si>
  <si>
    <t>157-41179762</t>
  </si>
  <si>
    <t>157-41702684</t>
  </si>
  <si>
    <t>157-41702673</t>
  </si>
  <si>
    <t>157-41179714</t>
  </si>
  <si>
    <t>157-41179751</t>
  </si>
  <si>
    <t>157-41179644</t>
  </si>
  <si>
    <t>157-41179574</t>
  </si>
  <si>
    <t>157-41179854</t>
  </si>
  <si>
    <t>157-41702662</t>
  </si>
  <si>
    <t>157-41179611</t>
  </si>
  <si>
    <t>157-41179821</t>
  </si>
  <si>
    <t>157-41702146</t>
  </si>
  <si>
    <t>157-41702754</t>
  </si>
  <si>
    <t>157-41702743</t>
  </si>
  <si>
    <t>157-41702732</t>
  </si>
  <si>
    <t>157-41179622</t>
  </si>
  <si>
    <t>157-41179600</t>
  </si>
  <si>
    <t>157-41702721</t>
  </si>
  <si>
    <t>157-41702710</t>
  </si>
  <si>
    <t>157-41179633</t>
  </si>
  <si>
    <t>157-41702651</t>
  </si>
  <si>
    <t>157-41179784</t>
  </si>
  <si>
    <t>157-41705263</t>
  </si>
  <si>
    <t>157-41701251</t>
  </si>
  <si>
    <t>157-41179773</t>
  </si>
  <si>
    <t>157-41179530</t>
  </si>
  <si>
    <t>157-41701236</t>
  </si>
  <si>
    <t>157-41701240</t>
  </si>
  <si>
    <t>157-41179596</t>
  </si>
  <si>
    <t>157-41705274</t>
  </si>
  <si>
    <t>157-41179585</t>
  </si>
  <si>
    <t>5C772</t>
  </si>
  <si>
    <t>752-30206945</t>
  </si>
  <si>
    <t>752-30185400</t>
  </si>
  <si>
    <t>752-30185396</t>
  </si>
  <si>
    <t>752-30185385</t>
  </si>
  <si>
    <t>752-30185374</t>
  </si>
  <si>
    <t>752-30185363</t>
  </si>
  <si>
    <t>752-30185352</t>
  </si>
  <si>
    <t>065-44356955</t>
  </si>
  <si>
    <t>065-44356970</t>
  </si>
  <si>
    <t>065-44356981</t>
  </si>
  <si>
    <t>065-44356992</t>
  </si>
  <si>
    <t>065-44358031</t>
  </si>
  <si>
    <t>065-46963210</t>
  </si>
  <si>
    <t>065-46963221</t>
  </si>
  <si>
    <t>065-46964584</t>
  </si>
  <si>
    <t>065-46963206</t>
  </si>
  <si>
    <t>065-44358020</t>
  </si>
  <si>
    <t>065-46964551</t>
  </si>
  <si>
    <t>065-46964562</t>
  </si>
  <si>
    <t>065-46964573</t>
  </si>
  <si>
    <t>065-44358053</t>
  </si>
  <si>
    <t>065-46963243</t>
  </si>
  <si>
    <t>065-44358042</t>
  </si>
  <si>
    <t>065-46963232</t>
  </si>
  <si>
    <t>065-44356966</t>
  </si>
  <si>
    <t>065-44358064</t>
  </si>
  <si>
    <t>065-46963254</t>
  </si>
  <si>
    <t>065-46939115</t>
  </si>
  <si>
    <t>157-41705462</t>
  </si>
  <si>
    <t>157-42652411</t>
  </si>
  <si>
    <t>157-42652422</t>
  </si>
  <si>
    <t>157-42652433</t>
  </si>
  <si>
    <t>157-42652444</t>
  </si>
  <si>
    <t>157-42652455</t>
  </si>
  <si>
    <t>157-42652466</t>
  </si>
  <si>
    <t>157-42652470</t>
  </si>
  <si>
    <t>157-42652481</t>
  </si>
  <si>
    <t>157-42652492</t>
  </si>
  <si>
    <t>157-42652503</t>
  </si>
  <si>
    <t>157-42652525</t>
  </si>
  <si>
    <t>157-42652514</t>
  </si>
  <si>
    <t>157-42652536</t>
  </si>
  <si>
    <t>157-42652540</t>
  </si>
  <si>
    <t>157-42652551</t>
  </si>
  <si>
    <t>157-42652610</t>
  </si>
  <si>
    <t>157-42652621</t>
  </si>
  <si>
    <t>157-42652606</t>
  </si>
  <si>
    <t>157-42652562</t>
  </si>
  <si>
    <t>157-42652573</t>
  </si>
  <si>
    <t>157-42652632</t>
  </si>
  <si>
    <t>157-42652584</t>
  </si>
  <si>
    <t>157-42652595</t>
  </si>
  <si>
    <t>157-42652643</t>
  </si>
  <si>
    <t>157-42653424</t>
  </si>
  <si>
    <t>157-42653435</t>
  </si>
  <si>
    <t>157-42652654</t>
  </si>
  <si>
    <t>157-42653413</t>
  </si>
  <si>
    <t>157-42653446</t>
  </si>
  <si>
    <t>157-42653450</t>
  </si>
  <si>
    <t>157-42653575</t>
  </si>
  <si>
    <t>157-42653505</t>
  </si>
  <si>
    <t>157-42653494</t>
  </si>
  <si>
    <t>157-42653461</t>
  </si>
  <si>
    <t>157-42653601</t>
  </si>
  <si>
    <t>157-42653472</t>
  </si>
  <si>
    <t>157-42653483</t>
  </si>
  <si>
    <t>157-42653590</t>
  </si>
  <si>
    <t>157-41705425</t>
  </si>
  <si>
    <t>157-41705451</t>
  </si>
  <si>
    <t>157-42653586</t>
  </si>
  <si>
    <t>157-42651700</t>
  </si>
  <si>
    <t>157-42651722</t>
  </si>
  <si>
    <t>157-42651674</t>
  </si>
  <si>
    <t>157-41705285</t>
  </si>
  <si>
    <t>157-53670260</t>
  </si>
  <si>
    <t>157-42159725</t>
  </si>
  <si>
    <t>157-42651582</t>
  </si>
  <si>
    <t>157-42651663</t>
  </si>
  <si>
    <t>157-42651641</t>
  </si>
  <si>
    <t>157-41705495</t>
  </si>
  <si>
    <t>157-42159751</t>
  </si>
  <si>
    <t>157-42159740</t>
  </si>
  <si>
    <t>157-42651744</t>
  </si>
  <si>
    <t>157-42159692</t>
  </si>
  <si>
    <t>157-42651560</t>
  </si>
  <si>
    <t>157-42651571</t>
  </si>
  <si>
    <t>157-58070714</t>
  </si>
  <si>
    <t>157-42159714</t>
  </si>
  <si>
    <t>157-41705484</t>
  </si>
  <si>
    <t>157-42651696</t>
  </si>
  <si>
    <t>157-42651733</t>
  </si>
  <si>
    <t>157-42651652</t>
  </si>
  <si>
    <t>157-41705506</t>
  </si>
  <si>
    <t>157-42651593</t>
  </si>
  <si>
    <t>157-42159736</t>
  </si>
  <si>
    <t>157-42159703</t>
  </si>
  <si>
    <t>157-42651556</t>
  </si>
  <si>
    <t>157-42651711</t>
  </si>
  <si>
    <t>157-42159670</t>
  </si>
  <si>
    <t>157-42159762</t>
  </si>
  <si>
    <t>157-42159666</t>
  </si>
  <si>
    <t>157-42651685</t>
  </si>
  <si>
    <t>157-58070725</t>
  </si>
  <si>
    <t>157-53670271</t>
  </si>
  <si>
    <t>157-41705296</t>
  </si>
  <si>
    <t>157-42653564</t>
  </si>
  <si>
    <t>157-42653542</t>
  </si>
  <si>
    <t>157-42653531</t>
  </si>
  <si>
    <t>157-42651630</t>
  </si>
  <si>
    <t>157-42653520</t>
  </si>
  <si>
    <t>157-42653516</t>
  </si>
  <si>
    <t>157-42651626</t>
  </si>
  <si>
    <t>157-42159644</t>
  </si>
  <si>
    <t>157-41705543</t>
  </si>
  <si>
    <t>157-41705532</t>
  </si>
  <si>
    <t>157-42651615</t>
  </si>
  <si>
    <t>157-42651604</t>
  </si>
  <si>
    <t>157-41705521</t>
  </si>
  <si>
    <t>157-41705510</t>
  </si>
  <si>
    <t>157-42159681</t>
  </si>
  <si>
    <t>157-42653553</t>
  </si>
  <si>
    <t>157-42159655</t>
  </si>
  <si>
    <t>160-11074943</t>
  </si>
  <si>
    <t>160-11074954</t>
  </si>
  <si>
    <t>752-30206960</t>
  </si>
  <si>
    <t>752-30207015</t>
  </si>
  <si>
    <t>752-30206956</t>
  </si>
  <si>
    <t>752-30206971</t>
  </si>
  <si>
    <t>752-30206982</t>
  </si>
  <si>
    <t>752-30206993</t>
  </si>
  <si>
    <t>752-30207004</t>
  </si>
  <si>
    <t>752-30207026</t>
  </si>
  <si>
    <t>936-02197661</t>
  </si>
  <si>
    <t>065-46974900</t>
  </si>
  <si>
    <t>065-46974896</t>
  </si>
  <si>
    <t>065-46975213</t>
  </si>
  <si>
    <t>065-46975202</t>
  </si>
  <si>
    <t>065-46975191</t>
  </si>
  <si>
    <t>065-46975180</t>
  </si>
  <si>
    <t>065-46974911</t>
  </si>
  <si>
    <t>160-11074965</t>
  </si>
  <si>
    <t>160-11074976</t>
  </si>
  <si>
    <t>235-97939763</t>
  </si>
  <si>
    <t>235-97852193</t>
  </si>
  <si>
    <t>752-30207074</t>
  </si>
  <si>
    <t>752-30207063</t>
  </si>
  <si>
    <t>752-30207052</t>
  </si>
  <si>
    <t>752-30207041</t>
  </si>
  <si>
    <t>752-30207030</t>
  </si>
  <si>
    <t>752-30207085</t>
  </si>
  <si>
    <t>752-30207096</t>
  </si>
  <si>
    <t>752-30207100</t>
  </si>
  <si>
    <t>752-30207111</t>
  </si>
  <si>
    <t>752-30207122</t>
  </si>
  <si>
    <t>752-30207133</t>
  </si>
  <si>
    <t>752-30207144</t>
  </si>
  <si>
    <t>752-30207155</t>
  </si>
  <si>
    <t>752-30207166</t>
  </si>
  <si>
    <t>065-46974944</t>
  </si>
  <si>
    <t>065-46975235</t>
  </si>
  <si>
    <t>065-46975224</t>
  </si>
  <si>
    <t>065-46974933</t>
  </si>
  <si>
    <t>065-46974922</t>
  </si>
  <si>
    <t>157-42158045</t>
  </si>
  <si>
    <t>157-42158056</t>
  </si>
  <si>
    <t>157-42158384</t>
  </si>
  <si>
    <t>157-42158395</t>
  </si>
  <si>
    <t>157-42158432</t>
  </si>
  <si>
    <t>157-42158406</t>
  </si>
  <si>
    <t>157-42158410</t>
  </si>
  <si>
    <t>157-42158211</t>
  </si>
  <si>
    <t>157-42158060</t>
  </si>
  <si>
    <t>157-42158222</t>
  </si>
  <si>
    <t>157-42158373</t>
  </si>
  <si>
    <t>157-42158071</t>
  </si>
  <si>
    <t>157-42158233</t>
  </si>
  <si>
    <t>157-42158082</t>
  </si>
  <si>
    <t>157-42158093</t>
  </si>
  <si>
    <t>157-42158104</t>
  </si>
  <si>
    <t>157-42158244</t>
  </si>
  <si>
    <t>157-42158255</t>
  </si>
  <si>
    <t>157-42158200</t>
  </si>
  <si>
    <t>157-42158115</t>
  </si>
  <si>
    <t>157-42158270</t>
  </si>
  <si>
    <t>157-42158266</t>
  </si>
  <si>
    <t>157-42158126</t>
  </si>
  <si>
    <t>157-42158130</t>
  </si>
  <si>
    <t>157-42158141</t>
  </si>
  <si>
    <t>157-42158163</t>
  </si>
  <si>
    <t>157-58070891</t>
  </si>
  <si>
    <t>157-42158281</t>
  </si>
  <si>
    <t>157-42158292</t>
  </si>
  <si>
    <t>157-42158152</t>
  </si>
  <si>
    <t>157-42158174</t>
  </si>
  <si>
    <t>157-42158303</t>
  </si>
  <si>
    <t>157-42158185</t>
  </si>
  <si>
    <t>157-42158314</t>
  </si>
  <si>
    <t>157-42158325</t>
  </si>
  <si>
    <t>157-42158336</t>
  </si>
  <si>
    <t>157-42158340</t>
  </si>
  <si>
    <t>157-42158196</t>
  </si>
  <si>
    <t>157-42158351</t>
  </si>
  <si>
    <t>157-42158421</t>
  </si>
  <si>
    <t>157-42158362</t>
  </si>
  <si>
    <t>EXTRA</t>
  </si>
  <si>
    <t>157-41703196</t>
  </si>
  <si>
    <t>157-41703200</t>
  </si>
  <si>
    <t>157-58070806</t>
  </si>
  <si>
    <t>157-58070810</t>
  </si>
  <si>
    <t>157-58070832</t>
  </si>
  <si>
    <t>157-58070843</t>
  </si>
  <si>
    <t>157-58070865</t>
  </si>
  <si>
    <t>157-58070876</t>
  </si>
  <si>
    <t>157-58070880</t>
  </si>
  <si>
    <t>157-42651755</t>
  </si>
  <si>
    <t>157-42653866</t>
  </si>
  <si>
    <t>157-42653870</t>
  </si>
  <si>
    <t>157-42653881</t>
  </si>
  <si>
    <t>157-42651766</t>
  </si>
  <si>
    <t>157-42651991</t>
  </si>
  <si>
    <t>157-42651770</t>
  </si>
  <si>
    <t>157-42651781</t>
  </si>
  <si>
    <t>157-42651965</t>
  </si>
  <si>
    <t>157-42651792</t>
  </si>
  <si>
    <t>157-42653682</t>
  </si>
  <si>
    <t>157-42653715</t>
  </si>
  <si>
    <t>157-42653693</t>
  </si>
  <si>
    <t>157-42653704</t>
  </si>
  <si>
    <t>157-42651803</t>
  </si>
  <si>
    <t>157-42651814</t>
  </si>
  <si>
    <t>157-42653660</t>
  </si>
  <si>
    <t>157-42653671</t>
  </si>
  <si>
    <t>157-42651825</t>
  </si>
  <si>
    <t>157-42652061</t>
  </si>
  <si>
    <t>157-42652072</t>
  </si>
  <si>
    <t>157-42651836</t>
  </si>
  <si>
    <t>157-42652046</t>
  </si>
  <si>
    <t>157-42652050</t>
  </si>
  <si>
    <t>157-42651840</t>
  </si>
  <si>
    <t>157-42652024</t>
  </si>
  <si>
    <t>157-42652035</t>
  </si>
  <si>
    <t>157-42651851</t>
  </si>
  <si>
    <t>157-42652013</t>
  </si>
  <si>
    <t>157-42651976</t>
  </si>
  <si>
    <t>157-42651980</t>
  </si>
  <si>
    <t>157-42651862</t>
  </si>
  <si>
    <t>157-42651873</t>
  </si>
  <si>
    <t>157-42651884</t>
  </si>
  <si>
    <t>157-42651895</t>
  </si>
  <si>
    <t>157-42651906</t>
  </si>
  <si>
    <t>157-42651910</t>
  </si>
  <si>
    <t>157-42652002</t>
  </si>
  <si>
    <t>157-42651921</t>
  </si>
  <si>
    <t>157-42653726</t>
  </si>
  <si>
    <t>157-42651932</t>
  </si>
  <si>
    <t>157-42653730</t>
  </si>
  <si>
    <t>157-42653741</t>
  </si>
  <si>
    <t>157-42653855</t>
  </si>
  <si>
    <t>157-42651943</t>
  </si>
  <si>
    <t>157-42651954</t>
  </si>
  <si>
    <t>157-42652713</t>
  </si>
  <si>
    <t>157-42652750</t>
  </si>
  <si>
    <t>157-42652901</t>
  </si>
  <si>
    <t>157-42653752</t>
  </si>
  <si>
    <t>157-42653623</t>
  </si>
  <si>
    <t>157-42652702</t>
  </si>
  <si>
    <t>157-42653645</t>
  </si>
  <si>
    <t>157-42652691</t>
  </si>
  <si>
    <t>157-42653612</t>
  </si>
  <si>
    <t>157-42653634</t>
  </si>
  <si>
    <t>157-42652724</t>
  </si>
  <si>
    <t>157-42652680</t>
  </si>
  <si>
    <t>157-42652665</t>
  </si>
  <si>
    <t>157-42653656</t>
  </si>
  <si>
    <t>157-42652746</t>
  </si>
  <si>
    <t>157-42652676</t>
  </si>
  <si>
    <t>157-42652735</t>
  </si>
  <si>
    <t>157-42652794</t>
  </si>
  <si>
    <t>157-42652805</t>
  </si>
  <si>
    <t>157-42652816</t>
  </si>
  <si>
    <t>157-42652761</t>
  </si>
  <si>
    <t>157-42652783</t>
  </si>
  <si>
    <t>157-42652772</t>
  </si>
  <si>
    <t>157-42652820</t>
  </si>
  <si>
    <t>157-42652864</t>
  </si>
  <si>
    <t>157-42652831</t>
  </si>
  <si>
    <t>157-42652842</t>
  </si>
  <si>
    <t>157-42652853</t>
  </si>
  <si>
    <t>157-42652875</t>
  </si>
  <si>
    <t>157-42652886</t>
  </si>
  <si>
    <t>157-42653763</t>
  </si>
  <si>
    <t>157-42652890</t>
  </si>
  <si>
    <t>157-42653785</t>
  </si>
  <si>
    <t>157-42653774</t>
  </si>
  <si>
    <t>752-30207192</t>
  </si>
  <si>
    <t>160-11075050</t>
  </si>
  <si>
    <t>160-11075046</t>
  </si>
  <si>
    <t>160-11075061</t>
  </si>
  <si>
    <t>160-11074991</t>
  </si>
  <si>
    <t>160-11074980</t>
  </si>
  <si>
    <t>752-30207236</t>
  </si>
  <si>
    <t>752-30207225</t>
  </si>
  <si>
    <t>752-30207214</t>
  </si>
  <si>
    <t>752-30207181</t>
  </si>
  <si>
    <t>752-30207170</t>
  </si>
  <si>
    <t>752-30207203</t>
  </si>
  <si>
    <t>936-00312896</t>
  </si>
  <si>
    <t>936-00312922</t>
  </si>
  <si>
    <t>936-00312911</t>
  </si>
  <si>
    <t>936-00312900</t>
  </si>
  <si>
    <t>065-46975261</t>
  </si>
  <si>
    <t>065-42327320</t>
  </si>
  <si>
    <t>065-46975250</t>
  </si>
  <si>
    <t>065-46964595</t>
  </si>
  <si>
    <t>065-46964831</t>
  </si>
  <si>
    <t>065-46964606</t>
  </si>
  <si>
    <t>065-46964820</t>
  </si>
  <si>
    <t>065-46964816</t>
  </si>
  <si>
    <t>065-46964805</t>
  </si>
  <si>
    <t>065-46964610</t>
  </si>
  <si>
    <t>065-46964794</t>
  </si>
  <si>
    <t>065-46964750</t>
  </si>
  <si>
    <t>065-46964621</t>
  </si>
  <si>
    <t>065-46964632</t>
  </si>
  <si>
    <t>065-46964643</t>
  </si>
  <si>
    <t>065-46964654</t>
  </si>
  <si>
    <t>065-46964665</t>
  </si>
  <si>
    <t>065-46964676</t>
  </si>
  <si>
    <t>065-46964680</t>
  </si>
  <si>
    <t>065-46964691</t>
  </si>
  <si>
    <t>065-46964761</t>
  </si>
  <si>
    <t>065-46964702</t>
  </si>
  <si>
    <t>065-46964772</t>
  </si>
  <si>
    <t>065-46964713</t>
  </si>
  <si>
    <t>065-46964724</t>
  </si>
  <si>
    <t>065-46964783</t>
  </si>
  <si>
    <t>065-46964735</t>
  </si>
  <si>
    <t>065-46964746</t>
  </si>
  <si>
    <t>065-46974970</t>
  </si>
  <si>
    <t>065-42326826</t>
  </si>
  <si>
    <t>065-46974966</t>
  </si>
  <si>
    <t>065-46974955</t>
  </si>
  <si>
    <t>065-46975246</t>
  </si>
  <si>
    <t>157-42158771</t>
  </si>
  <si>
    <t>157-42158815</t>
  </si>
  <si>
    <t>157-42158830</t>
  </si>
  <si>
    <t>157-42158443</t>
  </si>
  <si>
    <t>157-42158826</t>
  </si>
  <si>
    <t>157-42158782</t>
  </si>
  <si>
    <t>157-42158793</t>
  </si>
  <si>
    <t>157-42158476</t>
  </si>
  <si>
    <t>157-42158513</t>
  </si>
  <si>
    <t>157-42158524</t>
  </si>
  <si>
    <t>157-42158480</t>
  </si>
  <si>
    <t>157-42158491</t>
  </si>
  <si>
    <t>157-42158616</t>
  </si>
  <si>
    <t>157-42158502</t>
  </si>
  <si>
    <t>157-42158620</t>
  </si>
  <si>
    <t>157-42158605</t>
  </si>
  <si>
    <t>157-42158454</t>
  </si>
  <si>
    <t>157-42158465</t>
  </si>
  <si>
    <t>157-42158535</t>
  </si>
  <si>
    <t>157-42158804</t>
  </si>
  <si>
    <t>157-42158546</t>
  </si>
  <si>
    <t>157-42158550</t>
  </si>
  <si>
    <t>157-42158561</t>
  </si>
  <si>
    <t>157-42158631</t>
  </si>
  <si>
    <t>157-42158572</t>
  </si>
  <si>
    <t>157-42158583</t>
  </si>
  <si>
    <t>157-42158594</t>
  </si>
  <si>
    <t>157-42158642</t>
  </si>
  <si>
    <t>157-42158653</t>
  </si>
  <si>
    <t>157-42158664</t>
  </si>
  <si>
    <t>157-42158675</t>
  </si>
  <si>
    <t>157-42158686</t>
  </si>
  <si>
    <t>160-11075002</t>
  </si>
  <si>
    <t>160-11075013</t>
  </si>
  <si>
    <t>235-97852705</t>
  </si>
  <si>
    <t>235-92937386</t>
  </si>
  <si>
    <t>369-99405316</t>
  </si>
  <si>
    <t>369-99405320</t>
  </si>
  <si>
    <t>369-99405493</t>
  </si>
  <si>
    <t>369-99405504</t>
  </si>
  <si>
    <t>369-99405515</t>
  </si>
  <si>
    <t>369-99405644</t>
  </si>
  <si>
    <t>369-99405655</t>
  </si>
  <si>
    <t>369-99405666</t>
  </si>
  <si>
    <t>369-99405681</t>
  </si>
  <si>
    <t>369-99405633</t>
  </si>
  <si>
    <t>369-99405670</t>
  </si>
  <si>
    <t>369-99405294</t>
  </si>
  <si>
    <t>369-99405305</t>
  </si>
  <si>
    <t>369-99405353</t>
  </si>
  <si>
    <t>369-99405471</t>
  </si>
  <si>
    <t>369-99405482</t>
  </si>
  <si>
    <t>369-99405600</t>
  </si>
  <si>
    <t>369-99405611</t>
  </si>
  <si>
    <t>369-99405622</t>
  </si>
  <si>
    <t>369-99405692</t>
  </si>
  <si>
    <t>369-99405725</t>
  </si>
  <si>
    <t>369-99405541</t>
  </si>
  <si>
    <t>369-99405530</t>
  </si>
  <si>
    <t>369-99405526</t>
  </si>
  <si>
    <t>369-99405552</t>
  </si>
  <si>
    <t>369-99405563</t>
  </si>
  <si>
    <t>369-99405703</t>
  </si>
  <si>
    <t>369-99405714</t>
  </si>
  <si>
    <t>369-99405574</t>
  </si>
  <si>
    <t>369-99405596</t>
  </si>
  <si>
    <t>369-99405585</t>
  </si>
  <si>
    <t>369-98458544</t>
  </si>
  <si>
    <t>369-98458603</t>
  </si>
  <si>
    <t>369-98458555</t>
  </si>
  <si>
    <t>369-98458334</t>
  </si>
  <si>
    <t>369-98458345</t>
  </si>
  <si>
    <t>369-98458356</t>
  </si>
  <si>
    <t>369-98458566</t>
  </si>
  <si>
    <t>369-98458570</t>
  </si>
  <si>
    <t>369-98458581</t>
  </si>
  <si>
    <t>369-98458592</t>
  </si>
  <si>
    <t>369-98458264</t>
  </si>
  <si>
    <t>752-30207262</t>
  </si>
  <si>
    <t>752-30207284</t>
  </si>
  <si>
    <t>752-30207273</t>
  </si>
  <si>
    <t>752-30207306</t>
  </si>
  <si>
    <t>752-30207251</t>
  </si>
  <si>
    <t>752-30207240</t>
  </si>
  <si>
    <t>752-30207295</t>
  </si>
  <si>
    <t>752-30207310</t>
  </si>
  <si>
    <t>752-30207321</t>
  </si>
  <si>
    <t>065-46975014</t>
  </si>
  <si>
    <t>065-46975025</t>
  </si>
  <si>
    <t>065-46975036</t>
  </si>
  <si>
    <t>065-49536056</t>
  </si>
  <si>
    <t>065-42327331</t>
  </si>
  <si>
    <t>065-49536071</t>
  </si>
  <si>
    <t>065-42327806</t>
  </si>
  <si>
    <t>065-49536115</t>
  </si>
  <si>
    <t>065-42327832</t>
  </si>
  <si>
    <t>065-46975003</t>
  </si>
  <si>
    <t>065-42327865</t>
  </si>
  <si>
    <t>065-46974981</t>
  </si>
  <si>
    <t>065-46974992</t>
  </si>
  <si>
    <t>157-42653844</t>
  </si>
  <si>
    <t>157-42652956</t>
  </si>
  <si>
    <t>157-42653015</t>
  </si>
  <si>
    <t>157-42653796</t>
  </si>
  <si>
    <t>157-42653833</t>
  </si>
  <si>
    <t>157-42653800</t>
  </si>
  <si>
    <t>157-42652912</t>
  </si>
  <si>
    <t>157-42652945</t>
  </si>
  <si>
    <t>157-42652923</t>
  </si>
  <si>
    <t>157-42653100</t>
  </si>
  <si>
    <t>157-42652934</t>
  </si>
  <si>
    <t>157-42652982</t>
  </si>
  <si>
    <t>157-42652960</t>
  </si>
  <si>
    <t>157-42653811</t>
  </si>
  <si>
    <t>157-42652993</t>
  </si>
  <si>
    <t>157-42653004</t>
  </si>
  <si>
    <t>157-42653822</t>
  </si>
  <si>
    <t>157-42652971</t>
  </si>
  <si>
    <t>157-42653096</t>
  </si>
  <si>
    <t>157-42653041</t>
  </si>
  <si>
    <t>157-42653085</t>
  </si>
  <si>
    <t>157-42653074</t>
  </si>
  <si>
    <t>157-42653052</t>
  </si>
  <si>
    <t>157-42653122</t>
  </si>
  <si>
    <t>157-42653026</t>
  </si>
  <si>
    <t>157-42653030</t>
  </si>
  <si>
    <t>157-42653111</t>
  </si>
  <si>
    <t>157-42653063</t>
  </si>
  <si>
    <t>157-42653133</t>
  </si>
  <si>
    <t>157-42655060</t>
  </si>
  <si>
    <t>157-42653170</t>
  </si>
  <si>
    <t>157-42653181</t>
  </si>
  <si>
    <t>157-42159224</t>
  </si>
  <si>
    <t>157-42159003</t>
  </si>
  <si>
    <t>157-42159014</t>
  </si>
  <si>
    <t>157-42159176</t>
  </si>
  <si>
    <t>157-42159202</t>
  </si>
  <si>
    <t>157-42159213</t>
  </si>
  <si>
    <t>157-42159235</t>
  </si>
  <si>
    <t>157-42158852</t>
  </si>
  <si>
    <t>157-42159036</t>
  </si>
  <si>
    <t>157-42158863</t>
  </si>
  <si>
    <t>157-42159040</t>
  </si>
  <si>
    <t>157-42158885</t>
  </si>
  <si>
    <t>157-42159025</t>
  </si>
  <si>
    <t>157-42158841</t>
  </si>
  <si>
    <t>157-42158874</t>
  </si>
  <si>
    <t>157-42158896</t>
  </si>
  <si>
    <t>157-42158900</t>
  </si>
  <si>
    <t>157-42158911</t>
  </si>
  <si>
    <t>157-42158922</t>
  </si>
  <si>
    <t>157-42158933</t>
  </si>
  <si>
    <t>157-42159051</t>
  </si>
  <si>
    <t>157-42158944</t>
  </si>
  <si>
    <t>157-42158955</t>
  </si>
  <si>
    <t>157-42159180</t>
  </si>
  <si>
    <t>157-42159062</t>
  </si>
  <si>
    <t>157-58071160</t>
  </si>
  <si>
    <t>157-58071156</t>
  </si>
  <si>
    <t>157-42159191</t>
  </si>
  <si>
    <t>157-42158992</t>
  </si>
  <si>
    <t>157-42158966</t>
  </si>
  <si>
    <t>157-42159073</t>
  </si>
  <si>
    <t>157-42159084</t>
  </si>
  <si>
    <t>157-42159095</t>
  </si>
  <si>
    <t>157-42158970</t>
  </si>
  <si>
    <t>157-42159106</t>
  </si>
  <si>
    <t>157-42159110</t>
  </si>
  <si>
    <t>157-42159121</t>
  </si>
  <si>
    <t>157-42158981</t>
  </si>
  <si>
    <t>157-42159132</t>
  </si>
  <si>
    <t>157-42159143</t>
  </si>
  <si>
    <t>157-42159154</t>
  </si>
  <si>
    <t>157-42159165</t>
  </si>
  <si>
    <t>157-58071171</t>
  </si>
  <si>
    <t>160-11075035</t>
  </si>
  <si>
    <t>160-11075024</t>
  </si>
  <si>
    <t>160-11075083</t>
  </si>
  <si>
    <t>160-11075072</t>
  </si>
  <si>
    <t>160-11075094</t>
  </si>
  <si>
    <t>065-46964842</t>
  </si>
  <si>
    <t>065-46965026</t>
  </si>
  <si>
    <t>065-46964853</t>
  </si>
  <si>
    <t>065-46965030</t>
  </si>
  <si>
    <t>065-46964864</t>
  </si>
  <si>
    <t>065-46964875</t>
  </si>
  <si>
    <t>065-46965004</t>
  </si>
  <si>
    <t>065-46964886</t>
  </si>
  <si>
    <t>065-46965015</t>
  </si>
  <si>
    <t>065-46964956</t>
  </si>
  <si>
    <t>065-46965041</t>
  </si>
  <si>
    <t>065-46964960</t>
  </si>
  <si>
    <t>065-46965052</t>
  </si>
  <si>
    <t>065-46964993</t>
  </si>
  <si>
    <t>065-46964982</t>
  </si>
  <si>
    <t>065-46964971</t>
  </si>
  <si>
    <t>065-46964890</t>
  </si>
  <si>
    <t>065-46964901</t>
  </si>
  <si>
    <t>065-46964912</t>
  </si>
  <si>
    <t>065-46964923</t>
  </si>
  <si>
    <t>065-46965063</t>
  </si>
  <si>
    <t>065-46965074</t>
  </si>
  <si>
    <t>065-46965085</t>
  </si>
  <si>
    <t>065-46964934</t>
  </si>
  <si>
    <t>065-46963195</t>
  </si>
  <si>
    <t>065-46963265</t>
  </si>
  <si>
    <t>065-46964945</t>
  </si>
  <si>
    <t>065-46963276</t>
  </si>
  <si>
    <t>065-46963280</t>
  </si>
  <si>
    <t>157-42655071</t>
  </si>
  <si>
    <t>157-42655082</t>
  </si>
  <si>
    <t>157-42653166</t>
  </si>
  <si>
    <t>157-42655045</t>
  </si>
  <si>
    <t>157-42655093</t>
  </si>
  <si>
    <t>157-42655104</t>
  </si>
  <si>
    <t>157-42655115</t>
  </si>
  <si>
    <t>157-42653144</t>
  </si>
  <si>
    <t>157-42653225</t>
  </si>
  <si>
    <t>157-42653214</t>
  </si>
  <si>
    <t>157-42653203</t>
  </si>
  <si>
    <t>157-42653273</t>
  </si>
  <si>
    <t>157-42653192</t>
  </si>
  <si>
    <t>157-42653236</t>
  </si>
  <si>
    <t>157-42653262</t>
  </si>
  <si>
    <t>157-42653251</t>
  </si>
  <si>
    <t>157-42653240</t>
  </si>
  <si>
    <t>157-42655056</t>
  </si>
  <si>
    <t>157-42653343</t>
  </si>
  <si>
    <t>157-42653306</t>
  </si>
  <si>
    <t>157-42653284</t>
  </si>
  <si>
    <t>157-42653155</t>
  </si>
  <si>
    <t>157-42655012</t>
  </si>
  <si>
    <t>157-42653365</t>
  </si>
  <si>
    <t>157-42653321</t>
  </si>
  <si>
    <t>157-42653310</t>
  </si>
  <si>
    <t>157-42653295</t>
  </si>
  <si>
    <t>157-42655034</t>
  </si>
  <si>
    <t>157-42655023</t>
  </si>
  <si>
    <t>157-42653380</t>
  </si>
  <si>
    <t>157-42653376</t>
  </si>
  <si>
    <t>157-42653391</t>
  </si>
  <si>
    <t>157-42653332</t>
  </si>
  <si>
    <t>157-42653354</t>
  </si>
  <si>
    <t>157-42653402</t>
  </si>
  <si>
    <t>157-42655152</t>
  </si>
  <si>
    <t>157-42159246</t>
  </si>
  <si>
    <t>157-42159250</t>
  </si>
  <si>
    <t>157-42159574</t>
  </si>
  <si>
    <t>157-42159585</t>
  </si>
  <si>
    <t>157-42159622</t>
  </si>
  <si>
    <t>157-42159401</t>
  </si>
  <si>
    <t>157-42159412</t>
  </si>
  <si>
    <t>157-42159423</t>
  </si>
  <si>
    <t>157-42159434</t>
  </si>
  <si>
    <t>157-42159445</t>
  </si>
  <si>
    <t>157-42159460</t>
  </si>
  <si>
    <t>157-42159600</t>
  </si>
  <si>
    <t>157-42159611</t>
  </si>
  <si>
    <t>157-42159633</t>
  </si>
  <si>
    <t>157-42159471</t>
  </si>
  <si>
    <t>157-42159261</t>
  </si>
  <si>
    <t>157-42159482</t>
  </si>
  <si>
    <t>157-42159272</t>
  </si>
  <si>
    <t>157-42159283</t>
  </si>
  <si>
    <t>157-42159456</t>
  </si>
  <si>
    <t>157-42159305</t>
  </si>
  <si>
    <t>157-42159493</t>
  </si>
  <si>
    <t>157-42159316</t>
  </si>
  <si>
    <t>157-42159294</t>
  </si>
  <si>
    <t>157-42159320</t>
  </si>
  <si>
    <t>157-42159331</t>
  </si>
  <si>
    <t>157-42159353</t>
  </si>
  <si>
    <t>157-42159342</t>
  </si>
  <si>
    <t>157-42159364</t>
  </si>
  <si>
    <t>157-42159375</t>
  </si>
  <si>
    <t>157-42159386</t>
  </si>
  <si>
    <t>157-42159390</t>
  </si>
  <si>
    <t>157-42159596</t>
  </si>
  <si>
    <t>157-42652083</t>
  </si>
  <si>
    <t>157-42652094</t>
  </si>
  <si>
    <t>157-42652105</t>
  </si>
  <si>
    <t>157-42652116</t>
  </si>
  <si>
    <t>157-42652120</t>
  </si>
  <si>
    <t>157-42652131</t>
  </si>
  <si>
    <t>157-42652142</t>
  </si>
  <si>
    <t>157-42652153</t>
  </si>
  <si>
    <t>157-42652164</t>
  </si>
  <si>
    <t>157-42652175</t>
  </si>
  <si>
    <t>157-42652186</t>
  </si>
  <si>
    <t>157-42652190</t>
  </si>
  <si>
    <t>157-42652201</t>
  </si>
  <si>
    <t>157-42652212</t>
  </si>
  <si>
    <t>157-42652223</t>
  </si>
  <si>
    <t>157-42652234</t>
  </si>
  <si>
    <t>157-42652245</t>
  </si>
  <si>
    <t>157-42652256</t>
  </si>
  <si>
    <t>157-42652260</t>
  </si>
  <si>
    <t>157-42652271</t>
  </si>
  <si>
    <t>157-42652282</t>
  </si>
  <si>
    <t>157-42652293</t>
  </si>
  <si>
    <t>157-42652304</t>
  </si>
  <si>
    <t>157-42652315</t>
  </si>
  <si>
    <t>157-42652326</t>
  </si>
  <si>
    <t>157-42652330</t>
  </si>
  <si>
    <t>157-42652341</t>
  </si>
  <si>
    <t>157-42652352</t>
  </si>
  <si>
    <t>157-42652363</t>
  </si>
  <si>
    <t>157-42652374</t>
  </si>
  <si>
    <t>157-42652385</t>
  </si>
  <si>
    <t>157-42652396</t>
  </si>
  <si>
    <t>157-42652400</t>
  </si>
  <si>
    <t>157-42653892</t>
  </si>
  <si>
    <t>157-42653903</t>
  </si>
  <si>
    <t>157-42654916</t>
  </si>
  <si>
    <t>157-42654920</t>
  </si>
  <si>
    <t>157-42654931</t>
  </si>
  <si>
    <t>157-42654942</t>
  </si>
  <si>
    <t>157-42654953</t>
  </si>
  <si>
    <t>157-42654964</t>
  </si>
  <si>
    <t>157-42654975</t>
  </si>
  <si>
    <t>157-42654986</t>
  </si>
  <si>
    <t>157-42654990</t>
  </si>
  <si>
    <t>157-42655001</t>
  </si>
  <si>
    <t>157-42655126</t>
  </si>
  <si>
    <t>157-42655130</t>
  </si>
  <si>
    <t>160-11075116</t>
  </si>
  <si>
    <t>160-11075105</t>
  </si>
  <si>
    <t>369-99414556</t>
  </si>
  <si>
    <t>369-99414545</t>
  </si>
  <si>
    <t>369-99414523</t>
  </si>
  <si>
    <t>369-99414490</t>
  </si>
  <si>
    <t>369-99414512</t>
  </si>
  <si>
    <t>369-99414501</t>
  </si>
  <si>
    <t>369-99414431</t>
  </si>
  <si>
    <t>369-99414420</t>
  </si>
  <si>
    <t>369-98441420</t>
  </si>
  <si>
    <t>369-98441416</t>
  </si>
  <si>
    <t>369-99414361</t>
  </si>
  <si>
    <t>369-99414350</t>
  </si>
  <si>
    <t>369-99414405</t>
  </si>
  <si>
    <t>369-99414394</t>
  </si>
  <si>
    <t>369-99414383</t>
  </si>
  <si>
    <t>369-99414372</t>
  </si>
  <si>
    <t>369-99414416</t>
  </si>
  <si>
    <t>369-99414313</t>
  </si>
  <si>
    <t>369-99414302</t>
  </si>
  <si>
    <t>369-99414291</t>
  </si>
  <si>
    <t>369-99414280</t>
  </si>
  <si>
    <t>369-99414276</t>
  </si>
  <si>
    <t>369-99414346</t>
  </si>
  <si>
    <t>369-99414335</t>
  </si>
  <si>
    <t>369-99414324</t>
  </si>
  <si>
    <t>369-99414243</t>
  </si>
  <si>
    <t>369-98441405</t>
  </si>
  <si>
    <t>369-99414232</t>
  </si>
  <si>
    <t>369-99414221</t>
  </si>
  <si>
    <t>369-99414210</t>
  </si>
  <si>
    <t>369-99414206</t>
  </si>
  <si>
    <t>369-99414254</t>
  </si>
  <si>
    <t>369-99414534</t>
  </si>
  <si>
    <t>369-99414265</t>
  </si>
  <si>
    <t>369-98458636</t>
  </si>
  <si>
    <t>369-98446235</t>
  </si>
  <si>
    <t>369-98446246</t>
  </si>
  <si>
    <t>369-98446224</t>
  </si>
  <si>
    <t>369-98458640</t>
  </si>
  <si>
    <t>752-30207354</t>
  </si>
  <si>
    <t>752-30207343</t>
  </si>
  <si>
    <t>752-30207332</t>
  </si>
  <si>
    <t>752-30207365</t>
  </si>
  <si>
    <t>752-30207376</t>
  </si>
  <si>
    <t>752-30207380</t>
  </si>
  <si>
    <t>752-30207391</t>
  </si>
  <si>
    <t>752-30207402</t>
  </si>
  <si>
    <t>065-46965240</t>
  </si>
  <si>
    <t>065-46965181</t>
  </si>
  <si>
    <t>065-46965192</t>
  </si>
  <si>
    <t>065-46965170</t>
  </si>
  <si>
    <t>065-46965295</t>
  </si>
  <si>
    <t>065-46965144</t>
  </si>
  <si>
    <t>065-46965306</t>
  </si>
  <si>
    <t>065-46965133</t>
  </si>
  <si>
    <t>065-46965096</t>
  </si>
  <si>
    <t>065-46963011</t>
  </si>
  <si>
    <t>065-46965332</t>
  </si>
  <si>
    <t>065-46965100</t>
  </si>
  <si>
    <t>065-46965321</t>
  </si>
  <si>
    <t>065-46965111</t>
  </si>
  <si>
    <t>065-46965122</t>
  </si>
  <si>
    <t>065-46965155</t>
  </si>
  <si>
    <t>065-46965166</t>
  </si>
  <si>
    <t>065-46965251</t>
  </si>
  <si>
    <t>065-46965262</t>
  </si>
  <si>
    <t>065-46965273</t>
  </si>
  <si>
    <t>065-46965310</t>
  </si>
  <si>
    <t>065-46965284</t>
  </si>
  <si>
    <t>065-49536130</t>
  </si>
  <si>
    <t>065-42164485</t>
  </si>
  <si>
    <t>065-42164474</t>
  </si>
  <si>
    <t>065-42164463</t>
  </si>
  <si>
    <t>065-49536185</t>
  </si>
  <si>
    <t>065-42164426</t>
  </si>
  <si>
    <t>CX086</t>
  </si>
  <si>
    <t>160-09056622</t>
  </si>
  <si>
    <t>CX253</t>
  </si>
  <si>
    <t>160-11075131</t>
  </si>
  <si>
    <t>160-11075120</t>
  </si>
  <si>
    <t>369-99414814</t>
  </si>
  <si>
    <t>369-99414770</t>
  </si>
  <si>
    <t>369-99414766</t>
  </si>
  <si>
    <t>369-99414755</t>
  </si>
  <si>
    <t>369-99414744</t>
  </si>
  <si>
    <t>369-99414674</t>
  </si>
  <si>
    <t>369-99414663</t>
  </si>
  <si>
    <t>369-99414652</t>
  </si>
  <si>
    <t>369-99414604</t>
  </si>
  <si>
    <t>369-99414593</t>
  </si>
  <si>
    <t>369-99414582</t>
  </si>
  <si>
    <t>369-99414571</t>
  </si>
  <si>
    <t>369-99414560</t>
  </si>
  <si>
    <t>369-99414626</t>
  </si>
  <si>
    <t>369-99414641</t>
  </si>
  <si>
    <t>369-99414630</t>
  </si>
  <si>
    <t>369-99414486</t>
  </si>
  <si>
    <t>369-99414475</t>
  </si>
  <si>
    <t>369-99414464</t>
  </si>
  <si>
    <t>369-99414453</t>
  </si>
  <si>
    <t>369-99414442</t>
  </si>
  <si>
    <t>369-99414195</t>
  </si>
  <si>
    <t>369-99414151</t>
  </si>
  <si>
    <t>369-99414140</t>
  </si>
  <si>
    <t>369-99414615</t>
  </si>
  <si>
    <t>369-98441431</t>
  </si>
  <si>
    <t>369-98441442</t>
  </si>
  <si>
    <t>369-98458651</t>
  </si>
  <si>
    <t>369-98458662</t>
  </si>
  <si>
    <t>065-46965365</t>
  </si>
  <si>
    <t>065-46965354</t>
  </si>
  <si>
    <t>065-46965343</t>
  </si>
  <si>
    <t>065-46965376</t>
  </si>
  <si>
    <t>065-46965380</t>
  </si>
  <si>
    <t>065-44887743</t>
  </si>
  <si>
    <t>065-44887754</t>
  </si>
  <si>
    <t>065-44887592</t>
  </si>
  <si>
    <t>065-44887603</t>
  </si>
  <si>
    <t>065-44887765</t>
  </si>
  <si>
    <t>065-44887614</t>
  </si>
  <si>
    <t>065-44887695</t>
  </si>
  <si>
    <t>065-44887776</t>
  </si>
  <si>
    <t>065-44887706</t>
  </si>
  <si>
    <t>065-44887636</t>
  </si>
  <si>
    <t>065-44887780</t>
  </si>
  <si>
    <t>065-46963291</t>
  </si>
  <si>
    <t>065-46963022</t>
  </si>
  <si>
    <t>065-44887640</t>
  </si>
  <si>
    <t>065-44887625</t>
  </si>
  <si>
    <t>065-44887732</t>
  </si>
  <si>
    <t>065-44887721</t>
  </si>
  <si>
    <t>065-44887710</t>
  </si>
  <si>
    <t>157-42655211</t>
  </si>
  <si>
    <t>157-42655163</t>
  </si>
  <si>
    <t>157-42655174</t>
  </si>
  <si>
    <t>157-42655196</t>
  </si>
  <si>
    <t>157-42655200</t>
  </si>
  <si>
    <t>157-42655185</t>
  </si>
  <si>
    <t>157-42655222</t>
  </si>
  <si>
    <t>157-42655244</t>
  </si>
  <si>
    <t>157-42655255</t>
  </si>
  <si>
    <t>157-42655266</t>
  </si>
  <si>
    <t>157-43229244</t>
  </si>
  <si>
    <t>157-43229255</t>
  </si>
  <si>
    <t>157-43229266</t>
  </si>
  <si>
    <t>157-43229270</t>
  </si>
  <si>
    <t>157-43229281</t>
  </si>
  <si>
    <t>157-43229292</t>
  </si>
  <si>
    <t>157-43229303</t>
  </si>
  <si>
    <t>157-43229373</t>
  </si>
  <si>
    <t>157-42655233</t>
  </si>
  <si>
    <t>157-43229384</t>
  </si>
  <si>
    <t>157-43229395</t>
  </si>
  <si>
    <t>157-43229340</t>
  </si>
  <si>
    <t>157-43229314</t>
  </si>
  <si>
    <t>157-43229325</t>
  </si>
  <si>
    <t>157-43229351</t>
  </si>
  <si>
    <t>157-43229406</t>
  </si>
  <si>
    <t>157-43229410</t>
  </si>
  <si>
    <t>157-43229336</t>
  </si>
  <si>
    <t>157-43229362</t>
  </si>
  <si>
    <t>157-43229443</t>
  </si>
  <si>
    <t>157-43229432</t>
  </si>
  <si>
    <t>157-43229454</t>
  </si>
  <si>
    <t>157-43229421</t>
  </si>
  <si>
    <t>157-43229465</t>
  </si>
  <si>
    <t>157-42655141</t>
  </si>
  <si>
    <t>157-42655270</t>
  </si>
  <si>
    <t>157-42655281</t>
  </si>
  <si>
    <t>157-42655292</t>
  </si>
  <si>
    <t>157-42655303</t>
  </si>
  <si>
    <t>157-42655314</t>
  </si>
  <si>
    <t>157-42655325</t>
  </si>
  <si>
    <t>157-43228253</t>
  </si>
  <si>
    <t>157-43228264</t>
  </si>
  <si>
    <t>157-43228275</t>
  </si>
  <si>
    <t>157-43228286</t>
  </si>
  <si>
    <t>157-43228290</t>
  </si>
  <si>
    <t>157-43228301</t>
  </si>
  <si>
    <t>157-43228312</t>
  </si>
  <si>
    <t>157-43228323</t>
  </si>
  <si>
    <t>157-43228334</t>
  </si>
  <si>
    <t>157-43228345</t>
  </si>
  <si>
    <t>157-43228356</t>
  </si>
  <si>
    <t>157-43228360</t>
  </si>
  <si>
    <t>157-43228371</t>
  </si>
  <si>
    <t>157-43228382</t>
  </si>
  <si>
    <t>157-43228393</t>
  </si>
  <si>
    <t>157-43228404</t>
  </si>
  <si>
    <t>157-43228415</t>
  </si>
  <si>
    <t>157-43228426</t>
  </si>
  <si>
    <t>157-43228430</t>
  </si>
  <si>
    <t>157-43228441</t>
  </si>
  <si>
    <t>157-43228452</t>
  </si>
  <si>
    <t>157-43228463</t>
  </si>
  <si>
    <t>157-43228474</t>
  </si>
  <si>
    <t>157-43228485</t>
  </si>
  <si>
    <t>157-43228496</t>
  </si>
  <si>
    <t>157-43228500</t>
  </si>
  <si>
    <t>157-43228511</t>
  </si>
  <si>
    <t>157-43228522</t>
  </si>
  <si>
    <t>157-43228533</t>
  </si>
  <si>
    <t>157-43228544</t>
  </si>
  <si>
    <t>157-43228555</t>
  </si>
  <si>
    <t>157-43228566</t>
  </si>
  <si>
    <t>157-43228570</t>
  </si>
  <si>
    <t>157-58070972</t>
  </si>
  <si>
    <t>157-58070983</t>
  </si>
  <si>
    <t>157-58070994</t>
  </si>
  <si>
    <t>157-58071005</t>
  </si>
  <si>
    <t>160-11075153</t>
  </si>
  <si>
    <t>160-11075142</t>
  </si>
  <si>
    <t>235-97852742</t>
  </si>
  <si>
    <t>369-98441464</t>
  </si>
  <si>
    <t>369-98441453</t>
  </si>
  <si>
    <t>(LATAM)</t>
  </si>
  <si>
    <t>369-99415072</t>
  </si>
  <si>
    <t>369-99415061</t>
  </si>
  <si>
    <t>369-99415094</t>
  </si>
  <si>
    <t>369-99414873</t>
  </si>
  <si>
    <t>369-99415083</t>
  </si>
  <si>
    <t>369-99415050</t>
  </si>
  <si>
    <t>369-99415046</t>
  </si>
  <si>
    <t>369-99414895</t>
  </si>
  <si>
    <t>369-99414884</t>
  </si>
  <si>
    <t>369-99414862</t>
  </si>
  <si>
    <t>369-99414851</t>
  </si>
  <si>
    <t>369-99414840</t>
  </si>
  <si>
    <t>369-99414836</t>
  </si>
  <si>
    <t>369-99414825</t>
  </si>
  <si>
    <t>369-99414803</t>
  </si>
  <si>
    <t>369-99414792</t>
  </si>
  <si>
    <t>369-99414781</t>
  </si>
  <si>
    <t>369-99414733</t>
  </si>
  <si>
    <t>369-99414722</t>
  </si>
  <si>
    <t>369-99414711</t>
  </si>
  <si>
    <t>369-99414700</t>
  </si>
  <si>
    <t>369-99414696</t>
  </si>
  <si>
    <t>369-99414685</t>
  </si>
  <si>
    <t>369-98458673</t>
  </si>
  <si>
    <t>369-98446305</t>
  </si>
  <si>
    <t>369-98446331</t>
  </si>
  <si>
    <t>369-98446353</t>
  </si>
  <si>
    <t>369-98446342</t>
  </si>
  <si>
    <t>369-98446316</t>
  </si>
  <si>
    <t>369-98458684</t>
  </si>
  <si>
    <t>369-98446320</t>
  </si>
  <si>
    <t>752-30207413</t>
  </si>
  <si>
    <t>752-30207424</t>
  </si>
  <si>
    <t>752-30207435</t>
  </si>
  <si>
    <t>752-30207446</t>
  </si>
  <si>
    <t>936-00313692</t>
  </si>
  <si>
    <t>936-00313703</t>
  </si>
  <si>
    <t>936-00313714</t>
  </si>
  <si>
    <t>936-00313725</t>
  </si>
  <si>
    <t>936-00313736</t>
  </si>
  <si>
    <t>994-30285905</t>
  </si>
  <si>
    <t>065-42164835</t>
  </si>
  <si>
    <t>065-42164846</t>
  </si>
  <si>
    <t>065-42164765</t>
  </si>
  <si>
    <t>065-49536196</t>
  </si>
  <si>
    <t>065-49536233</t>
  </si>
  <si>
    <t>235-97852731</t>
  </si>
  <si>
    <t>TK6265</t>
  </si>
  <si>
    <t>235-97853534</t>
  </si>
  <si>
    <t>235-97852753</t>
  </si>
  <si>
    <t>752-30207461</t>
  </si>
  <si>
    <t>752-30207450</t>
  </si>
  <si>
    <t>752-30207472</t>
  </si>
  <si>
    <t>752-30207483</t>
  </si>
  <si>
    <t>752-30207516</t>
  </si>
  <si>
    <t>752-30207564</t>
  </si>
  <si>
    <t>752-30207553</t>
  </si>
  <si>
    <t>752-30207542</t>
  </si>
  <si>
    <t>752-30207531</t>
  </si>
  <si>
    <t>752-30207520</t>
  </si>
  <si>
    <t>752-30207505</t>
  </si>
  <si>
    <t>752-30207494</t>
  </si>
  <si>
    <t>065-42164894</t>
  </si>
  <si>
    <t>065-42164916</t>
  </si>
  <si>
    <t>065-49725830</t>
  </si>
  <si>
    <t>065-42164905</t>
  </si>
  <si>
    <t>065-49725826</t>
  </si>
  <si>
    <t>157-43226735</t>
  </si>
  <si>
    <t>157-43226746</t>
  </si>
  <si>
    <t>157-43226993</t>
  </si>
  <si>
    <t>157-43226864</t>
  </si>
  <si>
    <t>157-43226875</t>
  </si>
  <si>
    <t>157-43226886</t>
  </si>
  <si>
    <t>157-43227004</t>
  </si>
  <si>
    <t>157-43226853</t>
  </si>
  <si>
    <t>157-43226901</t>
  </si>
  <si>
    <t>157-43227015</t>
  </si>
  <si>
    <t>157-43226890</t>
  </si>
  <si>
    <t>157-43226912</t>
  </si>
  <si>
    <t>157-43227026</t>
  </si>
  <si>
    <t>157-43226923</t>
  </si>
  <si>
    <t>157-43226816</t>
  </si>
  <si>
    <t>157-43226982</t>
  </si>
  <si>
    <t>157-43226665</t>
  </si>
  <si>
    <t>157-43226654</t>
  </si>
  <si>
    <t>157-43226680</t>
  </si>
  <si>
    <t>157-43226676</t>
  </si>
  <si>
    <t>157-43226783</t>
  </si>
  <si>
    <t>157-43226945</t>
  </si>
  <si>
    <t>157-43226794</t>
  </si>
  <si>
    <t>157-43226956</t>
  </si>
  <si>
    <t>157-43226805</t>
  </si>
  <si>
    <t>157-43227030</t>
  </si>
  <si>
    <t>157-43226750</t>
  </si>
  <si>
    <t>157-43226960</t>
  </si>
  <si>
    <t>157-43226761</t>
  </si>
  <si>
    <t>157-43226971</t>
  </si>
  <si>
    <t>157-58071016</t>
  </si>
  <si>
    <t>157-43226772</t>
  </si>
  <si>
    <t>157-43227041</t>
  </si>
  <si>
    <t>157-43226934</t>
  </si>
  <si>
    <t>157-43226691</t>
  </si>
  <si>
    <t>157-43226702</t>
  </si>
  <si>
    <t>157-43226713</t>
  </si>
  <si>
    <t>157-43226842</t>
  </si>
  <si>
    <t>157-43226724</t>
  </si>
  <si>
    <t>157-43226831</t>
  </si>
  <si>
    <t>157-43226820</t>
  </si>
  <si>
    <t>(NEW ADD)</t>
  </si>
  <si>
    <t>157-42157290</t>
  </si>
  <si>
    <t>157-42157301</t>
  </si>
  <si>
    <t>157-42655336</t>
  </si>
  <si>
    <t>157-42655340</t>
  </si>
  <si>
    <t>157-42655351</t>
  </si>
  <si>
    <t>157-42655362</t>
  </si>
  <si>
    <t>157-42655373</t>
  </si>
  <si>
    <t>157-42655384</t>
  </si>
  <si>
    <t>157-42655395</t>
  </si>
  <si>
    <t>157-42655406</t>
  </si>
  <si>
    <t>157-43228581</t>
  </si>
  <si>
    <t>157-43228592</t>
  </si>
  <si>
    <t>157-43228603</t>
  </si>
  <si>
    <t>157-43228614</t>
  </si>
  <si>
    <t>157-43228625</t>
  </si>
  <si>
    <t>157-43228636</t>
  </si>
  <si>
    <t>157-43228640</t>
  </si>
  <si>
    <t>157-43228651</t>
  </si>
  <si>
    <t>157-43228662</t>
  </si>
  <si>
    <t>157-43228673</t>
  </si>
  <si>
    <t>157-43228684</t>
  </si>
  <si>
    <t>157-43228695</t>
  </si>
  <si>
    <t>157-43228706</t>
  </si>
  <si>
    <t>157-43228710</t>
  </si>
  <si>
    <t>157-43228721</t>
  </si>
  <si>
    <t>157-43228732</t>
  </si>
  <si>
    <t>157-43228743</t>
  </si>
  <si>
    <t>157-43228754</t>
  </si>
  <si>
    <t>157-43228765</t>
  </si>
  <si>
    <t>157-43228776</t>
  </si>
  <si>
    <t>157-43228780</t>
  </si>
  <si>
    <t>157-43228791</t>
  </si>
  <si>
    <t>157-43228802</t>
  </si>
  <si>
    <t>157-43228813</t>
  </si>
  <si>
    <t>157-43228824</t>
  </si>
  <si>
    <t>157-43228835</t>
  </si>
  <si>
    <t>157-43228846</t>
  </si>
  <si>
    <t>157-43228850</t>
  </si>
  <si>
    <t>157-43228861</t>
  </si>
  <si>
    <t>157-43228872</t>
  </si>
  <si>
    <t>157-43228883</t>
  </si>
  <si>
    <t>157-43228894</t>
  </si>
  <si>
    <t>157-43228905</t>
  </si>
  <si>
    <t>157-58070902</t>
  </si>
  <si>
    <t>157-58070913</t>
  </si>
  <si>
    <t>157-58070924</t>
  </si>
  <si>
    <t>157-58070935</t>
  </si>
  <si>
    <t>157-58070946</t>
  </si>
  <si>
    <t>157-58070950</t>
  </si>
  <si>
    <t>157-58070961</t>
  </si>
  <si>
    <t>157-43229502</t>
  </si>
  <si>
    <t>157-43229513</t>
  </si>
  <si>
    <t>157-43229535</t>
  </si>
  <si>
    <t>157-43229524</t>
  </si>
  <si>
    <t>157-43229546</t>
  </si>
  <si>
    <t>157-43229605</t>
  </si>
  <si>
    <t>157-43229594</t>
  </si>
  <si>
    <t>157-43229572</t>
  </si>
  <si>
    <t>157-43229616</t>
  </si>
  <si>
    <t>157-43229631</t>
  </si>
  <si>
    <t>157-43229583</t>
  </si>
  <si>
    <t>157-43229550</t>
  </si>
  <si>
    <t>157-43229620</t>
  </si>
  <si>
    <t>157-43229642</t>
  </si>
  <si>
    <t>157-43229664</t>
  </si>
  <si>
    <t>157-43229686</t>
  </si>
  <si>
    <t>157-43229653</t>
  </si>
  <si>
    <t>157-43229690</t>
  </si>
  <si>
    <t>157-43229675</t>
  </si>
  <si>
    <t>157-43229793</t>
  </si>
  <si>
    <t>157-43229815</t>
  </si>
  <si>
    <t>157-43229804</t>
  </si>
  <si>
    <t>157-43229756</t>
  </si>
  <si>
    <t>157-43229745</t>
  </si>
  <si>
    <t>157-43229734</t>
  </si>
  <si>
    <t>157-43229771</t>
  </si>
  <si>
    <t>157-43229712</t>
  </si>
  <si>
    <t>157-43229782</t>
  </si>
  <si>
    <t>157-43229723</t>
  </si>
  <si>
    <t>157-43229841</t>
  </si>
  <si>
    <t>157-43229760</t>
  </si>
  <si>
    <t>157-43229911</t>
  </si>
  <si>
    <t>157-43229830</t>
  </si>
  <si>
    <t>157-43229922</t>
  </si>
  <si>
    <t>157-43229826</t>
  </si>
  <si>
    <t>157-43229701</t>
  </si>
  <si>
    <t>157-43229885</t>
  </si>
  <si>
    <t>157-43229863</t>
  </si>
  <si>
    <t>157-43229896</t>
  </si>
  <si>
    <t>157-43229900</t>
  </si>
  <si>
    <t>157-43229476</t>
  </si>
  <si>
    <t>157-43229561</t>
  </si>
  <si>
    <t>157-43229852</t>
  </si>
  <si>
    <t>157-43229480</t>
  </si>
  <si>
    <t>157-43229491</t>
  </si>
  <si>
    <t>160-11075326</t>
  </si>
  <si>
    <t>160-11075315</t>
  </si>
  <si>
    <t>160-11075304</t>
  </si>
  <si>
    <t>160-11075175</t>
  </si>
  <si>
    <t>160-11075164</t>
  </si>
  <si>
    <t>160-11075186</t>
  </si>
  <si>
    <t>160-11075190</t>
  </si>
  <si>
    <t>752-30207601</t>
  </si>
  <si>
    <t>752-30207575</t>
  </si>
  <si>
    <t>752-30207612</t>
  </si>
  <si>
    <t>752-30207590</t>
  </si>
  <si>
    <t>752-30207586</t>
  </si>
  <si>
    <t>936-02197683</t>
  </si>
  <si>
    <t>936-02197565</t>
  </si>
  <si>
    <t>936-02684942</t>
  </si>
  <si>
    <t>936-00313563</t>
  </si>
  <si>
    <t>936-00313574</t>
  </si>
  <si>
    <t>936-00313600</t>
  </si>
  <si>
    <t>936-00313611</t>
  </si>
  <si>
    <t>936-00313596</t>
  </si>
  <si>
    <t>936-00313585</t>
  </si>
  <si>
    <t>936-00313552</t>
  </si>
  <si>
    <t>936-00313541</t>
  </si>
  <si>
    <t>2C577</t>
  </si>
  <si>
    <t>003-31697934</t>
  </si>
  <si>
    <t>003-31698096</t>
  </si>
  <si>
    <t>003-31698085</t>
  </si>
  <si>
    <t>003-31697945</t>
  </si>
  <si>
    <t>003-31697956</t>
  </si>
  <si>
    <t>003-31697960</t>
  </si>
  <si>
    <t>003-31698074</t>
  </si>
  <si>
    <t>065-44887791</t>
  </si>
  <si>
    <t>065-44887802</t>
  </si>
  <si>
    <t>065-44887813</t>
  </si>
  <si>
    <t>065-44887824</t>
  </si>
  <si>
    <t>065-44887905</t>
  </si>
  <si>
    <t>065-44887916</t>
  </si>
  <si>
    <t>065-44887835</t>
  </si>
  <si>
    <t>065-44887953</t>
  </si>
  <si>
    <t>065-44887846</t>
  </si>
  <si>
    <t>065-44887850</t>
  </si>
  <si>
    <t>065-44887920</t>
  </si>
  <si>
    <t>065-44887861</t>
  </si>
  <si>
    <t>065-44887964</t>
  </si>
  <si>
    <t>065-44887872</t>
  </si>
  <si>
    <t>065-44887883</t>
  </si>
  <si>
    <t>065-44887975</t>
  </si>
  <si>
    <t>065-46962580</t>
  </si>
  <si>
    <t>065-44887894</t>
  </si>
  <si>
    <t>065-44887931</t>
  </si>
  <si>
    <t>065-44887942</t>
  </si>
  <si>
    <t>065-44887986</t>
  </si>
  <si>
    <t>065-49725900</t>
  </si>
  <si>
    <t>065-49725841</t>
  </si>
  <si>
    <t>065-42327983</t>
  </si>
  <si>
    <t>065-42327950</t>
  </si>
  <si>
    <t>065-42327924</t>
  </si>
  <si>
    <t>157-43227096</t>
  </si>
  <si>
    <t>157-43227100</t>
  </si>
  <si>
    <t>157-43227111</t>
  </si>
  <si>
    <t>157-43227225</t>
  </si>
  <si>
    <t>157-43227236</t>
  </si>
  <si>
    <t>157-43227446</t>
  </si>
  <si>
    <t>157-43227122</t>
  </si>
  <si>
    <t>157-43227133</t>
  </si>
  <si>
    <t>157-43227214</t>
  </si>
  <si>
    <t>157-43227144</t>
  </si>
  <si>
    <t>157-43227435</t>
  </si>
  <si>
    <t>157-43227052</t>
  </si>
  <si>
    <t>157-43227240</t>
  </si>
  <si>
    <t>157-43227391</t>
  </si>
  <si>
    <t>157-43227063</t>
  </si>
  <si>
    <t>157-43227074</t>
  </si>
  <si>
    <t>157-43227085</t>
  </si>
  <si>
    <t>157-43227380</t>
  </si>
  <si>
    <t>157-43227402</t>
  </si>
  <si>
    <t>157-43227413</t>
  </si>
  <si>
    <t>157-43227155</t>
  </si>
  <si>
    <t>157-43227166</t>
  </si>
  <si>
    <t>157-43227170</t>
  </si>
  <si>
    <t>157-43227181</t>
  </si>
  <si>
    <t>157-43227251</t>
  </si>
  <si>
    <t>157-43227192</t>
  </si>
  <si>
    <t>157-43227262</t>
  </si>
  <si>
    <t>157-43227273</t>
  </si>
  <si>
    <t>157-43227203</t>
  </si>
  <si>
    <t>157-43227284</t>
  </si>
  <si>
    <t>157-43227424</t>
  </si>
  <si>
    <t>157-43227295</t>
  </si>
  <si>
    <t>160-11075201</t>
  </si>
  <si>
    <t>160-11075212</t>
  </si>
  <si>
    <t>065-49726456</t>
  </si>
  <si>
    <t>065-49726445</t>
  </si>
  <si>
    <t>065-42326292</t>
  </si>
  <si>
    <t>065-42326270</t>
  </si>
  <si>
    <t>065-42326255</t>
  </si>
  <si>
    <t>065-41919275</t>
  </si>
  <si>
    <t>065-49536001</t>
  </si>
  <si>
    <t>065-49536012</t>
  </si>
  <si>
    <t>065-49725922</t>
  </si>
  <si>
    <t>065-49726434</t>
  </si>
  <si>
    <t>157-79207505</t>
  </si>
  <si>
    <t>157-43229944</t>
  </si>
  <si>
    <t>157-43229955</t>
  </si>
  <si>
    <t>157-43229966</t>
  </si>
  <si>
    <t>157-43229970</t>
  </si>
  <si>
    <t>157-43230246</t>
  </si>
  <si>
    <t>157-43230261</t>
  </si>
  <si>
    <t>157-43230283</t>
  </si>
  <si>
    <t>157-43230294</t>
  </si>
  <si>
    <t>157-43230316</t>
  </si>
  <si>
    <t>157-43230320</t>
  </si>
  <si>
    <t>157-43230331</t>
  </si>
  <si>
    <t>157-43230305</t>
  </si>
  <si>
    <t>157-43229981</t>
  </si>
  <si>
    <t>157-43230250</t>
  </si>
  <si>
    <t>157-43230401</t>
  </si>
  <si>
    <t>157-43230342</t>
  </si>
  <si>
    <t>157-43230364</t>
  </si>
  <si>
    <t>157-43230390</t>
  </si>
  <si>
    <t>157-43230386</t>
  </si>
  <si>
    <t>157-43230375</t>
  </si>
  <si>
    <t>157-43230353</t>
  </si>
  <si>
    <t>157-43230036</t>
  </si>
  <si>
    <t>157-43230014</t>
  </si>
  <si>
    <t>157-43230003</t>
  </si>
  <si>
    <t>157-43229992</t>
  </si>
  <si>
    <t>157-43230025</t>
  </si>
  <si>
    <t>157-43230412</t>
  </si>
  <si>
    <t>157-43230040</t>
  </si>
  <si>
    <t>157-43230051</t>
  </si>
  <si>
    <t>157-43230073</t>
  </si>
  <si>
    <t>157-43230062</t>
  </si>
  <si>
    <t>157-43230084</t>
  </si>
  <si>
    <t>157-43230095</t>
  </si>
  <si>
    <t>157-43227612</t>
  </si>
  <si>
    <t>157-43227516</t>
  </si>
  <si>
    <t>157-43227505</t>
  </si>
  <si>
    <t>157-43227494</t>
  </si>
  <si>
    <t>157-43227461</t>
  </si>
  <si>
    <t>157-43227660</t>
  </si>
  <si>
    <t>157-43227671</t>
  </si>
  <si>
    <t>157-43227682</t>
  </si>
  <si>
    <t>157-43227520</t>
  </si>
  <si>
    <t>157-43227531</t>
  </si>
  <si>
    <t>157-43227645</t>
  </si>
  <si>
    <t>157-43227656</t>
  </si>
  <si>
    <t>157-43227472</t>
  </si>
  <si>
    <t>157-43227715</t>
  </si>
  <si>
    <t>157-43227726</t>
  </si>
  <si>
    <t>157-43227730</t>
  </si>
  <si>
    <t>157-43227483</t>
  </si>
  <si>
    <t>157-43227741</t>
  </si>
  <si>
    <t>157-43227752</t>
  </si>
  <si>
    <t>157-43227763</t>
  </si>
  <si>
    <t>157-43227450</t>
  </si>
  <si>
    <t>157-43227693</t>
  </si>
  <si>
    <t>157-43227704</t>
  </si>
  <si>
    <t>157-43227811</t>
  </si>
  <si>
    <t>157-43227623</t>
  </si>
  <si>
    <t>157-43227822</t>
  </si>
  <si>
    <t>157-43227634</t>
  </si>
  <si>
    <t>157-43227844</t>
  </si>
  <si>
    <t>157-43227542</t>
  </si>
  <si>
    <t>157-43227785</t>
  </si>
  <si>
    <t>157-58071031</t>
  </si>
  <si>
    <t>157-58071042</t>
  </si>
  <si>
    <t>157-43227586</t>
  </si>
  <si>
    <t>157-43227590</t>
  </si>
  <si>
    <t>157-43227601</t>
  </si>
  <si>
    <t>157-43227833</t>
  </si>
  <si>
    <t>157-43227774</t>
  </si>
  <si>
    <t>157-58071020</t>
  </si>
  <si>
    <t>157-43227575</t>
  </si>
  <si>
    <t>157-58071053</t>
  </si>
  <si>
    <t>157-58071064</t>
  </si>
  <si>
    <t>157-43227796</t>
  </si>
  <si>
    <t>157-58071075</t>
  </si>
  <si>
    <t>157-58071086</t>
  </si>
  <si>
    <t>157-58071090</t>
  </si>
  <si>
    <t>157-58071101</t>
  </si>
  <si>
    <t>157-43227800</t>
  </si>
  <si>
    <t>157-58071112</t>
  </si>
  <si>
    <t>157-43227553</t>
  </si>
  <si>
    <t>157-43227564</t>
  </si>
  <si>
    <t>157-58071123</t>
  </si>
  <si>
    <t>157-58071134</t>
  </si>
  <si>
    <t>160-11075223</t>
  </si>
  <si>
    <t>160-11075234</t>
  </si>
  <si>
    <t>160-11075330</t>
  </si>
  <si>
    <t>160-11075341</t>
  </si>
  <si>
    <t>160-11075352</t>
  </si>
  <si>
    <t>752-30207671</t>
  </si>
  <si>
    <t>752-30207656</t>
  </si>
  <si>
    <t>752-30207645</t>
  </si>
  <si>
    <t>752-30207634</t>
  </si>
  <si>
    <t>752-30207623</t>
  </si>
  <si>
    <t>752-30207660</t>
  </si>
  <si>
    <t>752-30207682</t>
  </si>
  <si>
    <t>065-44888045</t>
  </si>
  <si>
    <t>065-46962543</t>
  </si>
  <si>
    <t>065-44888056</t>
  </si>
  <si>
    <t>065-44888060</t>
  </si>
  <si>
    <t>065-44888071</t>
  </si>
  <si>
    <t>065-44888082</t>
  </si>
  <si>
    <t>065-44888093</t>
  </si>
  <si>
    <t>065-44888196</t>
  </si>
  <si>
    <t>065-46962554</t>
  </si>
  <si>
    <t>065-44888255</t>
  </si>
  <si>
    <t>065-44888104</t>
  </si>
  <si>
    <t>065-46962576</t>
  </si>
  <si>
    <t>065-44888233</t>
  </si>
  <si>
    <t>065-44888115</t>
  </si>
  <si>
    <t>065-44888244</t>
  </si>
  <si>
    <t>065-44888126</t>
  </si>
  <si>
    <t>065-44888266</t>
  </si>
  <si>
    <t>065-44888270</t>
  </si>
  <si>
    <t>065-44888152</t>
  </si>
  <si>
    <t>065-44888163</t>
  </si>
  <si>
    <t>065-46962565</t>
  </si>
  <si>
    <t>065-44888130</t>
  </si>
  <si>
    <t>065-44888281</t>
  </si>
  <si>
    <t>065-44888292</t>
  </si>
  <si>
    <t>065-44888303</t>
  </si>
  <si>
    <t>065-44888314</t>
  </si>
  <si>
    <t>065-44888325</t>
  </si>
  <si>
    <t>065-44888141</t>
  </si>
  <si>
    <t>065-44888336</t>
  </si>
  <si>
    <t>065-44888340</t>
  </si>
  <si>
    <t>065-44888174</t>
  </si>
  <si>
    <t>065-44888185</t>
  </si>
  <si>
    <t>157-43230180</t>
  </si>
  <si>
    <t>157-43230143</t>
  </si>
  <si>
    <t>157-43230154</t>
  </si>
  <si>
    <t>157-43230176</t>
  </si>
  <si>
    <t>157-43230165</t>
  </si>
  <si>
    <t>157-43230132</t>
  </si>
  <si>
    <t>157-43230121</t>
  </si>
  <si>
    <t>157-43230106</t>
  </si>
  <si>
    <t>157-43230235</t>
  </si>
  <si>
    <t>157-43230213</t>
  </si>
  <si>
    <t>157-43230202</t>
  </si>
  <si>
    <t>157-43230191</t>
  </si>
  <si>
    <t>157-43230110</t>
  </si>
  <si>
    <t>157-43230681</t>
  </si>
  <si>
    <t>157-43230670</t>
  </si>
  <si>
    <t>157-43230224</t>
  </si>
  <si>
    <t>157-43230736</t>
  </si>
  <si>
    <t>157-43230725</t>
  </si>
  <si>
    <t>157-43230434</t>
  </si>
  <si>
    <t>157-48061042</t>
  </si>
  <si>
    <t>157-43230423</t>
  </si>
  <si>
    <t>157-48061053</t>
  </si>
  <si>
    <t>157-43230633</t>
  </si>
  <si>
    <t>157-43230655</t>
  </si>
  <si>
    <t>157-48061086</t>
  </si>
  <si>
    <t>157-43230644</t>
  </si>
  <si>
    <t>157-48061182</t>
  </si>
  <si>
    <t>157-43230692</t>
  </si>
  <si>
    <t>157-43230703</t>
  </si>
  <si>
    <t>157-48061171</t>
  </si>
  <si>
    <t>157-43230666</t>
  </si>
  <si>
    <t>157-48061193</t>
  </si>
  <si>
    <t>157-48061090</t>
  </si>
  <si>
    <t>157-48061145</t>
  </si>
  <si>
    <t>157-48061134</t>
  </si>
  <si>
    <t>157-48061156</t>
  </si>
  <si>
    <t>157-43230714</t>
  </si>
  <si>
    <t>157-48061101</t>
  </si>
  <si>
    <t>157-48061112</t>
  </si>
  <si>
    <t>157-48061123</t>
  </si>
  <si>
    <t>157-43229933</t>
  </si>
  <si>
    <t>157-48061064</t>
  </si>
  <si>
    <t>157-43229874</t>
  </si>
  <si>
    <t>157-43230272</t>
  </si>
  <si>
    <t>157-48061075</t>
  </si>
  <si>
    <t>157-43227855</t>
  </si>
  <si>
    <t>157-43227892</t>
  </si>
  <si>
    <t>157-43227903</t>
  </si>
  <si>
    <t>157-43227866</t>
  </si>
  <si>
    <t>157-43228021</t>
  </si>
  <si>
    <t>157-43227870</t>
  </si>
  <si>
    <t>157-43228032</t>
  </si>
  <si>
    <t>157-43227881</t>
  </si>
  <si>
    <t>157-43228043</t>
  </si>
  <si>
    <t>157-43228054</t>
  </si>
  <si>
    <t>157-43228183</t>
  </si>
  <si>
    <t>157-43228216</t>
  </si>
  <si>
    <t>157-43228065</t>
  </si>
  <si>
    <t>157-43228220</t>
  </si>
  <si>
    <t>157-43228242</t>
  </si>
  <si>
    <t>157-43228076</t>
  </si>
  <si>
    <t>157-43228080</t>
  </si>
  <si>
    <t>157-43228010</t>
  </si>
  <si>
    <t>157-43227914</t>
  </si>
  <si>
    <t>157-43228091</t>
  </si>
  <si>
    <t>157-43227925</t>
  </si>
  <si>
    <t>157-43228102</t>
  </si>
  <si>
    <t>157-43228113</t>
  </si>
  <si>
    <t>157-43227936</t>
  </si>
  <si>
    <t>157-43228124</t>
  </si>
  <si>
    <t>157-43227940</t>
  </si>
  <si>
    <t>157-43228135</t>
  </si>
  <si>
    <t>157-43227951</t>
  </si>
  <si>
    <t>157-43228146</t>
  </si>
  <si>
    <t>157-43228150</t>
  </si>
  <si>
    <t>157-43227962</t>
  </si>
  <si>
    <t>157-43227973</t>
  </si>
  <si>
    <t>157-43227984</t>
  </si>
  <si>
    <t>157-43227995</t>
  </si>
  <si>
    <t>157-43228161</t>
  </si>
  <si>
    <t>157-43228172</t>
  </si>
  <si>
    <t>157-58071145</t>
  </si>
  <si>
    <t>157-93070165</t>
  </si>
  <si>
    <t>157-43230541</t>
  </si>
  <si>
    <t>157-43228231</t>
  </si>
  <si>
    <t>157-43230552</t>
  </si>
  <si>
    <t>157-43230563</t>
  </si>
  <si>
    <t>157-43228194</t>
  </si>
  <si>
    <t>157-43228205</t>
  </si>
  <si>
    <t>157-43230574</t>
  </si>
  <si>
    <t>157-43230585</t>
  </si>
  <si>
    <t>157-43228916</t>
  </si>
  <si>
    <t>157-48061005</t>
  </si>
  <si>
    <t>157-43228920</t>
  </si>
  <si>
    <t>157-43230482</t>
  </si>
  <si>
    <t>157-43228931</t>
  </si>
  <si>
    <t>157-43228942</t>
  </si>
  <si>
    <t>157-43228953</t>
  </si>
  <si>
    <t>157-43228964</t>
  </si>
  <si>
    <t>157-43230530</t>
  </si>
  <si>
    <t>157-48060994</t>
  </si>
  <si>
    <t>157-43228975</t>
  </si>
  <si>
    <t>157-43228986</t>
  </si>
  <si>
    <t>157-43230515</t>
  </si>
  <si>
    <t>157-43230526</t>
  </si>
  <si>
    <t>157-43228990</t>
  </si>
  <si>
    <t>157-43230504</t>
  </si>
  <si>
    <t>157-43229001</t>
  </si>
  <si>
    <t>157-43230471</t>
  </si>
  <si>
    <t>157-43229012</t>
  </si>
  <si>
    <t>157-43229222</t>
  </si>
  <si>
    <t>157-43229023</t>
  </si>
  <si>
    <t>157-43230460</t>
  </si>
  <si>
    <t>157-43229034</t>
  </si>
  <si>
    <t>157-43229045</t>
  </si>
  <si>
    <t>157-43229056</t>
  </si>
  <si>
    <t>157-43229060</t>
  </si>
  <si>
    <t>157-43229071</t>
  </si>
  <si>
    <t>157-43229082</t>
  </si>
  <si>
    <t>157-43229093</t>
  </si>
  <si>
    <t>157-43229104</t>
  </si>
  <si>
    <t>157-43229115</t>
  </si>
  <si>
    <t>157-43229126</t>
  </si>
  <si>
    <t>157-43229233</t>
  </si>
  <si>
    <t>157-43229130</t>
  </si>
  <si>
    <t>157-43229141</t>
  </si>
  <si>
    <t>157-43229152</t>
  </si>
  <si>
    <t>157-43230456</t>
  </si>
  <si>
    <t>157-43229163</t>
  </si>
  <si>
    <t>157-43230445</t>
  </si>
  <si>
    <t>157-43229174</t>
  </si>
  <si>
    <t>157-43230493</t>
  </si>
  <si>
    <t>157-43229185</t>
  </si>
  <si>
    <t>157-48061016</t>
  </si>
  <si>
    <t>157-48061020</t>
  </si>
  <si>
    <t>157-43229196</t>
  </si>
  <si>
    <t>157-43229200</t>
  </si>
  <si>
    <t>157-43229211</t>
  </si>
  <si>
    <t>160-11075256</t>
  </si>
  <si>
    <t>160-11075245</t>
  </si>
  <si>
    <t>752-30207785</t>
  </si>
  <si>
    <t>752-30207774</t>
  </si>
  <si>
    <t>752-30207763</t>
  </si>
  <si>
    <t>752-30207726</t>
  </si>
  <si>
    <t>752-30207715</t>
  </si>
  <si>
    <t>752-30207693</t>
  </si>
  <si>
    <t>752-30207704</t>
  </si>
  <si>
    <t>752-30207730</t>
  </si>
  <si>
    <t>752-30207741</t>
  </si>
  <si>
    <t>752-30207752</t>
  </si>
  <si>
    <t>065-46963840</t>
  </si>
  <si>
    <t>065-46963851</t>
  </si>
  <si>
    <t>065-46963862</t>
  </si>
  <si>
    <t>065-46963873</t>
  </si>
  <si>
    <t>065-46963884</t>
  </si>
  <si>
    <t>065-46963895</t>
  </si>
  <si>
    <t>065-46964046</t>
  </si>
  <si>
    <t>065-46963906</t>
  </si>
  <si>
    <t>065-46964050</t>
  </si>
  <si>
    <t>065-46963910</t>
  </si>
  <si>
    <t>065-46963991</t>
  </si>
  <si>
    <t>065-46964002</t>
  </si>
  <si>
    <t>065-46964061</t>
  </si>
  <si>
    <t>065-46964013</t>
  </si>
  <si>
    <t>065-46964024</t>
  </si>
  <si>
    <t>065-46964035</t>
  </si>
  <si>
    <t>065-46963943</t>
  </si>
  <si>
    <t>065-46963932</t>
  </si>
  <si>
    <t>065-46963921</t>
  </si>
  <si>
    <t>065-49536712</t>
  </si>
  <si>
    <t>065-49726460</t>
  </si>
  <si>
    <t>065-49536734</t>
  </si>
  <si>
    <t>065-49726504</t>
  </si>
  <si>
    <t>065-49737962</t>
  </si>
  <si>
    <t>065-49536255</t>
  </si>
  <si>
    <t>065-49738135</t>
  </si>
  <si>
    <t>065-49738091</t>
  </si>
  <si>
    <t>065-49537250</t>
  </si>
  <si>
    <t>160-11075400</t>
  </si>
  <si>
    <t>160-11075396</t>
  </si>
  <si>
    <t>5Y654</t>
  </si>
  <si>
    <t>369-98369714</t>
  </si>
  <si>
    <t>994-30286163</t>
  </si>
  <si>
    <t>065-46964094</t>
  </si>
  <si>
    <t>065-46964304</t>
  </si>
  <si>
    <t>065-46964105</t>
  </si>
  <si>
    <t>065-46964116</t>
  </si>
  <si>
    <t>065-46964120</t>
  </si>
  <si>
    <t>065-46964131</t>
  </si>
  <si>
    <t>065-46964142</t>
  </si>
  <si>
    <t>065-46964245</t>
  </si>
  <si>
    <t>065-46964256</t>
  </si>
  <si>
    <t>065-46964293</t>
  </si>
  <si>
    <t>065-46964260</t>
  </si>
  <si>
    <t>065-46964315</t>
  </si>
  <si>
    <t>065-46964271</t>
  </si>
  <si>
    <t>065-46964282</t>
  </si>
  <si>
    <t>065-46964326</t>
  </si>
  <si>
    <t>065-46964153</t>
  </si>
  <si>
    <t>065-46964330</t>
  </si>
  <si>
    <t>065-46964164</t>
  </si>
  <si>
    <t>065-46964072</t>
  </si>
  <si>
    <t>065-46964083</t>
  </si>
  <si>
    <t>065-44888351</t>
  </si>
  <si>
    <t>065-46964175</t>
  </si>
  <si>
    <t>065-44888362</t>
  </si>
  <si>
    <t>065-46964186</t>
  </si>
  <si>
    <t>065-44888373</t>
  </si>
  <si>
    <t>065-44888384</t>
  </si>
  <si>
    <t>065-44888395</t>
  </si>
  <si>
    <t>065-46964190</t>
  </si>
  <si>
    <t>157-48061160</t>
  </si>
  <si>
    <t>157-48061226</t>
  </si>
  <si>
    <t>157-48061230</t>
  </si>
  <si>
    <t>157-48066712</t>
  </si>
  <si>
    <t>157-48066701</t>
  </si>
  <si>
    <t>157-48066723</t>
  </si>
  <si>
    <t>157-48061241</t>
  </si>
  <si>
    <t>157-48066690</t>
  </si>
  <si>
    <t>157-48066686</t>
  </si>
  <si>
    <t>157-48066745</t>
  </si>
  <si>
    <t>157-48066734</t>
  </si>
  <si>
    <t>157-48061204</t>
  </si>
  <si>
    <t>157-48066771</t>
  </si>
  <si>
    <t>157-48061215</t>
  </si>
  <si>
    <t>157-48066675</t>
  </si>
  <si>
    <t>157-48066760</t>
  </si>
  <si>
    <t>157-48066756</t>
  </si>
  <si>
    <t>157-48066782</t>
  </si>
  <si>
    <t>157-48066793</t>
  </si>
  <si>
    <t>157-48066804</t>
  </si>
  <si>
    <t>157-48066815</t>
  </si>
  <si>
    <t>157-48066826</t>
  </si>
  <si>
    <t>157-48066852</t>
  </si>
  <si>
    <t>157-48066841</t>
  </si>
  <si>
    <t>157-48066830</t>
  </si>
  <si>
    <t>157-48066863</t>
  </si>
  <si>
    <t>157-48066885</t>
  </si>
  <si>
    <t>157-48066900</t>
  </si>
  <si>
    <t>157-48061436</t>
  </si>
  <si>
    <t>157-48061451</t>
  </si>
  <si>
    <t>157-48061355</t>
  </si>
  <si>
    <t>157-48066911</t>
  </si>
  <si>
    <t>157-48061440</t>
  </si>
  <si>
    <t>157-48061392</t>
  </si>
  <si>
    <t>157-48061414</t>
  </si>
  <si>
    <t>157-48061403</t>
  </si>
  <si>
    <t>157-48061381</t>
  </si>
  <si>
    <t>157-48061370</t>
  </si>
  <si>
    <t>157-43230622</t>
  </si>
  <si>
    <t>157-43230611</t>
  </si>
  <si>
    <t>157-43230600</t>
  </si>
  <si>
    <t>157-43230596</t>
  </si>
  <si>
    <t>157-48066336</t>
  </si>
  <si>
    <t>157-48066012</t>
  </si>
  <si>
    <t>157-48061274</t>
  </si>
  <si>
    <t>157-48061285</t>
  </si>
  <si>
    <t>157-48066023</t>
  </si>
  <si>
    <t>157-48066270</t>
  </si>
  <si>
    <t>157-48066034</t>
  </si>
  <si>
    <t>157-48066266</t>
  </si>
  <si>
    <t>157-48066045</t>
  </si>
  <si>
    <t>157-48061300</t>
  </si>
  <si>
    <t>157-48061322</t>
  </si>
  <si>
    <t>157-48061311</t>
  </si>
  <si>
    <t>157-48066056</t>
  </si>
  <si>
    <t>157-48066060</t>
  </si>
  <si>
    <t>157-48061252</t>
  </si>
  <si>
    <t>157-48061263</t>
  </si>
  <si>
    <t>157-48066071</t>
  </si>
  <si>
    <t>157-48061031</t>
  </si>
  <si>
    <t>157-48066082</t>
  </si>
  <si>
    <t>157-48066303</t>
  </si>
  <si>
    <t>157-48066314</t>
  </si>
  <si>
    <t>157-48066093</t>
  </si>
  <si>
    <t>157-48066292</t>
  </si>
  <si>
    <t>157-48066104</t>
  </si>
  <si>
    <t>157-48066281</t>
  </si>
  <si>
    <t>157-48066255</t>
  </si>
  <si>
    <t>157-48066244</t>
  </si>
  <si>
    <t>157-48066115</t>
  </si>
  <si>
    <t>157-48066126</t>
  </si>
  <si>
    <t>157-48066130</t>
  </si>
  <si>
    <t>157-48066141</t>
  </si>
  <si>
    <t>157-48066152</t>
  </si>
  <si>
    <t>157-48066163</t>
  </si>
  <si>
    <t>157-48066174</t>
  </si>
  <si>
    <t>157-48066185</t>
  </si>
  <si>
    <t>157-48066325</t>
  </si>
  <si>
    <t>157-48066196</t>
  </si>
  <si>
    <t>157-48066200</t>
  </si>
  <si>
    <t>157-48061333</t>
  </si>
  <si>
    <t>157-48061344</t>
  </si>
  <si>
    <t>157-48061296</t>
  </si>
  <si>
    <t>157-48066211</t>
  </si>
  <si>
    <t>157-48066222</t>
  </si>
  <si>
    <t>157-48066233</t>
  </si>
  <si>
    <t>160-11075422</t>
  </si>
  <si>
    <t>160-11075411</t>
  </si>
  <si>
    <t>369-99410566</t>
  </si>
  <si>
    <t>369-99410474</t>
  </si>
  <si>
    <t>369-99410463</t>
  </si>
  <si>
    <t>369-99410496</t>
  </si>
  <si>
    <t>369-99410441</t>
  </si>
  <si>
    <t>369-99410452</t>
  </si>
  <si>
    <t>369-99410360</t>
  </si>
  <si>
    <t>369-99410301</t>
  </si>
  <si>
    <t>369-99410290</t>
  </si>
  <si>
    <t>369-99410286</t>
  </si>
  <si>
    <t>369-99410275</t>
  </si>
  <si>
    <t>369-99410264</t>
  </si>
  <si>
    <t>369-99410253</t>
  </si>
  <si>
    <t>369-99410242</t>
  </si>
  <si>
    <t>369-99410231</t>
  </si>
  <si>
    <t>369-99410220</t>
  </si>
  <si>
    <t>369-99410216</t>
  </si>
  <si>
    <t>369-99410205</t>
  </si>
  <si>
    <t>369-99410194</t>
  </si>
  <si>
    <t>369-99410183</t>
  </si>
  <si>
    <t>369-99410172</t>
  </si>
  <si>
    <t>369-99410161</t>
  </si>
  <si>
    <t>369-99410076</t>
  </si>
  <si>
    <t>369-99410065</t>
  </si>
  <si>
    <t>369-99410054</t>
  </si>
  <si>
    <t>369-99410043</t>
  </si>
  <si>
    <t>369-99410032</t>
  </si>
  <si>
    <t>369-99410021</t>
  </si>
  <si>
    <t>369-99410010</t>
  </si>
  <si>
    <t>369-99410006</t>
  </si>
  <si>
    <t>369-99409995</t>
  </si>
  <si>
    <t>369-98446530</t>
  </si>
  <si>
    <t>369-99415131</t>
  </si>
  <si>
    <t>369-99415142</t>
  </si>
  <si>
    <t>5Y825</t>
  </si>
  <si>
    <t>369-98369751</t>
  </si>
  <si>
    <t>369-98369740</t>
  </si>
  <si>
    <t>369-98369736</t>
  </si>
  <si>
    <t>369-98369725</t>
  </si>
  <si>
    <t>936-00314414</t>
  </si>
  <si>
    <t>936-00314403</t>
  </si>
  <si>
    <t>936-00314392</t>
  </si>
  <si>
    <t>936-00314381</t>
  </si>
  <si>
    <t>936-00314370</t>
  </si>
  <si>
    <t>936-00314366</t>
  </si>
  <si>
    <t>936-00314355</t>
  </si>
  <si>
    <t>936-00314344</t>
  </si>
  <si>
    <t>936-00314333</t>
  </si>
  <si>
    <t>936-00314322</t>
  </si>
  <si>
    <t>065-49537434</t>
  </si>
  <si>
    <t>065-49594134</t>
  </si>
  <si>
    <t>065-49738286</t>
  </si>
  <si>
    <t>065-49738474</t>
  </si>
  <si>
    <t>160-11075444</t>
  </si>
  <si>
    <t>160-11075433</t>
  </si>
  <si>
    <t>752-30207796</t>
  </si>
  <si>
    <t>752-30207800</t>
  </si>
  <si>
    <t>752-30207811</t>
  </si>
  <si>
    <t>752-30207822</t>
  </si>
  <si>
    <t>752-30207833</t>
  </si>
  <si>
    <t>065-46975456</t>
  </si>
  <si>
    <t>065-46975445</t>
  </si>
  <si>
    <t>065-46975434</t>
  </si>
  <si>
    <t>065-49595324</t>
  </si>
  <si>
    <t>157-78535844</t>
  </si>
  <si>
    <t>157-48062490</t>
  </si>
  <si>
    <t>157-48061473</t>
  </si>
  <si>
    <t>157-48062825</t>
  </si>
  <si>
    <t>157-48062534</t>
  </si>
  <si>
    <t>157-48062792</t>
  </si>
  <si>
    <t>157-48062803</t>
  </si>
  <si>
    <t>157-48062545</t>
  </si>
  <si>
    <t>157-48062556</t>
  </si>
  <si>
    <t>157-48062873</t>
  </si>
  <si>
    <t>157-48062836</t>
  </si>
  <si>
    <t>157-48062733</t>
  </si>
  <si>
    <t>157-48062840</t>
  </si>
  <si>
    <t>157-48062744</t>
  </si>
  <si>
    <t>157-48062755</t>
  </si>
  <si>
    <t>157-48062766</t>
  </si>
  <si>
    <t>157-48062851</t>
  </si>
  <si>
    <t>157-48062652</t>
  </si>
  <si>
    <t>157-48062770</t>
  </si>
  <si>
    <t>157-48061510</t>
  </si>
  <si>
    <t>157-48062884</t>
  </si>
  <si>
    <t>157-48062560</t>
  </si>
  <si>
    <t>157-48062571</t>
  </si>
  <si>
    <t>157-48062501</t>
  </si>
  <si>
    <t>157-48062814</t>
  </si>
  <si>
    <t>157-48062512</t>
  </si>
  <si>
    <t>157-48062781</t>
  </si>
  <si>
    <t>157-48062523</t>
  </si>
  <si>
    <t>157-48061484</t>
  </si>
  <si>
    <t>157-48061495</t>
  </si>
  <si>
    <t>157-48062582</t>
  </si>
  <si>
    <t>157-48062593</t>
  </si>
  <si>
    <t>157-48062604</t>
  </si>
  <si>
    <t>157-48062615</t>
  </si>
  <si>
    <t>157-48061521</t>
  </si>
  <si>
    <t>157-48061506</t>
  </si>
  <si>
    <t>157-48061532</t>
  </si>
  <si>
    <t>157-48062626</t>
  </si>
  <si>
    <t>157-48062630</t>
  </si>
  <si>
    <t>157-48061554</t>
  </si>
  <si>
    <t>157-48061565</t>
  </si>
  <si>
    <t>157-48061576</t>
  </si>
  <si>
    <t>157-48061580</t>
  </si>
  <si>
    <t>157-48062641</t>
  </si>
  <si>
    <t>157-48061591</t>
  </si>
  <si>
    <t>157-48061602</t>
  </si>
  <si>
    <t>157-48062862</t>
  </si>
  <si>
    <t>157-48061543</t>
  </si>
  <si>
    <t>157-48062663</t>
  </si>
  <si>
    <t>157-48062674</t>
  </si>
  <si>
    <t>157-48062685</t>
  </si>
  <si>
    <t>157-48062696</t>
  </si>
  <si>
    <t>157-48062700</t>
  </si>
  <si>
    <t>157-48062711</t>
  </si>
  <si>
    <t>157-48062722</t>
  </si>
  <si>
    <t>157-48066340</t>
  </si>
  <si>
    <t>157-48066351</t>
  </si>
  <si>
    <t>157-48066362</t>
  </si>
  <si>
    <t>157-48066373</t>
  </si>
  <si>
    <t>157-48066384</t>
  </si>
  <si>
    <t>157-48066395</t>
  </si>
  <si>
    <t>157-48066406</t>
  </si>
  <si>
    <t>157-48066410</t>
  </si>
  <si>
    <t>157-48066421</t>
  </si>
  <si>
    <t>157-48066432</t>
  </si>
  <si>
    <t>157-48066443</t>
  </si>
  <si>
    <t>157-48066454</t>
  </si>
  <si>
    <t>157-48066465</t>
  </si>
  <si>
    <t>157-48066476</t>
  </si>
  <si>
    <t>157-48066480</t>
  </si>
  <si>
    <t>157-48066491</t>
  </si>
  <si>
    <t>157-48066502</t>
  </si>
  <si>
    <t>157-48066513</t>
  </si>
  <si>
    <t>157-48066524</t>
  </si>
  <si>
    <t>157-48066535</t>
  </si>
  <si>
    <t>157-48066546</t>
  </si>
  <si>
    <t>157-48066550</t>
  </si>
  <si>
    <t>157-48066561</t>
  </si>
  <si>
    <t>157-48066572</t>
  </si>
  <si>
    <t>157-48066583</t>
  </si>
  <si>
    <t>157-48066594</t>
  </si>
  <si>
    <t>157-48066605</t>
  </si>
  <si>
    <t>157-48066616</t>
  </si>
  <si>
    <t>157-48066620</t>
  </si>
  <si>
    <t>157-48066631</t>
  </si>
  <si>
    <t>157-48066642</t>
  </si>
  <si>
    <t>157-48066653</t>
  </si>
  <si>
    <t>157-48066664</t>
  </si>
  <si>
    <t>157-48066874</t>
  </si>
  <si>
    <t>157-48066922</t>
  </si>
  <si>
    <t>157-48061425</t>
  </si>
  <si>
    <t>157-48066933</t>
  </si>
  <si>
    <t>157-48061462</t>
  </si>
  <si>
    <t>157-48061366</t>
  </si>
  <si>
    <t>157-48066896</t>
  </si>
  <si>
    <t>157-48066944</t>
  </si>
  <si>
    <t>157-48066966</t>
  </si>
  <si>
    <t>157-48066970</t>
  </si>
  <si>
    <t>157-48066955</t>
  </si>
  <si>
    <t>157-48067025</t>
  </si>
  <si>
    <t>157-48066992</t>
  </si>
  <si>
    <t>157-48067062</t>
  </si>
  <si>
    <t>157-48067003</t>
  </si>
  <si>
    <t>157-48066981</t>
  </si>
  <si>
    <t>157-48067165</t>
  </si>
  <si>
    <t>157-48067036</t>
  </si>
  <si>
    <t>157-48067014</t>
  </si>
  <si>
    <t>157-48067051</t>
  </si>
  <si>
    <t>157-48067040</t>
  </si>
  <si>
    <t>157-48067110</t>
  </si>
  <si>
    <t>157-48067073</t>
  </si>
  <si>
    <t>157-48067084</t>
  </si>
  <si>
    <t>157-48067095</t>
  </si>
  <si>
    <t>157-48067106</t>
  </si>
  <si>
    <t>157-48067121</t>
  </si>
  <si>
    <t>157-48067143</t>
  </si>
  <si>
    <t>157-48067132</t>
  </si>
  <si>
    <t>157-48061694</t>
  </si>
  <si>
    <t>157-48067154</t>
  </si>
  <si>
    <t>157-48061683</t>
  </si>
  <si>
    <t>157-48061672</t>
  </si>
  <si>
    <t>160-11075525</t>
  </si>
  <si>
    <t>160-11075514</t>
  </si>
  <si>
    <t>160-11075536</t>
  </si>
  <si>
    <t>160-11075455</t>
  </si>
  <si>
    <t>160-11075466</t>
  </si>
  <si>
    <t>752-30207844</t>
  </si>
  <si>
    <t>752-30207855</t>
  </si>
  <si>
    <t>752-30207866</t>
  </si>
  <si>
    <t>752-30207870</t>
  </si>
  <si>
    <t>752-30207881</t>
  </si>
  <si>
    <t>752-30207892</t>
  </si>
  <si>
    <t>752-30207903</t>
  </si>
  <si>
    <t>936-00314484</t>
  </si>
  <si>
    <t>936-00314473</t>
  </si>
  <si>
    <t>936-00314462</t>
  </si>
  <si>
    <t>936-00314451</t>
  </si>
  <si>
    <t>936-00314440</t>
  </si>
  <si>
    <t>936-00314436</t>
  </si>
  <si>
    <t>936-00314425</t>
  </si>
  <si>
    <t>936-00314521</t>
  </si>
  <si>
    <t>936-00314510</t>
  </si>
  <si>
    <t>936-00314506</t>
  </si>
  <si>
    <t>936-00314495</t>
  </si>
  <si>
    <t>065-44888642</t>
  </si>
  <si>
    <t>065-44888653</t>
  </si>
  <si>
    <t>065-44888432</t>
  </si>
  <si>
    <t>065-44888664</t>
  </si>
  <si>
    <t>065-44888675</t>
  </si>
  <si>
    <t>065-44888686</t>
  </si>
  <si>
    <t>065-44888690</t>
  </si>
  <si>
    <t>065-44888701</t>
  </si>
  <si>
    <t>065-44888712</t>
  </si>
  <si>
    <t>065-44888723</t>
  </si>
  <si>
    <t>065-44888443</t>
  </si>
  <si>
    <t>065-44888734</t>
  </si>
  <si>
    <t>065-44888454</t>
  </si>
  <si>
    <t>065-44888465</t>
  </si>
  <si>
    <t>065-44888745</t>
  </si>
  <si>
    <t>065-44888476</t>
  </si>
  <si>
    <t>065-44888480</t>
  </si>
  <si>
    <t>065-44888491</t>
  </si>
  <si>
    <t>065-44888502</t>
  </si>
  <si>
    <t>065-44888513</t>
  </si>
  <si>
    <t>065-44888756</t>
  </si>
  <si>
    <t>065-44888760</t>
  </si>
  <si>
    <t>065-44888804</t>
  </si>
  <si>
    <t>065-44888771</t>
  </si>
  <si>
    <t>065-44888815</t>
  </si>
  <si>
    <t>065-44888782</t>
  </si>
  <si>
    <t>065-44888826</t>
  </si>
  <si>
    <t>065-44888793</t>
  </si>
  <si>
    <t>065-44888830</t>
  </si>
  <si>
    <t>065-49643823</t>
  </si>
  <si>
    <t>065-49643845</t>
  </si>
  <si>
    <t>065-46975460</t>
  </si>
  <si>
    <t>065-46975471</t>
  </si>
  <si>
    <t>157-48063046</t>
  </si>
  <si>
    <t>157-48062932</t>
  </si>
  <si>
    <t>157-48062943</t>
  </si>
  <si>
    <t>157-48063035</t>
  </si>
  <si>
    <t>157-48063234</t>
  </si>
  <si>
    <t>157-48063105</t>
  </si>
  <si>
    <t>157-48063116</t>
  </si>
  <si>
    <t>157-48063245</t>
  </si>
  <si>
    <t>157-48063256</t>
  </si>
  <si>
    <t>157-48061856</t>
  </si>
  <si>
    <t>157-48063282</t>
  </si>
  <si>
    <t>157-48063094</t>
  </si>
  <si>
    <t>157-48062895</t>
  </si>
  <si>
    <t>157-48063142</t>
  </si>
  <si>
    <t>157-48063153</t>
  </si>
  <si>
    <t>157-48063164</t>
  </si>
  <si>
    <t>157-48062906</t>
  </si>
  <si>
    <t>157-48062910</t>
  </si>
  <si>
    <t>157-48062921</t>
  </si>
  <si>
    <t>157-48063260</t>
  </si>
  <si>
    <t>157-48063120</t>
  </si>
  <si>
    <t>157-48063131</t>
  </si>
  <si>
    <t>157-48063223</t>
  </si>
  <si>
    <t>157-48062954</t>
  </si>
  <si>
    <t>157-48062965</t>
  </si>
  <si>
    <t>157-48063050</t>
  </si>
  <si>
    <t>157-48063061</t>
  </si>
  <si>
    <t>157-48062976</t>
  </si>
  <si>
    <t>157-48062980</t>
  </si>
  <si>
    <t>157-48062991</t>
  </si>
  <si>
    <t>157-48063002</t>
  </si>
  <si>
    <t>157-48063013</t>
  </si>
  <si>
    <t>157-48063024</t>
  </si>
  <si>
    <t>157-48063212</t>
  </si>
  <si>
    <t>157-48063271</t>
  </si>
  <si>
    <t>157-48063190</t>
  </si>
  <si>
    <t>157-48063201</t>
  </si>
  <si>
    <t>160-11075481</t>
  </si>
  <si>
    <t>160-11075470</t>
  </si>
  <si>
    <t>172-92541422</t>
  </si>
  <si>
    <t>369-99411325</t>
  </si>
  <si>
    <t>369-99411314</t>
  </si>
  <si>
    <t>369-99411303</t>
  </si>
  <si>
    <t>369-99411071</t>
  </si>
  <si>
    <t>369-99410953</t>
  </si>
  <si>
    <t>369-99411082</t>
  </si>
  <si>
    <t>369-99410964</t>
  </si>
  <si>
    <t>369-99411045</t>
  </si>
  <si>
    <t>369-99411034</t>
  </si>
  <si>
    <t>369-99410986</t>
  </si>
  <si>
    <t>369-99410975</t>
  </si>
  <si>
    <t>369-99411060</t>
  </si>
  <si>
    <t>369-99411056</t>
  </si>
  <si>
    <t>369-99411012</t>
  </si>
  <si>
    <t>369-99411001</t>
  </si>
  <si>
    <t>369-99410990</t>
  </si>
  <si>
    <t>369-99410942</t>
  </si>
  <si>
    <t>369-99410931</t>
  </si>
  <si>
    <t>369-99410920</t>
  </si>
  <si>
    <t>369-99410846</t>
  </si>
  <si>
    <t>369-99410861</t>
  </si>
  <si>
    <t>369-99410684</t>
  </si>
  <si>
    <t>369-99410673</t>
  </si>
  <si>
    <t>369-99410662</t>
  </si>
  <si>
    <t>369-99410894</t>
  </si>
  <si>
    <t>369-99410872</t>
  </si>
  <si>
    <t>369-99410706</t>
  </si>
  <si>
    <t>369-99410695</t>
  </si>
  <si>
    <t>369-99410640</t>
  </si>
  <si>
    <t>369-99410636</t>
  </si>
  <si>
    <t>369-99410625</t>
  </si>
  <si>
    <t>369-99410651</t>
  </si>
  <si>
    <t>369-99410592</t>
  </si>
  <si>
    <t>369-99410614</t>
  </si>
  <si>
    <t>369-99410356</t>
  </si>
  <si>
    <t>369-99410345</t>
  </si>
  <si>
    <t>369-99410883</t>
  </si>
  <si>
    <t>369-99415175</t>
  </si>
  <si>
    <t>369-99415186</t>
  </si>
  <si>
    <t>369-99415201</t>
  </si>
  <si>
    <t>369-99415190</t>
  </si>
  <si>
    <t>369-98446585</t>
  </si>
  <si>
    <t>369-98446611</t>
  </si>
  <si>
    <t>752-30207962</t>
  </si>
  <si>
    <t>752-30207914</t>
  </si>
  <si>
    <t>752-80159155</t>
  </si>
  <si>
    <t>752-30207925</t>
  </si>
  <si>
    <t>752-30207936</t>
  </si>
  <si>
    <t>752-30207940</t>
  </si>
  <si>
    <t>752-30207951</t>
  </si>
  <si>
    <t>752-30207973</t>
  </si>
  <si>
    <t>752-30207984</t>
  </si>
  <si>
    <t>752-30207995</t>
  </si>
  <si>
    <t>752-30208006</t>
  </si>
  <si>
    <t>065-49725815</t>
  </si>
  <si>
    <t>065-46975596</t>
  </si>
  <si>
    <t>065-46975585</t>
  </si>
  <si>
    <t>065-46975574</t>
  </si>
  <si>
    <t>065-49643930</t>
  </si>
  <si>
    <t>065-49643904</t>
  </si>
  <si>
    <t>065-49643893</t>
  </si>
  <si>
    <t>065-49643860</t>
  </si>
  <si>
    <t>065-46975563</t>
  </si>
  <si>
    <t>157-48061731</t>
  </si>
  <si>
    <t>157-48061753</t>
  </si>
  <si>
    <t>157-48061720</t>
  </si>
  <si>
    <t>157-48061716</t>
  </si>
  <si>
    <t>157-48061764</t>
  </si>
  <si>
    <t>157-48067176</t>
  </si>
  <si>
    <t>157-48067191</t>
  </si>
  <si>
    <t>157-48061786</t>
  </si>
  <si>
    <t>157-48067180</t>
  </si>
  <si>
    <t>157-48061742</t>
  </si>
  <si>
    <t>157-48067202</t>
  </si>
  <si>
    <t>157-48067213</t>
  </si>
  <si>
    <t>157-48067224</t>
  </si>
  <si>
    <t>157-48067235</t>
  </si>
  <si>
    <t>157-48061775</t>
  </si>
  <si>
    <t>157-48067250</t>
  </si>
  <si>
    <t>157-48067246</t>
  </si>
  <si>
    <t>157-48067272</t>
  </si>
  <si>
    <t>157-48067294</t>
  </si>
  <si>
    <t>157-48067261</t>
  </si>
  <si>
    <t>157-48067305</t>
  </si>
  <si>
    <t>157-48067283</t>
  </si>
  <si>
    <t>157-48067331</t>
  </si>
  <si>
    <t>157-48067375</t>
  </si>
  <si>
    <t>157-48067342</t>
  </si>
  <si>
    <t>157-48067353</t>
  </si>
  <si>
    <t>157-48067364</t>
  </si>
  <si>
    <t>157-48067316</t>
  </si>
  <si>
    <t>157-48067320</t>
  </si>
  <si>
    <t>160-11075503</t>
  </si>
  <si>
    <t>160-11075492</t>
  </si>
  <si>
    <t>160-11075551</t>
  </si>
  <si>
    <t>160-11075540</t>
  </si>
  <si>
    <t>160-11075562</t>
  </si>
  <si>
    <t>157-48063621</t>
  </si>
  <si>
    <t>157-48063330</t>
  </si>
  <si>
    <t>157-48063466</t>
  </si>
  <si>
    <t>157-48063470</t>
  </si>
  <si>
    <t>157-48063341</t>
  </si>
  <si>
    <t>157-48063352</t>
  </si>
  <si>
    <t>157-48063676</t>
  </si>
  <si>
    <t>157-48063492</t>
  </si>
  <si>
    <t>157-48063632</t>
  </si>
  <si>
    <t>157-48063503</t>
  </si>
  <si>
    <t>157-48063680</t>
  </si>
  <si>
    <t>157-48063293</t>
  </si>
  <si>
    <t>157-48063551</t>
  </si>
  <si>
    <t>157-48063562</t>
  </si>
  <si>
    <t>157-48063573</t>
  </si>
  <si>
    <t>157-48063584</t>
  </si>
  <si>
    <t>157-48063643</t>
  </si>
  <si>
    <t>157-48063540</t>
  </si>
  <si>
    <t>157-48063514</t>
  </si>
  <si>
    <t>157-48063654</t>
  </si>
  <si>
    <t>157-48063525</t>
  </si>
  <si>
    <t>157-48063536</t>
  </si>
  <si>
    <t>157-48063304</t>
  </si>
  <si>
    <t>157-48063481</t>
  </si>
  <si>
    <t>157-48063315</t>
  </si>
  <si>
    <t>157-48063595</t>
  </si>
  <si>
    <t>157-48063326</t>
  </si>
  <si>
    <t>157-48063606</t>
  </si>
  <si>
    <t>157-48063455</t>
  </si>
  <si>
    <t>157-48063363</t>
  </si>
  <si>
    <t>157-48063610</t>
  </si>
  <si>
    <t>157-48063374</t>
  </si>
  <si>
    <t>157-48061613</t>
  </si>
  <si>
    <t>157-48061624</t>
  </si>
  <si>
    <t>157-48063385</t>
  </si>
  <si>
    <t>157-48061635</t>
  </si>
  <si>
    <t>157-48061646</t>
  </si>
  <si>
    <t>157-48063396</t>
  </si>
  <si>
    <t>157-48063400</t>
  </si>
  <si>
    <t>157-48063411</t>
  </si>
  <si>
    <t>157-48063422</t>
  </si>
  <si>
    <t>157-48063433</t>
  </si>
  <si>
    <t>157-48061650</t>
  </si>
  <si>
    <t>157-48063444</t>
  </si>
  <si>
    <t>157-48063665</t>
  </si>
  <si>
    <t>157-48061661</t>
  </si>
  <si>
    <t>157-48061790</t>
  </si>
  <si>
    <t>752-30208010</t>
  </si>
  <si>
    <t>752-30208021</t>
  </si>
  <si>
    <t>752-30208032</t>
  </si>
  <si>
    <t>752-30208043</t>
  </si>
  <si>
    <t>752-30208065</t>
  </si>
  <si>
    <t>752-30208076</t>
  </si>
  <si>
    <t>065-44888944</t>
  </si>
  <si>
    <t>065-44889003</t>
  </si>
  <si>
    <t>065-44888933</t>
  </si>
  <si>
    <t>065-44889014</t>
  </si>
  <si>
    <t>065-44889025</t>
  </si>
  <si>
    <t>065-44888922</t>
  </si>
  <si>
    <t>065-44889036</t>
  </si>
  <si>
    <t>065-44888524</t>
  </si>
  <si>
    <t>065-44888911</t>
  </si>
  <si>
    <t>065-44888535</t>
  </si>
  <si>
    <t>065-44888550</t>
  </si>
  <si>
    <t>065-44888561</t>
  </si>
  <si>
    <t>065-44888572</t>
  </si>
  <si>
    <t>065-44888955</t>
  </si>
  <si>
    <t>065-44888583</t>
  </si>
  <si>
    <t>065-44888594</t>
  </si>
  <si>
    <t>065-44888863</t>
  </si>
  <si>
    <t>065-44888874</t>
  </si>
  <si>
    <t>065-44888885</t>
  </si>
  <si>
    <t>065-44888852</t>
  </si>
  <si>
    <t>065-44888841</t>
  </si>
  <si>
    <t>065-44888900</t>
  </si>
  <si>
    <t>065-44888620</t>
  </si>
  <si>
    <t>065-44888631</t>
  </si>
  <si>
    <t>065-46963302</t>
  </si>
  <si>
    <t>065-46963313</t>
  </si>
  <si>
    <t>065-46963324</t>
  </si>
  <si>
    <t>065-46963335</t>
  </si>
  <si>
    <t>065-44888023</t>
  </si>
  <si>
    <t>065-44888605</t>
  </si>
  <si>
    <t>065-44888012</t>
  </si>
  <si>
    <t>065-44888001</t>
  </si>
  <si>
    <t>065-44887990</t>
  </si>
  <si>
    <t>157-48067386</t>
  </si>
  <si>
    <t>157-48067390</t>
  </si>
  <si>
    <t>157-48067401</t>
  </si>
  <si>
    <t>157-48067412</t>
  </si>
  <si>
    <t>157-48067423</t>
  </si>
  <si>
    <t>157-48067434</t>
  </si>
  <si>
    <t>157-48067445</t>
  </si>
  <si>
    <t>157-48067456</t>
  </si>
  <si>
    <t>157-48067471</t>
  </si>
  <si>
    <t>157-48067460</t>
  </si>
  <si>
    <t>157-48067482</t>
  </si>
  <si>
    <t>157-48067493</t>
  </si>
  <si>
    <t>157-48067563</t>
  </si>
  <si>
    <t>157-48067541</t>
  </si>
  <si>
    <t>157-48067552</t>
  </si>
  <si>
    <t>157-48067515</t>
  </si>
  <si>
    <t>157-48067504</t>
  </si>
  <si>
    <t>157-48067530</t>
  </si>
  <si>
    <t>157-48067526</t>
  </si>
  <si>
    <t>157-48067574</t>
  </si>
  <si>
    <t>157-48067585</t>
  </si>
  <si>
    <t>157-48067600</t>
  </si>
  <si>
    <t>157-48067611</t>
  </si>
  <si>
    <t>157-48067596</t>
  </si>
  <si>
    <t>157-48067622</t>
  </si>
  <si>
    <t>157-48067633</t>
  </si>
  <si>
    <t>157-48067644</t>
  </si>
  <si>
    <t>157-48069302</t>
  </si>
  <si>
    <t>157-48067655</t>
  </si>
  <si>
    <t>157-48067666</t>
  </si>
  <si>
    <t>157-48069265</t>
  </si>
  <si>
    <t>157-48069313</t>
  </si>
  <si>
    <t>157-48069276</t>
  </si>
  <si>
    <t>157-48069280</t>
  </si>
  <si>
    <t>157-48065942</t>
  </si>
  <si>
    <t>157-48063735</t>
  </si>
  <si>
    <t>157-48063746</t>
  </si>
  <si>
    <t>157-48063750</t>
  </si>
  <si>
    <t>157-48063886</t>
  </si>
  <si>
    <t>157-48063890</t>
  </si>
  <si>
    <t>157-48063901</t>
  </si>
  <si>
    <t>157-48063761</t>
  </si>
  <si>
    <t>157-48063912</t>
  </si>
  <si>
    <t>157-48063923</t>
  </si>
  <si>
    <t>157-48065990</t>
  </si>
  <si>
    <t>157-48065953</t>
  </si>
  <si>
    <t>157-48065975</t>
  </si>
  <si>
    <t>157-48063864</t>
  </si>
  <si>
    <t>157-48065986</t>
  </si>
  <si>
    <t>157-48063875</t>
  </si>
  <si>
    <t>157-48066001</t>
  </si>
  <si>
    <t>157-48063853</t>
  </si>
  <si>
    <t>157-48063691</t>
  </si>
  <si>
    <t>157-48063945</t>
  </si>
  <si>
    <t>157-48063702</t>
  </si>
  <si>
    <t>157-48063956</t>
  </si>
  <si>
    <t>157-48063713</t>
  </si>
  <si>
    <t>157-48063960</t>
  </si>
  <si>
    <t>157-48063934</t>
  </si>
  <si>
    <t>157-48063724</t>
  </si>
  <si>
    <t>157-48063772</t>
  </si>
  <si>
    <t>157-48063783</t>
  </si>
  <si>
    <t>157-48065894</t>
  </si>
  <si>
    <t>157-48065905</t>
  </si>
  <si>
    <t>157-48063794</t>
  </si>
  <si>
    <t>157-48063805</t>
  </si>
  <si>
    <t>157-48065931</t>
  </si>
  <si>
    <t>157-48063816</t>
  </si>
  <si>
    <t>157-48063820</t>
  </si>
  <si>
    <t>157-48065916</t>
  </si>
  <si>
    <t>157-48065920</t>
  </si>
  <si>
    <t>157-48063831</t>
  </si>
  <si>
    <t>157-48063842</t>
  </si>
  <si>
    <t>157-48065964</t>
  </si>
  <si>
    <t>157-48061915</t>
  </si>
  <si>
    <t>157-48061926</t>
  </si>
  <si>
    <t>157-48061930</t>
  </si>
  <si>
    <t>157-48061941</t>
  </si>
  <si>
    <t>157-48061952</t>
  </si>
  <si>
    <t>157-48061963</t>
  </si>
  <si>
    <t>157-48061974</t>
  </si>
  <si>
    <t>157-48069173</t>
  </si>
  <si>
    <t>157-48069184</t>
  </si>
  <si>
    <t>157-48069195</t>
  </si>
  <si>
    <t>157-48069206</t>
  </si>
  <si>
    <t>157-48069210</t>
  </si>
  <si>
    <t>157-48069221</t>
  </si>
  <si>
    <t>157-48069232</t>
  </si>
  <si>
    <t>157-48069243</t>
  </si>
  <si>
    <t>157-48069254</t>
  </si>
  <si>
    <t>157-48071181</t>
  </si>
  <si>
    <t>157-48071192</t>
  </si>
  <si>
    <t>157-48071203</t>
  </si>
  <si>
    <t>157-48071214</t>
  </si>
  <si>
    <t>157-48071225</t>
  </si>
  <si>
    <t>157-48071236</t>
  </si>
  <si>
    <t>157-48071240</t>
  </si>
  <si>
    <t>157-48071251</t>
  </si>
  <si>
    <t>157-48071262</t>
  </si>
  <si>
    <t>157-48071273</t>
  </si>
  <si>
    <t>157-48071284</t>
  </si>
  <si>
    <t>157-48071295</t>
  </si>
  <si>
    <t>157-48071306</t>
  </si>
  <si>
    <t>157-48071310</t>
  </si>
  <si>
    <t>157-48071321</t>
  </si>
  <si>
    <t>157-48071332</t>
  </si>
  <si>
    <t>157-48071343</t>
  </si>
  <si>
    <t>157-48071354</t>
  </si>
  <si>
    <t>157-48071365</t>
  </si>
  <si>
    <t>157-48071376</t>
  </si>
  <si>
    <t>157-48071380</t>
  </si>
  <si>
    <t>157-48071391</t>
  </si>
  <si>
    <t>157-48071402</t>
  </si>
  <si>
    <t>157-48071413</t>
  </si>
  <si>
    <t>157-48071424</t>
  </si>
  <si>
    <t>157-48071435</t>
  </si>
  <si>
    <t>157-48071446</t>
  </si>
  <si>
    <t>157-48071450</t>
  </si>
  <si>
    <t>157-48071461</t>
  </si>
  <si>
    <t>157-48071472</t>
  </si>
  <si>
    <t>157-48071483</t>
  </si>
  <si>
    <t>157-48071494</t>
  </si>
  <si>
    <t>157-48071505</t>
  </si>
  <si>
    <t>160-11075584</t>
  </si>
  <si>
    <t>160-11075573</t>
  </si>
  <si>
    <t>369-99411852</t>
  </si>
  <si>
    <t>369-99411841</t>
  </si>
  <si>
    <t>369-99411815</t>
  </si>
  <si>
    <t>369-99411454</t>
  </si>
  <si>
    <t>369-99411443</t>
  </si>
  <si>
    <t>369-99411723</t>
  </si>
  <si>
    <t>369-99411712</t>
  </si>
  <si>
    <t>369-99411701</t>
  </si>
  <si>
    <t>369-99411690</t>
  </si>
  <si>
    <t>369-99411686</t>
  </si>
  <si>
    <t>369-99411675</t>
  </si>
  <si>
    <t>369-99411664</t>
  </si>
  <si>
    <t>369-99411653</t>
  </si>
  <si>
    <t>369-99411642</t>
  </si>
  <si>
    <t>369-99411631</t>
  </si>
  <si>
    <t>369-99411620</t>
  </si>
  <si>
    <t>369-99411616</t>
  </si>
  <si>
    <t>369-99411605</t>
  </si>
  <si>
    <t>369-99411594</t>
  </si>
  <si>
    <t>369-99411583</t>
  </si>
  <si>
    <t>369-99411572</t>
  </si>
  <si>
    <t>369-99411561</t>
  </si>
  <si>
    <t>369-99411550</t>
  </si>
  <si>
    <t>369-99411546</t>
  </si>
  <si>
    <t>369-99411513</t>
  </si>
  <si>
    <t>369-99411502</t>
  </si>
  <si>
    <t>369-99411491</t>
  </si>
  <si>
    <t>369-99411480</t>
  </si>
  <si>
    <t>369-99411476</t>
  </si>
  <si>
    <t>369-99411465</t>
  </si>
  <si>
    <t>369-99411255</t>
  </si>
  <si>
    <t>369-99411233</t>
  </si>
  <si>
    <t>369-99411244</t>
  </si>
  <si>
    <t>369-99410916</t>
  </si>
  <si>
    <t>369-99410905</t>
  </si>
  <si>
    <t>369-99410850</t>
  </si>
  <si>
    <t>369-99407081</t>
  </si>
  <si>
    <t>369-99407092</t>
  </si>
  <si>
    <t>752-30208102</t>
  </si>
  <si>
    <t>752-30208091</t>
  </si>
  <si>
    <t>752-30208080</t>
  </si>
  <si>
    <t>752-30208054</t>
  </si>
  <si>
    <t>752-30208113</t>
  </si>
  <si>
    <t>752-30208124</t>
  </si>
  <si>
    <t>752-30208135</t>
  </si>
  <si>
    <t>752-30208146</t>
  </si>
  <si>
    <t>752-30208150</t>
  </si>
  <si>
    <t>752-30208161</t>
  </si>
  <si>
    <t>752-30208172</t>
  </si>
  <si>
    <t>752-30208183</t>
  </si>
  <si>
    <t>065-46975493</t>
  </si>
  <si>
    <t>065-46975504</t>
  </si>
  <si>
    <t>065-46975515</t>
  </si>
  <si>
    <t>065-46975600</t>
  </si>
  <si>
    <t>065-46975622</t>
  </si>
  <si>
    <t>065-46975611</t>
  </si>
  <si>
    <t>065-46975482</t>
  </si>
  <si>
    <t>752-30208194</t>
  </si>
  <si>
    <t>752-30208205</t>
  </si>
  <si>
    <t>752-30208216</t>
  </si>
  <si>
    <t>752-30208220</t>
  </si>
  <si>
    <t>752-30208231</t>
  </si>
  <si>
    <t>752-30208242</t>
  </si>
  <si>
    <t>752-30208253</t>
  </si>
  <si>
    <t>160-12267275</t>
  </si>
  <si>
    <t>160-11075606</t>
  </si>
  <si>
    <t>936-02197812</t>
  </si>
  <si>
    <t>936-02197764</t>
  </si>
  <si>
    <t>014-24365305</t>
  </si>
  <si>
    <t>157-48069335</t>
  </si>
  <si>
    <t>157-48074121</t>
  </si>
  <si>
    <t>157-48074110</t>
  </si>
  <si>
    <t>157-48074132</t>
  </si>
  <si>
    <t>157-48074165</t>
  </si>
  <si>
    <t>157-48069346</t>
  </si>
  <si>
    <t>157-48074154</t>
  </si>
  <si>
    <t>157-48074176</t>
  </si>
  <si>
    <t>157-48069324</t>
  </si>
  <si>
    <t>157-48074143</t>
  </si>
  <si>
    <t>157-48074180</t>
  </si>
  <si>
    <t>157-48074191</t>
  </si>
  <si>
    <t>157-48074202</t>
  </si>
  <si>
    <t>157-48074250</t>
  </si>
  <si>
    <t>157-48074261</t>
  </si>
  <si>
    <t>157-48074283</t>
  </si>
  <si>
    <t>157-48074272</t>
  </si>
  <si>
    <t>157-48074224</t>
  </si>
  <si>
    <t>157-48074246</t>
  </si>
  <si>
    <t>157-48074213</t>
  </si>
  <si>
    <t>157-48074235</t>
  </si>
  <si>
    <t>157-48074294</t>
  </si>
  <si>
    <t>157-48074305</t>
  </si>
  <si>
    <t>157-48069291</t>
  </si>
  <si>
    <t>157-48074316</t>
  </si>
  <si>
    <t>157-48074320</t>
  </si>
  <si>
    <t>157-48074331</t>
  </si>
  <si>
    <t>157-48074342</t>
  </si>
  <si>
    <t>157-48069630</t>
  </si>
  <si>
    <t>157-48069663</t>
  </si>
  <si>
    <t>157-48069674</t>
  </si>
  <si>
    <t>157-48069652</t>
  </si>
  <si>
    <t>157-48069700</t>
  </si>
  <si>
    <t>157-48069711</t>
  </si>
  <si>
    <t>157-48069350</t>
  </si>
  <si>
    <t>157-48069361</t>
  </si>
  <si>
    <t>157-48074106</t>
  </si>
  <si>
    <t>157-48069685</t>
  </si>
  <si>
    <t>157-48069641</t>
  </si>
  <si>
    <t>157-48069722</t>
  </si>
  <si>
    <t>157-48069696</t>
  </si>
  <si>
    <t>157-48073115</t>
  </si>
  <si>
    <t>157-48069420</t>
  </si>
  <si>
    <t>157-48069431</t>
  </si>
  <si>
    <t>157-48069442</t>
  </si>
  <si>
    <t>157-48073126</t>
  </si>
  <si>
    <t>157-48073130</t>
  </si>
  <si>
    <t>157-48073141</t>
  </si>
  <si>
    <t>157-48073152</t>
  </si>
  <si>
    <t>157-48073163</t>
  </si>
  <si>
    <t>157-48069405</t>
  </si>
  <si>
    <t>157-48073384</t>
  </si>
  <si>
    <t>157-48073174</t>
  </si>
  <si>
    <t>157-48069383</t>
  </si>
  <si>
    <t>157-48073185</t>
  </si>
  <si>
    <t>157-48069394</t>
  </si>
  <si>
    <t>157-48073196</t>
  </si>
  <si>
    <t>157-48073432</t>
  </si>
  <si>
    <t>157-48069372</t>
  </si>
  <si>
    <t>157-48073200</t>
  </si>
  <si>
    <t>157-48073410</t>
  </si>
  <si>
    <t>157-48073373</t>
  </si>
  <si>
    <t>157-48073211</t>
  </si>
  <si>
    <t>157-48073395</t>
  </si>
  <si>
    <t>157-48073222</t>
  </si>
  <si>
    <t>157-48073233</t>
  </si>
  <si>
    <t>157-48073362</t>
  </si>
  <si>
    <t>157-48073244</t>
  </si>
  <si>
    <t>157-48073255</t>
  </si>
  <si>
    <t>157-48073266</t>
  </si>
  <si>
    <t>157-48073406</t>
  </si>
  <si>
    <t>157-48073351</t>
  </si>
  <si>
    <t>157-48073270</t>
  </si>
  <si>
    <t>157-48073281</t>
  </si>
  <si>
    <t>157-48073292</t>
  </si>
  <si>
    <t>157-48073303</t>
  </si>
  <si>
    <t>157-48073421</t>
  </si>
  <si>
    <t>157-48073314</t>
  </si>
  <si>
    <t>157-48073325</t>
  </si>
  <si>
    <t>157-48069416</t>
  </si>
  <si>
    <t>157-48073336</t>
  </si>
  <si>
    <t>157-48073340</t>
  </si>
  <si>
    <t>157-48061801</t>
  </si>
  <si>
    <t>157-48061812</t>
  </si>
  <si>
    <t>157-48061823</t>
  </si>
  <si>
    <t>157-48061834</t>
  </si>
  <si>
    <t>160-12267290</t>
  </si>
  <si>
    <t>160-12267286</t>
  </si>
  <si>
    <t>369-99412471</t>
  </si>
  <si>
    <t>369-99412460</t>
  </si>
  <si>
    <t>369-99412456</t>
  </si>
  <si>
    <t>369-99412445</t>
  </si>
  <si>
    <t>369-99412434</t>
  </si>
  <si>
    <t>369-99412401</t>
  </si>
  <si>
    <t>369-99412390</t>
  </si>
  <si>
    <t>369-99412423</t>
  </si>
  <si>
    <t>369-99412412</t>
  </si>
  <si>
    <t>369-99412386</t>
  </si>
  <si>
    <t>369-99412375</t>
  </si>
  <si>
    <t>369-99412364</t>
  </si>
  <si>
    <t>369-99412202</t>
  </si>
  <si>
    <t>369-99412331</t>
  </si>
  <si>
    <t>369-99412261</t>
  </si>
  <si>
    <t>369-99412250</t>
  </si>
  <si>
    <t>369-99412246</t>
  </si>
  <si>
    <t>369-99412235</t>
  </si>
  <si>
    <t>369-99412191</t>
  </si>
  <si>
    <t>369-99412272</t>
  </si>
  <si>
    <t>369-99412224</t>
  </si>
  <si>
    <t>369-99412213</t>
  </si>
  <si>
    <t>369-99412320</t>
  </si>
  <si>
    <t>369-99412316</t>
  </si>
  <si>
    <t>369-99412305</t>
  </si>
  <si>
    <t>369-99412062</t>
  </si>
  <si>
    <t>369-99412051</t>
  </si>
  <si>
    <t>369-99412040</t>
  </si>
  <si>
    <t>369-99412036</t>
  </si>
  <si>
    <t>369-99412025</t>
  </si>
  <si>
    <t>369-99412014</t>
  </si>
  <si>
    <t>369-99412110</t>
  </si>
  <si>
    <t>369-99412106</t>
  </si>
  <si>
    <t>369-99412095</t>
  </si>
  <si>
    <t>369-99412084</t>
  </si>
  <si>
    <t>369-99412073</t>
  </si>
  <si>
    <t>369-99411830</t>
  </si>
  <si>
    <t>369-99412353</t>
  </si>
  <si>
    <t>936-00315092</t>
  </si>
  <si>
    <t>936-00315103</t>
  </si>
  <si>
    <t>936-00315114</t>
  </si>
  <si>
    <t>936-00315125</t>
  </si>
  <si>
    <t>936-00315136</t>
  </si>
  <si>
    <t>936-00315140</t>
  </si>
  <si>
    <t>936-00315151</t>
  </si>
  <si>
    <t>936-00315162</t>
  </si>
  <si>
    <t>HX618</t>
  </si>
  <si>
    <t>014-24473713</t>
  </si>
  <si>
    <t>065-44888896</t>
  </si>
  <si>
    <t>065-44888966</t>
  </si>
  <si>
    <t>065-44889445</t>
  </si>
  <si>
    <t>065-44889854</t>
  </si>
  <si>
    <t>065-44888970</t>
  </si>
  <si>
    <t>065-44888981</t>
  </si>
  <si>
    <t>065-44888616</t>
  </si>
  <si>
    <t>065-44888992</t>
  </si>
  <si>
    <t>065-44889471</t>
  </si>
  <si>
    <t>065-44889261</t>
  </si>
  <si>
    <t>065-44889272</t>
  </si>
  <si>
    <t>065-44889283</t>
  </si>
  <si>
    <t>065-44889294</t>
  </si>
  <si>
    <t>065-44889305</t>
  </si>
  <si>
    <t>065-44889316</t>
  </si>
  <si>
    <t>065-44889320</t>
  </si>
  <si>
    <t>065-44889331</t>
  </si>
  <si>
    <t>065-44889342</t>
  </si>
  <si>
    <t>065-44889434</t>
  </si>
  <si>
    <t>065-46975530</t>
  </si>
  <si>
    <t>065-46975541</t>
  </si>
  <si>
    <t>065-46975552</t>
  </si>
  <si>
    <t>065-46975633</t>
  </si>
  <si>
    <t>065-46975526</t>
  </si>
  <si>
    <t>065-46975644</t>
  </si>
  <si>
    <t>065-46975655</t>
  </si>
  <si>
    <t>BA032</t>
  </si>
  <si>
    <t>125-22427882</t>
  </si>
  <si>
    <t>125-22427871</t>
  </si>
  <si>
    <t>160-12267312</t>
  </si>
  <si>
    <t>160-12267301</t>
  </si>
  <si>
    <t>235-97854945</t>
  </si>
  <si>
    <t>235-97855435</t>
  </si>
  <si>
    <t>235-97854831</t>
  </si>
  <si>
    <t>752-30208334</t>
  </si>
  <si>
    <t>752-30208323</t>
  </si>
  <si>
    <t>752-30208312</t>
  </si>
  <si>
    <t>752-30208290</t>
  </si>
  <si>
    <t>752-30208301</t>
  </si>
  <si>
    <t>752-30208286</t>
  </si>
  <si>
    <t>752-30208275</t>
  </si>
  <si>
    <t>752-30208264</t>
  </si>
  <si>
    <t>157-48071516</t>
  </si>
  <si>
    <t>157-48071774</t>
  </si>
  <si>
    <t>157-48071785</t>
  </si>
  <si>
    <t>157-48071811</t>
  </si>
  <si>
    <t>157-48071520</t>
  </si>
  <si>
    <t>157-48071796</t>
  </si>
  <si>
    <t>157-48069475</t>
  </si>
  <si>
    <t>157-48069486</t>
  </si>
  <si>
    <t>157-48069490</t>
  </si>
  <si>
    <t>157-48071531</t>
  </si>
  <si>
    <t>157-48069512</t>
  </si>
  <si>
    <t>157-48071542</t>
  </si>
  <si>
    <t>157-48069523</t>
  </si>
  <si>
    <t>157-48071704</t>
  </si>
  <si>
    <t>157-48071553</t>
  </si>
  <si>
    <t>157-48071564</t>
  </si>
  <si>
    <t>157-48071575</t>
  </si>
  <si>
    <t>157-48071586</t>
  </si>
  <si>
    <t>157-48071590</t>
  </si>
  <si>
    <t>157-48069501</t>
  </si>
  <si>
    <t>157-48071601</t>
  </si>
  <si>
    <t>157-48071822</t>
  </si>
  <si>
    <t>157-48071833</t>
  </si>
  <si>
    <t>157-48071855</t>
  </si>
  <si>
    <t>157-48071715</t>
  </si>
  <si>
    <t>157-48071866</t>
  </si>
  <si>
    <t>157-48071870</t>
  </si>
  <si>
    <t>157-48071741</t>
  </si>
  <si>
    <t>157-48071752</t>
  </si>
  <si>
    <t>157-48071763</t>
  </si>
  <si>
    <t>157-48071800</t>
  </si>
  <si>
    <t>157-48071726</t>
  </si>
  <si>
    <t>157-48071903</t>
  </si>
  <si>
    <t>157-48071671</t>
  </si>
  <si>
    <t>157-48071730</t>
  </si>
  <si>
    <t>157-48071693</t>
  </si>
  <si>
    <t>157-48071844</t>
  </si>
  <si>
    <t>157-48069534</t>
  </si>
  <si>
    <t>157-48071612</t>
  </si>
  <si>
    <t>157-48071623</t>
  </si>
  <si>
    <t>157-48069545</t>
  </si>
  <si>
    <t>157-48071634</t>
  </si>
  <si>
    <t>157-48069560</t>
  </si>
  <si>
    <t>157-48069571</t>
  </si>
  <si>
    <t>157-48069582</t>
  </si>
  <si>
    <t>157-48071645</t>
  </si>
  <si>
    <t>157-48071656</t>
  </si>
  <si>
    <t>157-48069593</t>
  </si>
  <si>
    <t>157-48071660</t>
  </si>
  <si>
    <t>157-48069604</t>
  </si>
  <si>
    <t>157-48069615</t>
  </si>
  <si>
    <t>157-48071892</t>
  </si>
  <si>
    <t>157-48069626</t>
  </si>
  <si>
    <t>157-48061845</t>
  </si>
  <si>
    <t>157-48061860</t>
  </si>
  <si>
    <t>157-48061871</t>
  </si>
  <si>
    <t>157-48061882</t>
  </si>
  <si>
    <t>157-48061893</t>
  </si>
  <si>
    <t>157-48061904</t>
  </si>
  <si>
    <t>157-48069464</t>
  </si>
  <si>
    <t>157-48069840</t>
  </si>
  <si>
    <t>157-48069851</t>
  </si>
  <si>
    <t>157-48069862</t>
  </si>
  <si>
    <t>157-48069873</t>
  </si>
  <si>
    <t>157-48069884</t>
  </si>
  <si>
    <t>157-48069895</t>
  </si>
  <si>
    <t>157-48069906</t>
  </si>
  <si>
    <t>157-48070050</t>
  </si>
  <si>
    <t>157-48070061</t>
  </si>
  <si>
    <t>157-48073443</t>
  </si>
  <si>
    <t>157-48073454</t>
  </si>
  <si>
    <t>157-48073465</t>
  </si>
  <si>
    <t>157-48073476</t>
  </si>
  <si>
    <t>157-48073480</t>
  </si>
  <si>
    <t>157-48073491</t>
  </si>
  <si>
    <t>157-48073502</t>
  </si>
  <si>
    <t>157-48073513</t>
  </si>
  <si>
    <t>157-48073524</t>
  </si>
  <si>
    <t>157-48073535</t>
  </si>
  <si>
    <t>157-48073546</t>
  </si>
  <si>
    <t>157-48073550</t>
  </si>
  <si>
    <t>157-48073561</t>
  </si>
  <si>
    <t>157-48073572</t>
  </si>
  <si>
    <t>157-48073583</t>
  </si>
  <si>
    <t>157-48073594</t>
  </si>
  <si>
    <t>157-48073605</t>
  </si>
  <si>
    <t>157-48073616</t>
  </si>
  <si>
    <t>157-48073620</t>
  </si>
  <si>
    <t>157-48073631</t>
  </si>
  <si>
    <t>157-48073642</t>
  </si>
  <si>
    <t>157-48073653</t>
  </si>
  <si>
    <t>157-48073664</t>
  </si>
  <si>
    <t>157-48073675</t>
  </si>
  <si>
    <t>157-48073686</t>
  </si>
  <si>
    <t>157-48073690</t>
  </si>
  <si>
    <t>157-48073701</t>
  </si>
  <si>
    <t>157-48073712</t>
  </si>
  <si>
    <t>157-48073723</t>
  </si>
  <si>
    <t>157-48073734</t>
  </si>
  <si>
    <t>157-48073745</t>
  </si>
  <si>
    <t>157-48073756</t>
  </si>
  <si>
    <t>157-48073760</t>
  </si>
  <si>
    <t>157-48069733</t>
  </si>
  <si>
    <t>157-48069744</t>
  </si>
  <si>
    <t>157-48069766</t>
  </si>
  <si>
    <t>157-48074401</t>
  </si>
  <si>
    <t>157-48069755</t>
  </si>
  <si>
    <t>157-48069814</t>
  </si>
  <si>
    <t>157-48069803</t>
  </si>
  <si>
    <t>157-48069792</t>
  </si>
  <si>
    <t>157-48069781</t>
  </si>
  <si>
    <t>157-48069770</t>
  </si>
  <si>
    <t>157-48074386</t>
  </si>
  <si>
    <t>157-48074412</t>
  </si>
  <si>
    <t>157-48074423</t>
  </si>
  <si>
    <t>157-48074434</t>
  </si>
  <si>
    <t>157-48074390</t>
  </si>
  <si>
    <t>157-48074445</t>
  </si>
  <si>
    <t>157-48074456</t>
  </si>
  <si>
    <t>157-48074471</t>
  </si>
  <si>
    <t>157-48074460</t>
  </si>
  <si>
    <t>157-48074552</t>
  </si>
  <si>
    <t>157-48074563</t>
  </si>
  <si>
    <t>157-48074585</t>
  </si>
  <si>
    <t>157-48074574</t>
  </si>
  <si>
    <t>157-48074596</t>
  </si>
  <si>
    <t>157-48074482</t>
  </si>
  <si>
    <t>157-48074493</t>
  </si>
  <si>
    <t>157-48074515</t>
  </si>
  <si>
    <t>157-48074526</t>
  </si>
  <si>
    <t>157-48074504</t>
  </si>
  <si>
    <t>157-48069825</t>
  </si>
  <si>
    <t>157-48069836</t>
  </si>
  <si>
    <t>157-48069910</t>
  </si>
  <si>
    <t>157-48074530</t>
  </si>
  <si>
    <t>157-48069921</t>
  </si>
  <si>
    <t>157-48069932</t>
  </si>
  <si>
    <t>157-48069943</t>
  </si>
  <si>
    <t>157-48069954</t>
  </si>
  <si>
    <t>157-48074541</t>
  </si>
  <si>
    <t>157-48069980</t>
  </si>
  <si>
    <t>157-48069965</t>
  </si>
  <si>
    <t>157-48069976</t>
  </si>
  <si>
    <t>157-48074353</t>
  </si>
  <si>
    <t>157-48074364</t>
  </si>
  <si>
    <t>157-48074375</t>
  </si>
  <si>
    <t>160-12267356</t>
  </si>
  <si>
    <t>160-12267345</t>
  </si>
  <si>
    <t>160-12267360</t>
  </si>
  <si>
    <t>160-12267323</t>
  </si>
  <si>
    <t>160-12267334</t>
  </si>
  <si>
    <t>936-00315173</t>
  </si>
  <si>
    <t>936-00315184</t>
  </si>
  <si>
    <t>936-00315195</t>
  </si>
  <si>
    <t>936-00315206</t>
  </si>
  <si>
    <t>936-00315210</t>
  </si>
  <si>
    <t>936-00315221</t>
  </si>
  <si>
    <t>936-00315232</t>
  </si>
  <si>
    <t>936-00315243</t>
  </si>
  <si>
    <t>936-00315254</t>
  </si>
  <si>
    <t>936-00315265</t>
  </si>
  <si>
    <t>936-00315276</t>
  </si>
  <si>
    <t>065-46975294</t>
  </si>
  <si>
    <t>065-46975666</t>
  </si>
  <si>
    <t>065-46975305</t>
  </si>
  <si>
    <t>065-46975670</t>
  </si>
  <si>
    <t>065-46975331</t>
  </si>
  <si>
    <t>065-46975342</t>
  </si>
  <si>
    <t>065-46973382</t>
  </si>
  <si>
    <t>065-46973371</t>
  </si>
  <si>
    <t>065-46975316</t>
  </si>
  <si>
    <t>160-12267371</t>
  </si>
  <si>
    <t>160-12267382</t>
  </si>
  <si>
    <t>157-48072290</t>
  </si>
  <si>
    <t>157-48072253</t>
  </si>
  <si>
    <t>157-48072080</t>
  </si>
  <si>
    <t>157-48072264</t>
  </si>
  <si>
    <t>157-48072102</t>
  </si>
  <si>
    <t>157-48072113</t>
  </si>
  <si>
    <t>157-48072146</t>
  </si>
  <si>
    <t>157-48072150</t>
  </si>
  <si>
    <t>157-48072286</t>
  </si>
  <si>
    <t>157-48071881</t>
  </si>
  <si>
    <t>157-48071682</t>
  </si>
  <si>
    <t>157-48072242</t>
  </si>
  <si>
    <t>157-48072091</t>
  </si>
  <si>
    <t>157-48072124</t>
  </si>
  <si>
    <t>157-48072135</t>
  </si>
  <si>
    <t>157-48072301</t>
  </si>
  <si>
    <t>157-48072161</t>
  </si>
  <si>
    <t>157-48071951</t>
  </si>
  <si>
    <t>157-48072172</t>
  </si>
  <si>
    <t>157-48072183</t>
  </si>
  <si>
    <t>157-48072205</t>
  </si>
  <si>
    <t>157-48072216</t>
  </si>
  <si>
    <t>157-48072220</t>
  </si>
  <si>
    <t>157-48072194</t>
  </si>
  <si>
    <t>157-48071995</t>
  </si>
  <si>
    <t>157-48072006</t>
  </si>
  <si>
    <t>157-48072231</t>
  </si>
  <si>
    <t>157-48072076</t>
  </si>
  <si>
    <t>157-48070083</t>
  </si>
  <si>
    <t>157-48071914</t>
  </si>
  <si>
    <t>157-48070094</t>
  </si>
  <si>
    <t>157-48070120</t>
  </si>
  <si>
    <t>157-48070153</t>
  </si>
  <si>
    <t>157-48071925</t>
  </si>
  <si>
    <t>157-48070105</t>
  </si>
  <si>
    <t>157-48071936</t>
  </si>
  <si>
    <t>157-48070116</t>
  </si>
  <si>
    <t>157-48071940</t>
  </si>
  <si>
    <t>157-48070131</t>
  </si>
  <si>
    <t>157-48070142</t>
  </si>
  <si>
    <t>157-48071962</t>
  </si>
  <si>
    <t>157-48071973</t>
  </si>
  <si>
    <t>157-48070164</t>
  </si>
  <si>
    <t>157-48071984</t>
  </si>
  <si>
    <t>157-51281786</t>
  </si>
  <si>
    <t>157-48072010</t>
  </si>
  <si>
    <t>157-48072021</t>
  </si>
  <si>
    <t>157-48072032</t>
  </si>
  <si>
    <t>157-48072043</t>
  </si>
  <si>
    <t>157-51281790</t>
  </si>
  <si>
    <t>157-51281801</t>
  </si>
  <si>
    <t>157-48072054</t>
  </si>
  <si>
    <t>157-51281812</t>
  </si>
  <si>
    <t>157-51281834</t>
  </si>
  <si>
    <t>157-51281823</t>
  </si>
  <si>
    <t>157-48072065</t>
  </si>
  <si>
    <t>157-51281845</t>
  </si>
  <si>
    <t>157-51281856</t>
  </si>
  <si>
    <t>157-51281860</t>
  </si>
  <si>
    <t>157-51281871</t>
  </si>
  <si>
    <t>157-51281882</t>
  </si>
  <si>
    <t>157-48072275</t>
  </si>
  <si>
    <t>157-51281893</t>
  </si>
  <si>
    <t>157-51281904</t>
  </si>
  <si>
    <t>157-51281915</t>
  </si>
  <si>
    <t>157-51281926</t>
  </si>
  <si>
    <t>752-30208360</t>
  </si>
  <si>
    <t>752-30208356</t>
  </si>
  <si>
    <t>752-30208345</t>
  </si>
  <si>
    <t>752-30208371</t>
  </si>
  <si>
    <t>752-30208393</t>
  </si>
  <si>
    <t>752-30208404</t>
  </si>
  <si>
    <t>752-30208415</t>
  </si>
  <si>
    <t>752-30208426</t>
  </si>
  <si>
    <t>752-30208430</t>
  </si>
  <si>
    <t>065-44889515</t>
  </si>
  <si>
    <t>065-44889504</t>
  </si>
  <si>
    <t>065-44889482</t>
  </si>
  <si>
    <t>065-44889913</t>
  </si>
  <si>
    <t>065-44889902</t>
  </si>
  <si>
    <t>065-44889493</t>
  </si>
  <si>
    <t>065-44889526</t>
  </si>
  <si>
    <t>065-44889924</t>
  </si>
  <si>
    <t>065-44889530</t>
  </si>
  <si>
    <t>065-44889596</t>
  </si>
  <si>
    <t>065-44889600</t>
  </si>
  <si>
    <t>065-44889611</t>
  </si>
  <si>
    <t>065-44889541</t>
  </si>
  <si>
    <t>065-44889935</t>
  </si>
  <si>
    <t>065-44889983</t>
  </si>
  <si>
    <t>065-44889552</t>
  </si>
  <si>
    <t>065-44890005</t>
  </si>
  <si>
    <t>065-44890016</t>
  </si>
  <si>
    <t>065-44890020</t>
  </si>
  <si>
    <t>065-44890031</t>
  </si>
  <si>
    <t>065-44889622</t>
  </si>
  <si>
    <t>065-44889633</t>
  </si>
  <si>
    <t>065-44889994</t>
  </si>
  <si>
    <t>065-44890042</t>
  </si>
  <si>
    <t>065-44890064</t>
  </si>
  <si>
    <t>065-44890053</t>
  </si>
  <si>
    <t>065-44889563</t>
  </si>
  <si>
    <t>065-46975386</t>
  </si>
  <si>
    <t>065-46973404</t>
  </si>
  <si>
    <t>065-46973393</t>
  </si>
  <si>
    <t>065-46975353</t>
  </si>
  <si>
    <t>157-48072356</t>
  </si>
  <si>
    <t>157-48072360</t>
  </si>
  <si>
    <t>157-48072371</t>
  </si>
  <si>
    <t>157-48072651</t>
  </si>
  <si>
    <t>157-48072500</t>
  </si>
  <si>
    <t>157-48072662</t>
  </si>
  <si>
    <t>157-48072706</t>
  </si>
  <si>
    <t>157-48072640</t>
  </si>
  <si>
    <t>157-48072522</t>
  </si>
  <si>
    <t>157-48072533</t>
  </si>
  <si>
    <t>157-48072673</t>
  </si>
  <si>
    <t>157-48072511</t>
  </si>
  <si>
    <t>157-48072382</t>
  </si>
  <si>
    <t>157-48072566</t>
  </si>
  <si>
    <t>157-48072684</t>
  </si>
  <si>
    <t>157-48072544</t>
  </si>
  <si>
    <t>157-48072555</t>
  </si>
  <si>
    <t>157-48072485</t>
  </si>
  <si>
    <t>157-48072496</t>
  </si>
  <si>
    <t>157-48072312</t>
  </si>
  <si>
    <t>157-48072570</t>
  </si>
  <si>
    <t>157-48072323</t>
  </si>
  <si>
    <t>157-48072581</t>
  </si>
  <si>
    <t>157-48072592</t>
  </si>
  <si>
    <t>157-48072334</t>
  </si>
  <si>
    <t>157-48072603</t>
  </si>
  <si>
    <t>157-48072614</t>
  </si>
  <si>
    <t>157-48072625</t>
  </si>
  <si>
    <t>157-48072345</t>
  </si>
  <si>
    <t>157-48072636</t>
  </si>
  <si>
    <t>157-48072393</t>
  </si>
  <si>
    <t>157-48072404</t>
  </si>
  <si>
    <t>157-48072430</t>
  </si>
  <si>
    <t>157-51281952</t>
  </si>
  <si>
    <t>157-51281963</t>
  </si>
  <si>
    <t>157-51281974</t>
  </si>
  <si>
    <t>157-48072441</t>
  </si>
  <si>
    <t>157-51281930</t>
  </si>
  <si>
    <t>157-51281941</t>
  </si>
  <si>
    <t>157-48072452</t>
  </si>
  <si>
    <t>157-51281996</t>
  </si>
  <si>
    <t>157-51282000</t>
  </si>
  <si>
    <t>157-51282011</t>
  </si>
  <si>
    <t>157-48072463</t>
  </si>
  <si>
    <t>157-51282022</t>
  </si>
  <si>
    <t>157-51282033</t>
  </si>
  <si>
    <t>157-51282044</t>
  </si>
  <si>
    <t>157-51282055</t>
  </si>
  <si>
    <t>157-48072695</t>
  </si>
  <si>
    <t>157-48072426</t>
  </si>
  <si>
    <t>157-51281985</t>
  </si>
  <si>
    <t>157-51282066</t>
  </si>
  <si>
    <t>157-51282070</t>
  </si>
  <si>
    <t>157-51282081</t>
  </si>
  <si>
    <t>157-48072415</t>
  </si>
  <si>
    <t>157-51282092</t>
  </si>
  <si>
    <t>157-51282103</t>
  </si>
  <si>
    <t>157-51282114</t>
  </si>
  <si>
    <t>157-51282125</t>
  </si>
  <si>
    <t>157-51282136</t>
  </si>
  <si>
    <t>160-12267415</t>
  </si>
  <si>
    <t>160-12267430</t>
  </si>
  <si>
    <t>160-12267426</t>
  </si>
  <si>
    <t>752-30208441</t>
  </si>
  <si>
    <t>752-30208452</t>
  </si>
  <si>
    <t>752-30208463</t>
  </si>
  <si>
    <t>752-30208474</t>
  </si>
  <si>
    <t>752-30208485</t>
  </si>
  <si>
    <t>752-30208496</t>
  </si>
  <si>
    <t>752-30208500</t>
  </si>
  <si>
    <t>752-30208511</t>
  </si>
  <si>
    <t xml:space="preserve">x 0.04 = &gt; </t>
  </si>
  <si>
    <t>065-46960476</t>
  </si>
  <si>
    <t>065-46960480</t>
  </si>
  <si>
    <t>065-46960491</t>
  </si>
  <si>
    <t>065-46960502</t>
  </si>
  <si>
    <t>065-46960513</t>
  </si>
  <si>
    <t>065-46960524</t>
  </si>
  <si>
    <t>065-46960535</t>
  </si>
  <si>
    <t>065-46960546</t>
  </si>
  <si>
    <t>065-46960550</t>
  </si>
  <si>
    <t>065-46960561</t>
  </si>
  <si>
    <t>065-46960572</t>
  </si>
  <si>
    <t>065-46960620</t>
  </si>
  <si>
    <t>065-46960631</t>
  </si>
  <si>
    <t>065-46960642</t>
  </si>
  <si>
    <t>065-46960653</t>
  </si>
  <si>
    <t>065-46960664</t>
  </si>
  <si>
    <t>065-46961121</t>
  </si>
  <si>
    <t>065-46961132</t>
  </si>
  <si>
    <t>065-46961143</t>
  </si>
  <si>
    <t>065-46961154</t>
  </si>
  <si>
    <t>065-46961165</t>
  </si>
  <si>
    <t>065-46961600</t>
  </si>
  <si>
    <t>160-09407926</t>
  </si>
  <si>
    <t>160-09407915</t>
  </si>
  <si>
    <t>752-30182073</t>
  </si>
  <si>
    <t>752-30182084</t>
  </si>
  <si>
    <t>752-30182095</t>
  </si>
  <si>
    <t>752-30182106</t>
  </si>
  <si>
    <t>752-30182110</t>
  </si>
  <si>
    <t>752-30182121</t>
  </si>
  <si>
    <t>752-30182132</t>
  </si>
  <si>
    <t>752-30182143</t>
  </si>
  <si>
    <t>752-30182154</t>
  </si>
  <si>
    <t>752-30182165</t>
  </si>
  <si>
    <t>752-30182176</t>
  </si>
  <si>
    <t>065-44173286</t>
  </si>
  <si>
    <t>065-46973194</t>
  </si>
  <si>
    <t>065-44173290</t>
  </si>
  <si>
    <t>065-46972844</t>
  </si>
  <si>
    <t>065-46972855</t>
  </si>
  <si>
    <t>065-46973205</t>
  </si>
  <si>
    <t>065-46973216</t>
  </si>
  <si>
    <t>065-46972881</t>
  </si>
  <si>
    <t>065-46972892</t>
  </si>
  <si>
    <t>065-46972903</t>
  </si>
  <si>
    <t>065-46973463</t>
  </si>
  <si>
    <t>065-46973474</t>
  </si>
  <si>
    <t>160-09407963</t>
  </si>
  <si>
    <t>160-09407952</t>
  </si>
  <si>
    <t>160-09407974</t>
  </si>
  <si>
    <t>160-09407985</t>
  </si>
  <si>
    <t>160-09407996</t>
  </si>
  <si>
    <t>QR8795</t>
  </si>
  <si>
    <t>157-53792491</t>
  </si>
  <si>
    <t>157-53792502</t>
  </si>
  <si>
    <t>157-53792513</t>
  </si>
  <si>
    <t>157-53792524</t>
  </si>
  <si>
    <t>157-53792745</t>
  </si>
  <si>
    <t>157-53792756</t>
  </si>
  <si>
    <t>157-53792760</t>
  </si>
  <si>
    <t>157-53792771</t>
  </si>
  <si>
    <t>157-53795641</t>
  </si>
  <si>
    <t>157-53795652</t>
  </si>
  <si>
    <t>157-53795663</t>
  </si>
  <si>
    <t>157-53795674</t>
  </si>
  <si>
    <t>157-53795685</t>
  </si>
  <si>
    <t>157-53795696</t>
  </si>
  <si>
    <t>157-53795700</t>
  </si>
  <si>
    <t>157-53795711</t>
  </si>
  <si>
    <t>157-53795722</t>
  </si>
  <si>
    <t>157-53795733</t>
  </si>
  <si>
    <t>157-53795744</t>
  </si>
  <si>
    <t>157-53795755</t>
  </si>
  <si>
    <t>157-53795766</t>
  </si>
  <si>
    <t>157-53795770</t>
  </si>
  <si>
    <t>157-53795781</t>
  </si>
  <si>
    <t>157-53795792</t>
  </si>
  <si>
    <t>157-53795803</t>
  </si>
  <si>
    <t>157-53795814</t>
  </si>
  <si>
    <t>157-53795825</t>
  </si>
  <si>
    <t>157-53795836</t>
  </si>
  <si>
    <t>157-53795840</t>
  </si>
  <si>
    <t>157-53795851</t>
  </si>
  <si>
    <t>157-53795862</t>
  </si>
  <si>
    <t>157-53795873</t>
  </si>
  <si>
    <t>157-53795884</t>
  </si>
  <si>
    <t>936-00306250</t>
  </si>
  <si>
    <t>936-00306261</t>
  </si>
  <si>
    <t>936-00306272</t>
  </si>
  <si>
    <t>936-00306283</t>
  </si>
  <si>
    <t>936-00306294</t>
  </si>
  <si>
    <t>936-00306305</t>
  </si>
  <si>
    <t>936-00306316</t>
  </si>
  <si>
    <t>936-00306320</t>
  </si>
  <si>
    <t>936-00306331</t>
  </si>
  <si>
    <t>936-00306342</t>
  </si>
  <si>
    <t>936-00306353</t>
  </si>
  <si>
    <t>936-00306364</t>
  </si>
  <si>
    <t>936-00306375</t>
  </si>
  <si>
    <t>936-00306386</t>
  </si>
  <si>
    <t>936-00306390</t>
  </si>
  <si>
    <t>936-00306401</t>
  </si>
  <si>
    <t>936-00306412</t>
  </si>
  <si>
    <t>936-00306423</t>
  </si>
  <si>
    <t>936-00306434</t>
  </si>
  <si>
    <t>936-00306445</t>
  </si>
  <si>
    <t>936-00306456</t>
  </si>
  <si>
    <t>936-00306460</t>
  </si>
  <si>
    <t>936-00306471</t>
  </si>
  <si>
    <t>936-00306482</t>
  </si>
  <si>
    <t>936-00306493</t>
  </si>
  <si>
    <t>065-46960675</t>
  </si>
  <si>
    <t>065-46960686</t>
  </si>
  <si>
    <t>065-46960690</t>
  </si>
  <si>
    <t>065-46960701</t>
  </si>
  <si>
    <t>065-46960712</t>
  </si>
  <si>
    <t>065-46960723</t>
  </si>
  <si>
    <t>065-46961176</t>
  </si>
  <si>
    <t>065-46961180</t>
  </si>
  <si>
    <t>065-46961191</t>
  </si>
  <si>
    <t>065-46960734</t>
  </si>
  <si>
    <t>065-46960745</t>
  </si>
  <si>
    <t>065-46961202</t>
  </si>
  <si>
    <t>065-46960756</t>
  </si>
  <si>
    <t>065-46961213</t>
  </si>
  <si>
    <t>065-46961611</t>
  </si>
  <si>
    <t>065-46960760</t>
  </si>
  <si>
    <t>065-46960771</t>
  </si>
  <si>
    <t>065-46960826</t>
  </si>
  <si>
    <t>065-46960830</t>
  </si>
  <si>
    <t>065-46960841</t>
  </si>
  <si>
    <t>065-46960852</t>
  </si>
  <si>
    <t>065-46960863</t>
  </si>
  <si>
    <t>065-46972914</t>
  </si>
  <si>
    <t>065-46972925</t>
  </si>
  <si>
    <t>065-46972936</t>
  </si>
  <si>
    <t>065-46972940</t>
  </si>
  <si>
    <t>065-46973496</t>
  </si>
  <si>
    <t>065-46973500</t>
  </si>
  <si>
    <t>160-09408011</t>
  </si>
  <si>
    <t>160-09408000</t>
  </si>
  <si>
    <t>QR8763</t>
  </si>
  <si>
    <t>157-53795151</t>
  </si>
  <si>
    <t>157-53795140</t>
  </si>
  <si>
    <t>157-53795136</t>
  </si>
  <si>
    <t>157-53795184</t>
  </si>
  <si>
    <t>157-53795276</t>
  </si>
  <si>
    <t>157-53795173</t>
  </si>
  <si>
    <t>157-53795280</t>
  </si>
  <si>
    <t>157-53792900</t>
  </si>
  <si>
    <t>157-53792841</t>
  </si>
  <si>
    <t>157-53792830</t>
  </si>
  <si>
    <t>157-53795195</t>
  </si>
  <si>
    <t>157-53792863</t>
  </si>
  <si>
    <t>157-53795291</t>
  </si>
  <si>
    <t>157-53795125</t>
  </si>
  <si>
    <t>157-53795000</t>
  </si>
  <si>
    <t>157-53795011</t>
  </si>
  <si>
    <t>157-53795103</t>
  </si>
  <si>
    <t>157-53795302</t>
  </si>
  <si>
    <t>157-53795265</t>
  </si>
  <si>
    <t>157-53795254</t>
  </si>
  <si>
    <t>157-53795243</t>
  </si>
  <si>
    <t>157-53795114</t>
  </si>
  <si>
    <t>157-53795162</t>
  </si>
  <si>
    <t>157-53795210</t>
  </si>
  <si>
    <t>157-53795206</t>
  </si>
  <si>
    <t>157-53794996</t>
  </si>
  <si>
    <t>157-53792896</t>
  </si>
  <si>
    <t>157-53792885</t>
  </si>
  <si>
    <t>157-53792874</t>
  </si>
  <si>
    <t>157-53792734</t>
  </si>
  <si>
    <t>157-53792723</t>
  </si>
  <si>
    <t>157-53795081</t>
  </si>
  <si>
    <t>157-53795070</t>
  </si>
  <si>
    <t>157-53795092</t>
  </si>
  <si>
    <t>157-53792686</t>
  </si>
  <si>
    <t>157-53795066</t>
  </si>
  <si>
    <t>157-53795055</t>
  </si>
  <si>
    <t>157-53795044</t>
  </si>
  <si>
    <t>157-53792966</t>
  </si>
  <si>
    <t>157-53792922</t>
  </si>
  <si>
    <t>157-53792911</t>
  </si>
  <si>
    <t>157-53792955</t>
  </si>
  <si>
    <t>157-53792944</t>
  </si>
  <si>
    <t>157-53792933</t>
  </si>
  <si>
    <t>157-53792852</t>
  </si>
  <si>
    <t>157-53793014</t>
  </si>
  <si>
    <t>157-53793003</t>
  </si>
  <si>
    <t>157-53792992</t>
  </si>
  <si>
    <t>157-53792981</t>
  </si>
  <si>
    <t>157-53792690</t>
  </si>
  <si>
    <t>157-53796912</t>
  </si>
  <si>
    <t>157-53796901</t>
  </si>
  <si>
    <t>157-53796890</t>
  </si>
  <si>
    <t>157-53795033</t>
  </si>
  <si>
    <t>157-53795022</t>
  </si>
  <si>
    <t>157-53793040</t>
  </si>
  <si>
    <t>157-53795232</t>
  </si>
  <si>
    <t>157-53795221</t>
  </si>
  <si>
    <t>157-53794985</t>
  </si>
  <si>
    <t>157-53793036</t>
  </si>
  <si>
    <t>157-53793025</t>
  </si>
  <si>
    <t>157-53792970</t>
  </si>
  <si>
    <t>157-53792701</t>
  </si>
  <si>
    <t>157-53792712</t>
  </si>
  <si>
    <t>QR8769</t>
  </si>
  <si>
    <t>157-53793854</t>
  </si>
  <si>
    <t>157-53793865</t>
  </si>
  <si>
    <t>157-53793876</t>
  </si>
  <si>
    <t>157-53793880</t>
  </si>
  <si>
    <t>157-53794182</t>
  </si>
  <si>
    <t>157-53793891</t>
  </si>
  <si>
    <t>157-53793902</t>
  </si>
  <si>
    <t>157-53793913</t>
  </si>
  <si>
    <t>157-53793924</t>
  </si>
  <si>
    <t>157-53793935</t>
  </si>
  <si>
    <t>157-53793946</t>
  </si>
  <si>
    <t>157-53794090</t>
  </si>
  <si>
    <t>157-53794101</t>
  </si>
  <si>
    <t>157-53794112</t>
  </si>
  <si>
    <t>157-53794123</t>
  </si>
  <si>
    <t>157-53794134</t>
  </si>
  <si>
    <t>157-53793950</t>
  </si>
  <si>
    <t>157-53793961</t>
  </si>
  <si>
    <t>157-53793972</t>
  </si>
  <si>
    <t>157-53793983</t>
  </si>
  <si>
    <t>157-53793994</t>
  </si>
  <si>
    <t>157-53794160</t>
  </si>
  <si>
    <t>157-53794171</t>
  </si>
  <si>
    <t>157-53794005</t>
  </si>
  <si>
    <t>157-53794064</t>
  </si>
  <si>
    <t>157-53794075</t>
  </si>
  <si>
    <t>157-53794086</t>
  </si>
  <si>
    <t>157-53792432</t>
  </si>
  <si>
    <t>157-53794145</t>
  </si>
  <si>
    <t>157-53794156</t>
  </si>
  <si>
    <t>157-53794193</t>
  </si>
  <si>
    <t>157-53794241</t>
  </si>
  <si>
    <t>157-53792421</t>
  </si>
  <si>
    <t>157-53792664</t>
  </si>
  <si>
    <t>157-53796923</t>
  </si>
  <si>
    <t>157-53794020</t>
  </si>
  <si>
    <t>157-53792675</t>
  </si>
  <si>
    <t>157-53794016</t>
  </si>
  <si>
    <t>157-53794031</t>
  </si>
  <si>
    <t>157-53796934</t>
  </si>
  <si>
    <t>157-53838842</t>
  </si>
  <si>
    <t>157-53794204</t>
  </si>
  <si>
    <t>157-53794215</t>
  </si>
  <si>
    <t>157-53794226</t>
  </si>
  <si>
    <t>157-53792653</t>
  </si>
  <si>
    <t>157-53794230</t>
  </si>
  <si>
    <t>157-53794042</t>
  </si>
  <si>
    <t>157-53838864</t>
  </si>
  <si>
    <t>157-53838853</t>
  </si>
  <si>
    <t>157-53794053</t>
  </si>
  <si>
    <t>157-53838875</t>
  </si>
  <si>
    <t>157-53838886</t>
  </si>
  <si>
    <t>C89276</t>
  </si>
  <si>
    <t>356-85423041</t>
  </si>
  <si>
    <t>369-98449654</t>
  </si>
  <si>
    <t>369-98449643</t>
  </si>
  <si>
    <t>369-98449632</t>
  </si>
  <si>
    <t>369-98449492</t>
  </si>
  <si>
    <t>369-98449455</t>
  </si>
  <si>
    <t>369-98449481</t>
  </si>
  <si>
    <t>369-98449470</t>
  </si>
  <si>
    <t>369-98449374</t>
  </si>
  <si>
    <t>369-98449422</t>
  </si>
  <si>
    <t>369-98449400</t>
  </si>
  <si>
    <t>369-98449411</t>
  </si>
  <si>
    <t>369-98449396</t>
  </si>
  <si>
    <t>369-98449271</t>
  </si>
  <si>
    <t>369-98449293</t>
  </si>
  <si>
    <t>369-98449282</t>
  </si>
  <si>
    <t>369-98449341</t>
  </si>
  <si>
    <t>369-98449326</t>
  </si>
  <si>
    <t>369-98449330</t>
  </si>
  <si>
    <t>369-98449315</t>
  </si>
  <si>
    <t>369-98449304</t>
  </si>
  <si>
    <t>369-98449260</t>
  </si>
  <si>
    <t>369-98449256</t>
  </si>
  <si>
    <t>369-98449352</t>
  </si>
  <si>
    <t>369-98449201</t>
  </si>
  <si>
    <t>369-98449190</t>
  </si>
  <si>
    <t>369-98449186</t>
  </si>
  <si>
    <t>369-98449175</t>
  </si>
  <si>
    <t>369-98449035</t>
  </si>
  <si>
    <t>369-98449024</t>
  </si>
  <si>
    <t>369-98448652</t>
  </si>
  <si>
    <t>369-98448696</t>
  </si>
  <si>
    <t>369-98448512</t>
  </si>
  <si>
    <t>369-98449385</t>
  </si>
  <si>
    <t>369-98449433</t>
  </si>
  <si>
    <t>369-98449444</t>
  </si>
  <si>
    <t>369-98449665</t>
  </si>
  <si>
    <t>369-98449363</t>
  </si>
  <si>
    <t>5Y8052(OPEN)</t>
  </si>
  <si>
    <t>369-98444415</t>
  </si>
  <si>
    <t>369-98444393</t>
  </si>
  <si>
    <t>369-98444334</t>
  </si>
  <si>
    <t>369-98444345</t>
  </si>
  <si>
    <t>369-98444242</t>
  </si>
  <si>
    <t>369-98444360</t>
  </si>
  <si>
    <t>369-98444371</t>
  </si>
  <si>
    <t>369-98444382</t>
  </si>
  <si>
    <t>369-98444220</t>
  </si>
  <si>
    <t>369-98444231</t>
  </si>
  <si>
    <t>369-98444043</t>
  </si>
  <si>
    <t>369-98444054</t>
  </si>
  <si>
    <t>065-46972995</t>
  </si>
  <si>
    <t>065-46973533</t>
  </si>
  <si>
    <t>065-46973065</t>
  </si>
  <si>
    <t>065-46973555</t>
  </si>
  <si>
    <t>065-46973544</t>
  </si>
  <si>
    <t>065-46973076</t>
  </si>
  <si>
    <t>065-46973566</t>
  </si>
  <si>
    <t>065-46973570</t>
  </si>
  <si>
    <t>065-46973080</t>
  </si>
  <si>
    <t>065-46972962</t>
  </si>
  <si>
    <t>065-46972973</t>
  </si>
  <si>
    <t>065-46972984</t>
  </si>
  <si>
    <t>065-46973511</t>
  </si>
  <si>
    <t>065-46973522</t>
  </si>
  <si>
    <t>QR8771</t>
  </si>
  <si>
    <t>157-53792804</t>
  </si>
  <si>
    <t>157-53796142</t>
  </si>
  <si>
    <t>157-53796175</t>
  </si>
  <si>
    <t>157-53796186</t>
  </si>
  <si>
    <t>157-53796201</t>
  </si>
  <si>
    <t>157-53792826</t>
  </si>
  <si>
    <t>157-53796212</t>
  </si>
  <si>
    <t>157-53792815</t>
  </si>
  <si>
    <t>157-53796256</t>
  </si>
  <si>
    <t>157-53796260</t>
  </si>
  <si>
    <t>157-53796271</t>
  </si>
  <si>
    <t>157-53839262</t>
  </si>
  <si>
    <t>157-53796282</t>
  </si>
  <si>
    <t>157-53796293</t>
  </si>
  <si>
    <t>157-53796330</t>
  </si>
  <si>
    <t>157-53796153</t>
  </si>
  <si>
    <t>157-53796164</t>
  </si>
  <si>
    <t>157-53796326</t>
  </si>
  <si>
    <t>157-53796304</t>
  </si>
  <si>
    <t>157-53796341</t>
  </si>
  <si>
    <t>157-53796315</t>
  </si>
  <si>
    <t>157-53792793</t>
  </si>
  <si>
    <t>157-53796374</t>
  </si>
  <si>
    <t>157-53796363</t>
  </si>
  <si>
    <t>157-53796352</t>
  </si>
  <si>
    <t>157-53792782</t>
  </si>
  <si>
    <t>157-53796385</t>
  </si>
  <si>
    <t>157-53839225</t>
  </si>
  <si>
    <t>160-09408033</t>
  </si>
  <si>
    <t>160-09408022</t>
  </si>
  <si>
    <t>160-09408066</t>
  </si>
  <si>
    <t>160-09408055</t>
  </si>
  <si>
    <t>160-09408044</t>
  </si>
  <si>
    <t>172-92540781</t>
  </si>
  <si>
    <t>752-30182390</t>
  </si>
  <si>
    <t>752-30182386</t>
  </si>
  <si>
    <t>752-30182320</t>
  </si>
  <si>
    <t>752-30182342</t>
  </si>
  <si>
    <t>752-30182331</t>
  </si>
  <si>
    <t>752-30182353</t>
  </si>
  <si>
    <t>752-30182316</t>
  </si>
  <si>
    <t>752-30182305</t>
  </si>
  <si>
    <t>752-30182375</t>
  </si>
  <si>
    <t>752-30182364</t>
  </si>
  <si>
    <t>752-30182445</t>
  </si>
  <si>
    <t>752-30182412</t>
  </si>
  <si>
    <t>752-30182493</t>
  </si>
  <si>
    <t>752-30182482</t>
  </si>
  <si>
    <t>752-30182423</t>
  </si>
  <si>
    <t>752-30182515</t>
  </si>
  <si>
    <t>752-30182434</t>
  </si>
  <si>
    <t>752-30182460</t>
  </si>
  <si>
    <t>752-30182401</t>
  </si>
  <si>
    <t>752-30182471</t>
  </si>
  <si>
    <t>752-30182504</t>
  </si>
  <si>
    <t>752-30182456</t>
  </si>
  <si>
    <t>752-30182526</t>
  </si>
  <si>
    <t>065-46960885</t>
  </si>
  <si>
    <t>065-46960874</t>
  </si>
  <si>
    <t>065-46960896</t>
  </si>
  <si>
    <t>065-46961025</t>
  </si>
  <si>
    <t>065-46961036</t>
  </si>
  <si>
    <t>065-46961040</t>
  </si>
  <si>
    <t>065-46961224</t>
  </si>
  <si>
    <t>065-46960900</t>
  </si>
  <si>
    <t>065-46961235</t>
  </si>
  <si>
    <t>065-46961051</t>
  </si>
  <si>
    <t>065-46961062</t>
  </si>
  <si>
    <t>065-46961246</t>
  </si>
  <si>
    <t>065-46960911</t>
  </si>
  <si>
    <t>065-46961250</t>
  </si>
  <si>
    <t>065-46960922</t>
  </si>
  <si>
    <t>065-46961261</t>
  </si>
  <si>
    <t>065-46960933</t>
  </si>
  <si>
    <t>065-46961622</t>
  </si>
  <si>
    <t>065-46960944</t>
  </si>
  <si>
    <t>065-46960955</t>
  </si>
  <si>
    <t>065-46961633</t>
  </si>
  <si>
    <t>065-46961644</t>
  </si>
  <si>
    <t>065-46961655</t>
  </si>
  <si>
    <t>065-46961666</t>
  </si>
  <si>
    <t>065-46961670</t>
  </si>
  <si>
    <t>065-46960966</t>
  </si>
  <si>
    <t>065-46961681</t>
  </si>
  <si>
    <t>065-46960970</t>
  </si>
  <si>
    <t>065-46961692</t>
  </si>
  <si>
    <t>160-09408210</t>
  </si>
  <si>
    <t>160-09408206</t>
  </si>
  <si>
    <t>QR8773</t>
  </si>
  <si>
    <t>157-53794252</t>
  </si>
  <si>
    <t>157-53794263</t>
  </si>
  <si>
    <t>157-53794274</t>
  </si>
  <si>
    <t>157-53794285</t>
  </si>
  <si>
    <t>157-53794580</t>
  </si>
  <si>
    <t>157-53794506</t>
  </si>
  <si>
    <t>157-53794510</t>
  </si>
  <si>
    <t>157-53794296</t>
  </si>
  <si>
    <t>157-53794300</t>
  </si>
  <si>
    <t>157-53794311</t>
  </si>
  <si>
    <t>157-53794322</t>
  </si>
  <si>
    <t>157-53794333</t>
  </si>
  <si>
    <t>157-53794521</t>
  </si>
  <si>
    <t>157-53794532</t>
  </si>
  <si>
    <t>157-53794543</t>
  </si>
  <si>
    <t>157-53794344</t>
  </si>
  <si>
    <t>157-53794554</t>
  </si>
  <si>
    <t>157-53794565</t>
  </si>
  <si>
    <t>157-53794355</t>
  </si>
  <si>
    <t>157-53838901</t>
  </si>
  <si>
    <t>157-53838912</t>
  </si>
  <si>
    <t>157-53794366</t>
  </si>
  <si>
    <t>157-53838923</t>
  </si>
  <si>
    <t>157-53794370</t>
  </si>
  <si>
    <t>157-53838934</t>
  </si>
  <si>
    <t>157-53794381</t>
  </si>
  <si>
    <t>157-53838945</t>
  </si>
  <si>
    <t>157-53794392</t>
  </si>
  <si>
    <t>157-53838956</t>
  </si>
  <si>
    <t>157-53794403</t>
  </si>
  <si>
    <t>157-53794414</t>
  </si>
  <si>
    <t>157-53794425</t>
  </si>
  <si>
    <t>157-53794436</t>
  </si>
  <si>
    <t>157-53794440</t>
  </si>
  <si>
    <t>157-53838960</t>
  </si>
  <si>
    <t>157-53794451</t>
  </si>
  <si>
    <t>157-53838993</t>
  </si>
  <si>
    <t>157-53794462</t>
  </si>
  <si>
    <t>157-53839004</t>
  </si>
  <si>
    <t>157-53794473</t>
  </si>
  <si>
    <t>157-53794576</t>
  </si>
  <si>
    <t>157-53794484</t>
  </si>
  <si>
    <t>157-53794591</t>
  </si>
  <si>
    <t>157-53794602</t>
  </si>
  <si>
    <t>157-53794613</t>
  </si>
  <si>
    <t>157-53794624</t>
  </si>
  <si>
    <t>157-53838971</t>
  </si>
  <si>
    <t>157-53838982</t>
  </si>
  <si>
    <t>157-53794635</t>
  </si>
  <si>
    <t>157-53839015</t>
  </si>
  <si>
    <t>157-53839310</t>
  </si>
  <si>
    <t>157-53839321</t>
  </si>
  <si>
    <t>157-53794646</t>
  </si>
  <si>
    <t>157-53794495</t>
  </si>
  <si>
    <t>157-53838890</t>
  </si>
  <si>
    <t>157-53839251</t>
  </si>
  <si>
    <t>157-53839240</t>
  </si>
  <si>
    <t>157-53839273</t>
  </si>
  <si>
    <t>157-53839306</t>
  </si>
  <si>
    <t>157-53841826</t>
  </si>
  <si>
    <t>157-53839295</t>
  </si>
  <si>
    <t>157-53839284</t>
  </si>
  <si>
    <t>157-53841830</t>
  </si>
  <si>
    <t>157-53841852</t>
  </si>
  <si>
    <t>157-53841841</t>
  </si>
  <si>
    <t>157-53841922</t>
  </si>
  <si>
    <t>157-53841900</t>
  </si>
  <si>
    <t>157-53842036</t>
  </si>
  <si>
    <t>157-53841911</t>
  </si>
  <si>
    <t>157-53841933</t>
  </si>
  <si>
    <t>157-53842040</t>
  </si>
  <si>
    <t>157-53841944</t>
  </si>
  <si>
    <t>157-53841970</t>
  </si>
  <si>
    <t>157-53842003</t>
  </si>
  <si>
    <t>157-53842025</t>
  </si>
  <si>
    <t>157-53841955</t>
  </si>
  <si>
    <t>157-53841966</t>
  </si>
  <si>
    <t>157-53841981</t>
  </si>
  <si>
    <t>157-53841992</t>
  </si>
  <si>
    <t>157-53841863</t>
  </si>
  <si>
    <t>157-53841874</t>
  </si>
  <si>
    <t>157-53841885</t>
  </si>
  <si>
    <t>157-53841896</t>
  </si>
  <si>
    <t>HE781</t>
  </si>
  <si>
    <t>223-30035250</t>
  </si>
  <si>
    <t>EMA</t>
  </si>
  <si>
    <t>356-85423111</t>
  </si>
  <si>
    <t>369-98450063</t>
  </si>
  <si>
    <t>369-98450041</t>
  </si>
  <si>
    <t>369-98450030</t>
  </si>
  <si>
    <t>369-98450026</t>
  </si>
  <si>
    <t>369-98450015</t>
  </si>
  <si>
    <t>369-98450052</t>
  </si>
  <si>
    <t>369-98450111</t>
  </si>
  <si>
    <t>369-98450100</t>
  </si>
  <si>
    <t>369-98450096</t>
  </si>
  <si>
    <t>369-98449956</t>
  </si>
  <si>
    <t>369-98449886</t>
  </si>
  <si>
    <t>369-98449735</t>
  </si>
  <si>
    <t>369-98449746</t>
  </si>
  <si>
    <t>369-98449724</t>
  </si>
  <si>
    <t>369-98449713</t>
  </si>
  <si>
    <t>369-98449702</t>
  </si>
  <si>
    <t>369-98449691</t>
  </si>
  <si>
    <t>369-98449680</t>
  </si>
  <si>
    <t>369-98449676</t>
  </si>
  <si>
    <t>369-98449805</t>
  </si>
  <si>
    <t>369-98450074</t>
  </si>
  <si>
    <t>369-98450085</t>
  </si>
  <si>
    <t>5Y8230(OPEN)</t>
  </si>
  <si>
    <t>369-98444662</t>
  </si>
  <si>
    <t>369-98444673</t>
  </si>
  <si>
    <t>369-98444684</t>
  </si>
  <si>
    <t>369-98444695</t>
  </si>
  <si>
    <t>369-98444706</t>
  </si>
  <si>
    <t>369-98444533</t>
  </si>
  <si>
    <t>369-98444032</t>
  </si>
  <si>
    <t>752-30182644</t>
  </si>
  <si>
    <t>752-30182611</t>
  </si>
  <si>
    <t>752-30182600</t>
  </si>
  <si>
    <t>752-30182585</t>
  </si>
  <si>
    <t>752-30182541</t>
  </si>
  <si>
    <t>752-30182633</t>
  </si>
  <si>
    <t>752-30182622</t>
  </si>
  <si>
    <t>752-30182596</t>
  </si>
  <si>
    <t>752-30182574</t>
  </si>
  <si>
    <t>752-30182563</t>
  </si>
  <si>
    <t>752-30182552</t>
  </si>
  <si>
    <t>752-30182530</t>
  </si>
  <si>
    <t>065-46973231</t>
  </si>
  <si>
    <t>065-46973581</t>
  </si>
  <si>
    <t>065-46973242</t>
  </si>
  <si>
    <t>065-46973592</t>
  </si>
  <si>
    <t>065-46973603</t>
  </si>
  <si>
    <t>065-46973253</t>
  </si>
  <si>
    <t>065-46973614</t>
  </si>
  <si>
    <t>065-46973220</t>
  </si>
  <si>
    <t>065-46973636</t>
  </si>
  <si>
    <t>065-46973625</t>
  </si>
  <si>
    <t>065-46961843</t>
  </si>
  <si>
    <t>065-46961854</t>
  </si>
  <si>
    <t>065-46961865</t>
  </si>
  <si>
    <t>065-46961876</t>
  </si>
  <si>
    <t>065-46961880</t>
  </si>
  <si>
    <t>065-46962042</t>
  </si>
  <si>
    <t>065-46962053</t>
  </si>
  <si>
    <t>065-46961891</t>
  </si>
  <si>
    <t>065-46962064</t>
  </si>
  <si>
    <t>065-46962075</t>
  </si>
  <si>
    <t>065-46962031</t>
  </si>
  <si>
    <t>065-46962086</t>
  </si>
  <si>
    <t>065-46961902</t>
  </si>
  <si>
    <t>065-46961751</t>
  </si>
  <si>
    <t>065-46961740</t>
  </si>
  <si>
    <t>065-46961913</t>
  </si>
  <si>
    <t>065-46961924</t>
  </si>
  <si>
    <t>065-46961762</t>
  </si>
  <si>
    <t>065-46962845</t>
  </si>
  <si>
    <t>065-46962856</t>
  </si>
  <si>
    <t>065-46961935</t>
  </si>
  <si>
    <t>065-46961946</t>
  </si>
  <si>
    <t>065-46961994</t>
  </si>
  <si>
    <t>065-46962005</t>
  </si>
  <si>
    <t>065-46962016</t>
  </si>
  <si>
    <t>065-46962020</t>
  </si>
  <si>
    <t>160-09408243</t>
  </si>
  <si>
    <t>160-09408232</t>
  </si>
  <si>
    <t>369-98449960</t>
  </si>
  <si>
    <t>369-98449971</t>
  </si>
  <si>
    <t>369-98449982</t>
  </si>
  <si>
    <t>369-98449993</t>
  </si>
  <si>
    <t>369-98450004</t>
  </si>
  <si>
    <t>369-98450122</t>
  </si>
  <si>
    <t>369-98450133</t>
  </si>
  <si>
    <t>369-98450144</t>
  </si>
  <si>
    <t>369-98450155</t>
  </si>
  <si>
    <t>369-98450170</t>
  </si>
  <si>
    <t>369-98450181</t>
  </si>
  <si>
    <t>369-98450236</t>
  </si>
  <si>
    <t>369-98450240</t>
  </si>
  <si>
    <t>369-98451732</t>
  </si>
  <si>
    <t>369-98451883</t>
  </si>
  <si>
    <t>369-98451894</t>
  </si>
  <si>
    <t>369-98451916</t>
  </si>
  <si>
    <t>369-98450192</t>
  </si>
  <si>
    <t>369-98450203</t>
  </si>
  <si>
    <t>369-98450214</t>
  </si>
  <si>
    <t>369-98450225</t>
  </si>
  <si>
    <t>369-98451905</t>
  </si>
  <si>
    <t>369-98451920</t>
  </si>
  <si>
    <t>369-98451931</t>
  </si>
  <si>
    <t>369-98449912</t>
  </si>
  <si>
    <t>369-98449923</t>
  </si>
  <si>
    <t>369-98450166</t>
  </si>
  <si>
    <t>5Y8050 (OPEN)</t>
  </si>
  <si>
    <t>369-98444710</t>
  </si>
  <si>
    <t>369-98444430</t>
  </si>
  <si>
    <t>369-98444555</t>
  </si>
  <si>
    <t>369-98443995</t>
  </si>
  <si>
    <t>369-98444544</t>
  </si>
  <si>
    <t>752-30182736</t>
  </si>
  <si>
    <t>752-30182725</t>
  </si>
  <si>
    <t>752-30182666</t>
  </si>
  <si>
    <t>752-30182692</t>
  </si>
  <si>
    <t>752-30182655</t>
  </si>
  <si>
    <t>752-30182670</t>
  </si>
  <si>
    <t>752-30182681</t>
  </si>
  <si>
    <t>752-30182703</t>
  </si>
  <si>
    <t>752-30182714</t>
  </si>
  <si>
    <t>752-30182740</t>
  </si>
  <si>
    <t>752-30182751</t>
  </si>
  <si>
    <t>752-30182762</t>
  </si>
  <si>
    <t>936-00306600</t>
  </si>
  <si>
    <t>936-00306611</t>
  </si>
  <si>
    <t>936-00306622</t>
  </si>
  <si>
    <t>936-00306633</t>
  </si>
  <si>
    <t>936-00306644</t>
  </si>
  <si>
    <t>936-00306655</t>
  </si>
  <si>
    <t>936-00306666</t>
  </si>
  <si>
    <t>936-00306670</t>
  </si>
  <si>
    <t>936-00306681</t>
  </si>
  <si>
    <t>936-00306692</t>
  </si>
  <si>
    <t>936-00306703</t>
  </si>
  <si>
    <t>936-00306714</t>
  </si>
  <si>
    <t>157-53842110</t>
  </si>
  <si>
    <t>157-53842084</t>
  </si>
  <si>
    <t>157-53842095</t>
  </si>
  <si>
    <t>157-53842121</t>
  </si>
  <si>
    <t>157-53842051</t>
  </si>
  <si>
    <t>157-53842062</t>
  </si>
  <si>
    <t>157-53842073</t>
  </si>
  <si>
    <t>157-53842106</t>
  </si>
  <si>
    <t>157-54210236</t>
  </si>
  <si>
    <t>157-54210225</t>
  </si>
  <si>
    <t>157-54210240</t>
  </si>
  <si>
    <t>157-54210251</t>
  </si>
  <si>
    <t>157-54210262</t>
  </si>
  <si>
    <t>157-53842014</t>
  </si>
  <si>
    <t>157-54210343</t>
  </si>
  <si>
    <t>157-54210295</t>
  </si>
  <si>
    <t>157-54210284</t>
  </si>
  <si>
    <t>157-54210273</t>
  </si>
  <si>
    <t>157-54210306</t>
  </si>
  <si>
    <t>157-54210310</t>
  </si>
  <si>
    <t>157-54210332</t>
  </si>
  <si>
    <t>157-54210321</t>
  </si>
  <si>
    <t>157-54210354</t>
  </si>
  <si>
    <t>157-54210365</t>
  </si>
  <si>
    <t>157-54210376</t>
  </si>
  <si>
    <t>157-54210380</t>
  </si>
  <si>
    <t>157-54210391</t>
  </si>
  <si>
    <t>157-54210402</t>
  </si>
  <si>
    <t>157-53839601</t>
  </si>
  <si>
    <t>157-53839612</t>
  </si>
  <si>
    <t>157-53839623</t>
  </si>
  <si>
    <t>QR8767</t>
  </si>
  <si>
    <t>157-53839085</t>
  </si>
  <si>
    <t>157-53839074</t>
  </si>
  <si>
    <t>157-53795582</t>
  </si>
  <si>
    <t>157-53795560</t>
  </si>
  <si>
    <t>157-53795571</t>
  </si>
  <si>
    <t>157-53795545</t>
  </si>
  <si>
    <t>157-53795534</t>
  </si>
  <si>
    <t>157-53795523</t>
  </si>
  <si>
    <t>157-53795512</t>
  </si>
  <si>
    <t>157-53795501</t>
  </si>
  <si>
    <t>157-53795490</t>
  </si>
  <si>
    <t>157-53839122</t>
  </si>
  <si>
    <t>157-53795442</t>
  </si>
  <si>
    <t>157-53839111</t>
  </si>
  <si>
    <t>157-53795346</t>
  </si>
  <si>
    <t>157-53795335</t>
  </si>
  <si>
    <t>157-53795593</t>
  </si>
  <si>
    <t>157-53795464</t>
  </si>
  <si>
    <t>157-53795453</t>
  </si>
  <si>
    <t>157-53839096</t>
  </si>
  <si>
    <t>157-53795486</t>
  </si>
  <si>
    <t>157-53795475</t>
  </si>
  <si>
    <t>157-53839155</t>
  </si>
  <si>
    <t>157-53839144</t>
  </si>
  <si>
    <t>157-53795604</t>
  </si>
  <si>
    <t>157-53795416</t>
  </si>
  <si>
    <t>157-53839052</t>
  </si>
  <si>
    <t>157-53839041</t>
  </si>
  <si>
    <t>157-53839100</t>
  </si>
  <si>
    <t>157-53795431</t>
  </si>
  <si>
    <t>157-53795420</t>
  </si>
  <si>
    <t>157-53795394</t>
  </si>
  <si>
    <t>157-53839170</t>
  </si>
  <si>
    <t>157-53839166</t>
  </si>
  <si>
    <t>157-53795615</t>
  </si>
  <si>
    <t>157-53839133</t>
  </si>
  <si>
    <t>157-53795626</t>
  </si>
  <si>
    <t>157-53795556</t>
  </si>
  <si>
    <t>157-53795405</t>
  </si>
  <si>
    <t>157-53795324</t>
  </si>
  <si>
    <t>157-53839063</t>
  </si>
  <si>
    <t>157-53839181</t>
  </si>
  <si>
    <t>157-53795630</t>
  </si>
  <si>
    <t>157-53839214</t>
  </si>
  <si>
    <t>157-53839192</t>
  </si>
  <si>
    <t>157-53839026</t>
  </si>
  <si>
    <t>157-53795361</t>
  </si>
  <si>
    <t>157-53795350</t>
  </si>
  <si>
    <t>157-53839030</t>
  </si>
  <si>
    <t>157-53839726</t>
  </si>
  <si>
    <t>157-53839715</t>
  </si>
  <si>
    <t>157-53839704</t>
  </si>
  <si>
    <t>157-53839693</t>
  </si>
  <si>
    <t>157-53839682</t>
  </si>
  <si>
    <t>157-53795383</t>
  </si>
  <si>
    <t>157-53839203</t>
  </si>
  <si>
    <t>157-53795372</t>
  </si>
  <si>
    <t>157-53795313</t>
  </si>
  <si>
    <t>2C573</t>
  </si>
  <si>
    <t>003-30341146</t>
  </si>
  <si>
    <t>003-30340763</t>
  </si>
  <si>
    <t>003-30340752</t>
  </si>
  <si>
    <t>003-30340774</t>
  </si>
  <si>
    <t>003-30334850</t>
  </si>
  <si>
    <t>003-30340785</t>
  </si>
  <si>
    <t>003-30340796</t>
  </si>
  <si>
    <t>003-30334861</t>
  </si>
  <si>
    <t>003-30334872</t>
  </si>
  <si>
    <t>003-30340800</t>
  </si>
  <si>
    <t>003-30340811</t>
  </si>
  <si>
    <t>003-30334883</t>
  </si>
  <si>
    <t>003-30334894</t>
  </si>
  <si>
    <t>160-09408265</t>
  </si>
  <si>
    <t>160-09408254</t>
  </si>
  <si>
    <t>369-98452071</t>
  </si>
  <si>
    <t>369-98452060</t>
  </si>
  <si>
    <t>369-98452056</t>
  </si>
  <si>
    <t>369-98452126</t>
  </si>
  <si>
    <t>369-98452012</t>
  </si>
  <si>
    <t>369-98452001</t>
  </si>
  <si>
    <t>369-98451990</t>
  </si>
  <si>
    <t>369-98452082</t>
  </si>
  <si>
    <t>369-98452093</t>
  </si>
  <si>
    <t>369-98452034</t>
  </si>
  <si>
    <t>369-98452023</t>
  </si>
  <si>
    <t>369-98451986</t>
  </si>
  <si>
    <t>369-98451942</t>
  </si>
  <si>
    <t>369-98451975</t>
  </si>
  <si>
    <t>369-98451964</t>
  </si>
  <si>
    <t>369-98451953</t>
  </si>
  <si>
    <t>369-98451872</t>
  </si>
  <si>
    <t>369-98451850</t>
  </si>
  <si>
    <t>369-98451846</t>
  </si>
  <si>
    <t>369-98451861</t>
  </si>
  <si>
    <t>369-98451835</t>
  </si>
  <si>
    <t>369-98451824</t>
  </si>
  <si>
    <t>369-98451813</t>
  </si>
  <si>
    <t>369-98451802</t>
  </si>
  <si>
    <t>369-98451765</t>
  </si>
  <si>
    <t>369-98451754</t>
  </si>
  <si>
    <t>369-98451743</t>
  </si>
  <si>
    <t>369-98451780</t>
  </si>
  <si>
    <t>369-98451791</t>
  </si>
  <si>
    <t>369-98451776</t>
  </si>
  <si>
    <t>369-98452104</t>
  </si>
  <si>
    <t>369-98452115</t>
  </si>
  <si>
    <t>5Y8030 (OPEN)</t>
  </si>
  <si>
    <t>369-98444721</t>
  </si>
  <si>
    <t>369-98456735</t>
  </si>
  <si>
    <t>369-98444581</t>
  </si>
  <si>
    <t>369-98444570</t>
  </si>
  <si>
    <t>369-98444441</t>
  </si>
  <si>
    <t>369-98444452</t>
  </si>
  <si>
    <t>369-98444566</t>
  </si>
  <si>
    <t>065-46962090</t>
  </si>
  <si>
    <t>7/4/</t>
  </si>
  <si>
    <t>065-46962101</t>
  </si>
  <si>
    <t>065-46962241</t>
  </si>
  <si>
    <t>065-46962252</t>
  </si>
  <si>
    <t>065-46962263</t>
  </si>
  <si>
    <t>065-46962296</t>
  </si>
  <si>
    <t>065-46962274</t>
  </si>
  <si>
    <t>065-46962300</t>
  </si>
  <si>
    <t>065-46962112</t>
  </si>
  <si>
    <t>065-46962123</t>
  </si>
  <si>
    <t>065-46962134</t>
  </si>
  <si>
    <t>065-46962145</t>
  </si>
  <si>
    <t>065-46962322</t>
  </si>
  <si>
    <t>065-46962156</t>
  </si>
  <si>
    <t>065-46962333</t>
  </si>
  <si>
    <t>065-46962160</t>
  </si>
  <si>
    <t>065-46962893</t>
  </si>
  <si>
    <t>065-46962882</t>
  </si>
  <si>
    <t>065-46962860</t>
  </si>
  <si>
    <t>065-46962871</t>
  </si>
  <si>
    <t>065-46962171</t>
  </si>
  <si>
    <t>065-46962182</t>
  </si>
  <si>
    <t>065-46962904</t>
  </si>
  <si>
    <t>065-46962915</t>
  </si>
  <si>
    <t>065-46962926</t>
  </si>
  <si>
    <t>065-46962285</t>
  </si>
  <si>
    <t>065-46962311</t>
  </si>
  <si>
    <t>065-46973275</t>
  </si>
  <si>
    <t>065-46973640</t>
  </si>
  <si>
    <t>065-46973286</t>
  </si>
  <si>
    <t>065-46973651</t>
  </si>
  <si>
    <t>065-46973290</t>
  </si>
  <si>
    <t>065-46973662</t>
  </si>
  <si>
    <t>065-46973673</t>
  </si>
  <si>
    <t>160-09408302</t>
  </si>
  <si>
    <t>160-09408291</t>
  </si>
  <si>
    <t>HE773</t>
  </si>
  <si>
    <t>223-30007994</t>
  </si>
  <si>
    <t>235-97944512</t>
  </si>
  <si>
    <t>235-97944475</t>
  </si>
  <si>
    <t>157-53841163</t>
  </si>
  <si>
    <t>157-54210726</t>
  </si>
  <si>
    <t>157-53841174</t>
  </si>
  <si>
    <t>157-53841465</t>
  </si>
  <si>
    <t>157-53841185</t>
  </si>
  <si>
    <t>157-53841443</t>
  </si>
  <si>
    <t>157-53841196</t>
  </si>
  <si>
    <t>157-53841200</t>
  </si>
  <si>
    <t>157-54210741</t>
  </si>
  <si>
    <t>157-54210752</t>
  </si>
  <si>
    <t>157-53841211</t>
  </si>
  <si>
    <t>157-54210763</t>
  </si>
  <si>
    <t>157-54210774</t>
  </si>
  <si>
    <t>157-54210785</t>
  </si>
  <si>
    <t>157-53841222</t>
  </si>
  <si>
    <t>157-53841373</t>
  </si>
  <si>
    <t>157-53839774</t>
  </si>
  <si>
    <t>157-53841244</t>
  </si>
  <si>
    <t>157-53839785</t>
  </si>
  <si>
    <t>157-54210693</t>
  </si>
  <si>
    <t>157-54210704</t>
  </si>
  <si>
    <t>157-53841255</t>
  </si>
  <si>
    <t>157-53841266</t>
  </si>
  <si>
    <t>157-53839752</t>
  </si>
  <si>
    <t>157-53839763</t>
  </si>
  <si>
    <t>157-53841270</t>
  </si>
  <si>
    <t>157-53841281</t>
  </si>
  <si>
    <t>157-53841480</t>
  </si>
  <si>
    <t>157-53841292</t>
  </si>
  <si>
    <t>157-53841476</t>
  </si>
  <si>
    <t>157-53841303</t>
  </si>
  <si>
    <t>157-53841314</t>
  </si>
  <si>
    <t>157-53841325</t>
  </si>
  <si>
    <t>157-53841336</t>
  </si>
  <si>
    <t>157-53841454</t>
  </si>
  <si>
    <t>157-53841340</t>
  </si>
  <si>
    <t>157-53841351</t>
  </si>
  <si>
    <t>157-53841362</t>
  </si>
  <si>
    <t>157-53841384</t>
  </si>
  <si>
    <t>157-53839730</t>
  </si>
  <si>
    <t>157-53839741</t>
  </si>
  <si>
    <t>157-53841233</t>
  </si>
  <si>
    <t>157-53841395</t>
  </si>
  <si>
    <t>157-54210715</t>
  </si>
  <si>
    <t>157-53841406</t>
  </si>
  <si>
    <t>157-53841410</t>
  </si>
  <si>
    <t>157-54210730</t>
  </si>
  <si>
    <t>157-53841421</t>
  </si>
  <si>
    <t>157-53841432</t>
  </si>
  <si>
    <t>157-53840356</t>
  </si>
  <si>
    <t>157-53840290</t>
  </si>
  <si>
    <t>157-53839962</t>
  </si>
  <si>
    <t>157-53840010</t>
  </si>
  <si>
    <t>157-53840301</t>
  </si>
  <si>
    <t>157-53839973</t>
  </si>
  <si>
    <t>157-53840032</t>
  </si>
  <si>
    <t>157-53840043</t>
  </si>
  <si>
    <t>157-53840150</t>
  </si>
  <si>
    <t>157-53840054</t>
  </si>
  <si>
    <t>157-53840312</t>
  </si>
  <si>
    <t>157-53840323</t>
  </si>
  <si>
    <t>157-53840146</t>
  </si>
  <si>
    <t>157-53839391</t>
  </si>
  <si>
    <t>157-53840334</t>
  </si>
  <si>
    <t>157-53840161</t>
  </si>
  <si>
    <t>157-53840021</t>
  </si>
  <si>
    <t>157-53840135</t>
  </si>
  <si>
    <t>157-53839984</t>
  </si>
  <si>
    <t>157-53839995</t>
  </si>
  <si>
    <t>157-53840065</t>
  </si>
  <si>
    <t>157-53840076</t>
  </si>
  <si>
    <t>157-53840172</t>
  </si>
  <si>
    <t>157-53840183</t>
  </si>
  <si>
    <t>157-53840102</t>
  </si>
  <si>
    <t>157-53840220</t>
  </si>
  <si>
    <t>157-53840231</t>
  </si>
  <si>
    <t>157-53840113</t>
  </si>
  <si>
    <t>157-53840242</t>
  </si>
  <si>
    <t>157-53840253</t>
  </si>
  <si>
    <t>157-53840264</t>
  </si>
  <si>
    <t>157-53840345</t>
  </si>
  <si>
    <t>157-53839424</t>
  </si>
  <si>
    <t>157-53840124</t>
  </si>
  <si>
    <t>157-53840006</t>
  </si>
  <si>
    <t>157-53840275</t>
  </si>
  <si>
    <t>157-53840286</t>
  </si>
  <si>
    <t>157-53839811</t>
  </si>
  <si>
    <t>157-53839822</t>
  </si>
  <si>
    <t>157-53840080</t>
  </si>
  <si>
    <t>157-53840194</t>
  </si>
  <si>
    <t>157-53840091</t>
  </si>
  <si>
    <t>157-53840205</t>
  </si>
  <si>
    <t>157-53840216</t>
  </si>
  <si>
    <t>157-53839634</t>
  </si>
  <si>
    <t>157-53839645</t>
  </si>
  <si>
    <t>157-53839660</t>
  </si>
  <si>
    <t>157-53839656</t>
  </si>
  <si>
    <t>157-54210494</t>
  </si>
  <si>
    <t>157-54210505</t>
  </si>
  <si>
    <t>157-54210472</t>
  </si>
  <si>
    <t>157-54210461</t>
  </si>
  <si>
    <t>157-54210450</t>
  </si>
  <si>
    <t>157-53839671</t>
  </si>
  <si>
    <t>157-54210435</t>
  </si>
  <si>
    <t>157-54210424</t>
  </si>
  <si>
    <t>157-54210413</t>
  </si>
  <si>
    <t>157-54210446</t>
  </si>
  <si>
    <t>157-54210575</t>
  </si>
  <si>
    <t>157-54210564</t>
  </si>
  <si>
    <t>157-54210483</t>
  </si>
  <si>
    <t>157-54210516</t>
  </si>
  <si>
    <t>157-54210553</t>
  </si>
  <si>
    <t>157-54210531</t>
  </si>
  <si>
    <t>157-54210520</t>
  </si>
  <si>
    <t>157-54210586</t>
  </si>
  <si>
    <t>157-54210542</t>
  </si>
  <si>
    <t>157-54210590</t>
  </si>
  <si>
    <t>157-54210601</t>
  </si>
  <si>
    <t>157-54210612</t>
  </si>
  <si>
    <t>157-54210623</t>
  </si>
  <si>
    <t>157-54210634</t>
  </si>
  <si>
    <t>157-54210645</t>
  </si>
  <si>
    <t>157-54210656</t>
  </si>
  <si>
    <t>157-54210903</t>
  </si>
  <si>
    <t>160-09408324</t>
  </si>
  <si>
    <t>160-09408313</t>
  </si>
  <si>
    <t>936-00306832</t>
  </si>
  <si>
    <t>936-00306806</t>
  </si>
  <si>
    <t>936-00306821</t>
  </si>
  <si>
    <t>936-00306810</t>
  </si>
  <si>
    <t>936-00306795</t>
  </si>
  <si>
    <t>936-00306784</t>
  </si>
  <si>
    <t>936-00306736</t>
  </si>
  <si>
    <t>936-00306725</t>
  </si>
  <si>
    <t>936-00306773</t>
  </si>
  <si>
    <t>936-00306762</t>
  </si>
  <si>
    <t>936-00306751</t>
  </si>
  <si>
    <t>936-00306740</t>
  </si>
  <si>
    <t>065-46973920</t>
  </si>
  <si>
    <t>065-46973931</t>
  </si>
  <si>
    <t>065-46973942</t>
  </si>
  <si>
    <t>157-53443950</t>
  </si>
  <si>
    <t>157-53443810</t>
  </si>
  <si>
    <t>157-53443961</t>
  </si>
  <si>
    <t>157-53443821</t>
  </si>
  <si>
    <t>157-53443795</t>
  </si>
  <si>
    <t>157-53443806</t>
  </si>
  <si>
    <t>157-53839332</t>
  </si>
  <si>
    <t>157-53839892</t>
  </si>
  <si>
    <t>157-53839343</t>
  </si>
  <si>
    <t>157-53839951</t>
  </si>
  <si>
    <t>157-53443832</t>
  </si>
  <si>
    <t>157-53443843</t>
  </si>
  <si>
    <t>157-53443854</t>
  </si>
  <si>
    <t>157-53443880</t>
  </si>
  <si>
    <t>157-53443972</t>
  </si>
  <si>
    <t>157-53443891</t>
  </si>
  <si>
    <t>157-53443983</t>
  </si>
  <si>
    <t>157-53443902</t>
  </si>
  <si>
    <t>157-53443994</t>
  </si>
  <si>
    <t>157-53444005</t>
  </si>
  <si>
    <t>157-53443913</t>
  </si>
  <si>
    <t>157-53839800</t>
  </si>
  <si>
    <t>157-53443924</t>
  </si>
  <si>
    <t>157-53444016</t>
  </si>
  <si>
    <t>157-53839796</t>
  </si>
  <si>
    <t>157-53443935</t>
  </si>
  <si>
    <t>157-53839376</t>
  </si>
  <si>
    <t>157-53443946</t>
  </si>
  <si>
    <t>157-53839380</t>
  </si>
  <si>
    <t>157-53443876</t>
  </si>
  <si>
    <t>157-53443865</t>
  </si>
  <si>
    <t>157-53839354</t>
  </si>
  <si>
    <t>157-53839365</t>
  </si>
  <si>
    <t>157-53839903</t>
  </si>
  <si>
    <t>157-53839914</t>
  </si>
  <si>
    <t>157-53839925</t>
  </si>
  <si>
    <t>157-53839936</t>
  </si>
  <si>
    <t>157-53839402</t>
  </si>
  <si>
    <t>157-53839413</t>
  </si>
  <si>
    <t>157-53839940</t>
  </si>
  <si>
    <t>157-54210914</t>
  </si>
  <si>
    <t>157-54210892</t>
  </si>
  <si>
    <t>157-54210833</t>
  </si>
  <si>
    <t>157-54210811</t>
  </si>
  <si>
    <t>157-54210822</t>
  </si>
  <si>
    <t>157-54210844</t>
  </si>
  <si>
    <t>157-54210973</t>
  </si>
  <si>
    <t>157-54210951</t>
  </si>
  <si>
    <t>157-54210925</t>
  </si>
  <si>
    <t>157-54210962</t>
  </si>
  <si>
    <t>157-54210855</t>
  </si>
  <si>
    <t>157-54210866</t>
  </si>
  <si>
    <t>157-54210870</t>
  </si>
  <si>
    <t>157-54210881</t>
  </si>
  <si>
    <t>157-54210984</t>
  </si>
  <si>
    <t>157-54210995</t>
  </si>
  <si>
    <t>157-54211021</t>
  </si>
  <si>
    <t>157-54210796</t>
  </si>
  <si>
    <t>157-54211721</t>
  </si>
  <si>
    <t>157-54211695</t>
  </si>
  <si>
    <t>157-54211743</t>
  </si>
  <si>
    <t>157-54211754</t>
  </si>
  <si>
    <t>157-54211706</t>
  </si>
  <si>
    <t>157-54210940</t>
  </si>
  <si>
    <t>157-54210800</t>
  </si>
  <si>
    <t>157-54210936</t>
  </si>
  <si>
    <t>157-54211732</t>
  </si>
  <si>
    <t>157-54211710</t>
  </si>
  <si>
    <t>157-54211776</t>
  </si>
  <si>
    <t>157-54211780</t>
  </si>
  <si>
    <t>157-54211791</t>
  </si>
  <si>
    <t>157-54211802</t>
  </si>
  <si>
    <t>157-54211813</t>
  </si>
  <si>
    <t>160-09408372</t>
  </si>
  <si>
    <t>160-09408361</t>
  </si>
  <si>
    <t>172-92540803</t>
  </si>
  <si>
    <t>933-34502204</t>
  </si>
  <si>
    <t>003-30341150</t>
  </si>
  <si>
    <t>003-30335200</t>
  </si>
  <si>
    <t>003-30341161</t>
  </si>
  <si>
    <t>003-30335211</t>
  </si>
  <si>
    <t>003-30341172</t>
  </si>
  <si>
    <t>003-31630410</t>
  </si>
  <si>
    <t>003-30335222</t>
  </si>
  <si>
    <t>003-30335233</t>
  </si>
  <si>
    <t>003-30335115</t>
  </si>
  <si>
    <t>003-30341183</t>
  </si>
  <si>
    <t>003-31630421</t>
  </si>
  <si>
    <t>003-30341194</t>
  </si>
  <si>
    <t>003-31630432</t>
  </si>
  <si>
    <t>003-31630443</t>
  </si>
  <si>
    <t>003-31630476</t>
  </si>
  <si>
    <t>003-31630480</t>
  </si>
  <si>
    <t>003-30341216</t>
  </si>
  <si>
    <t>003-30341205</t>
  </si>
  <si>
    <t>003-31630454</t>
  </si>
  <si>
    <t>003-31630465</t>
  </si>
  <si>
    <t>157-53840404</t>
  </si>
  <si>
    <t>157-53840415</t>
  </si>
  <si>
    <t>157-53840706</t>
  </si>
  <si>
    <t>157-53840710</t>
  </si>
  <si>
    <t>157-53840522</t>
  </si>
  <si>
    <t>157-53840721</t>
  </si>
  <si>
    <t>157-53840533</t>
  </si>
  <si>
    <t>157-53840754</t>
  </si>
  <si>
    <t>157-53840371</t>
  </si>
  <si>
    <t>157-53839435</t>
  </si>
  <si>
    <t>157-53839446</t>
  </si>
  <si>
    <t>157-53840426</t>
  </si>
  <si>
    <t>157-53840430</t>
  </si>
  <si>
    <t>157-53840360</t>
  </si>
  <si>
    <t>157-53839450</t>
  </si>
  <si>
    <t>157-53840382</t>
  </si>
  <si>
    <t>157-53839461</t>
  </si>
  <si>
    <t>157-53840393</t>
  </si>
  <si>
    <t>157-53839472</t>
  </si>
  <si>
    <t>157-53839483</t>
  </si>
  <si>
    <t>157-53840695</t>
  </si>
  <si>
    <t>157-53840441</t>
  </si>
  <si>
    <t>157-53840452</t>
  </si>
  <si>
    <t>157-53840463</t>
  </si>
  <si>
    <t>157-53840544</t>
  </si>
  <si>
    <t>157-53840474</t>
  </si>
  <si>
    <t>157-53840555</t>
  </si>
  <si>
    <t>157-53840566</t>
  </si>
  <si>
    <t>157-53840570</t>
  </si>
  <si>
    <t>157-53840732</t>
  </si>
  <si>
    <t>157-53840743</t>
  </si>
  <si>
    <t>157-53840640</t>
  </si>
  <si>
    <t>157-53840485</t>
  </si>
  <si>
    <t>157-53840496</t>
  </si>
  <si>
    <t>157-53839564</t>
  </si>
  <si>
    <t>157-53840500</t>
  </si>
  <si>
    <t>157-53840651</t>
  </si>
  <si>
    <t>157-53840511</t>
  </si>
  <si>
    <t>157-53840662</t>
  </si>
  <si>
    <t>160-09408394</t>
  </si>
  <si>
    <t>160-09408383</t>
  </si>
  <si>
    <t>160-09408420</t>
  </si>
  <si>
    <t>160-09408416</t>
  </si>
  <si>
    <t>160-09408405</t>
  </si>
  <si>
    <t>172-92540814</t>
  </si>
  <si>
    <t>752-30182773</t>
  </si>
  <si>
    <t>752-30182784</t>
  </si>
  <si>
    <t>752-30182795</t>
  </si>
  <si>
    <t>752-30182806</t>
  </si>
  <si>
    <t>752-30182810</t>
  </si>
  <si>
    <t>752-30182821</t>
  </si>
  <si>
    <t>160-09408523</t>
  </si>
  <si>
    <t>160-09408512</t>
  </si>
  <si>
    <t>157-54211006</t>
  </si>
  <si>
    <t>157-54211010</t>
  </si>
  <si>
    <t>157-54212513</t>
  </si>
  <si>
    <t>157-54212443</t>
  </si>
  <si>
    <t>157-54212524</t>
  </si>
  <si>
    <t>157-54212535</t>
  </si>
  <si>
    <t>157-54212480</t>
  </si>
  <si>
    <t>157-54211846</t>
  </si>
  <si>
    <t>157-54212465</t>
  </si>
  <si>
    <t>157-54212546</t>
  </si>
  <si>
    <t>157-54211835</t>
  </si>
  <si>
    <t>157-54212454</t>
  </si>
  <si>
    <t>157-54212550</t>
  </si>
  <si>
    <t>157-54212476</t>
  </si>
  <si>
    <t>157-54212502</t>
  </si>
  <si>
    <t>157-54212561</t>
  </si>
  <si>
    <t>157-54212572</t>
  </si>
  <si>
    <t>157-54212594</t>
  </si>
  <si>
    <t>157-54212605</t>
  </si>
  <si>
    <t>157-54212491</t>
  </si>
  <si>
    <t>157-54212583</t>
  </si>
  <si>
    <t>157-54212620</t>
  </si>
  <si>
    <t>157-54211824</t>
  </si>
  <si>
    <t>157-54212616</t>
  </si>
  <si>
    <t>157-54212631</t>
  </si>
  <si>
    <t>157-54212642</t>
  </si>
  <si>
    <t>157-54212653</t>
  </si>
  <si>
    <t>157-54212675</t>
  </si>
  <si>
    <t>157-54212686</t>
  </si>
  <si>
    <t>157-54212664</t>
  </si>
  <si>
    <t>157-53840894</t>
  </si>
  <si>
    <t>157-53840905</t>
  </si>
  <si>
    <t>157-53840916</t>
  </si>
  <si>
    <t>157-53840581</t>
  </si>
  <si>
    <t>157-53840835</t>
  </si>
  <si>
    <t>157-53841045</t>
  </si>
  <si>
    <t>157-53841056</t>
  </si>
  <si>
    <t>157-53840883</t>
  </si>
  <si>
    <t>157-53841060</t>
  </si>
  <si>
    <t>157-53839844</t>
  </si>
  <si>
    <t>157-53839855</t>
  </si>
  <si>
    <t>157-53841071</t>
  </si>
  <si>
    <t>157-53839866</t>
  </si>
  <si>
    <t>157-53839870</t>
  </si>
  <si>
    <t>157-53841093</t>
  </si>
  <si>
    <t>157-53839520</t>
  </si>
  <si>
    <t>157-53840802</t>
  </si>
  <si>
    <t>157-53840953</t>
  </si>
  <si>
    <t>157-53840964</t>
  </si>
  <si>
    <t>157-53840813</t>
  </si>
  <si>
    <t>157-53840975</t>
  </si>
  <si>
    <t>157-53840986</t>
  </si>
  <si>
    <t>157-53840990</t>
  </si>
  <si>
    <t>157-53841126</t>
  </si>
  <si>
    <t>157-54211393</t>
  </si>
  <si>
    <t>157-54211404</t>
  </si>
  <si>
    <t>157-53841130</t>
  </si>
  <si>
    <t>157-53841141</t>
  </si>
  <si>
    <t>157-53840765</t>
  </si>
  <si>
    <t>157-53840942</t>
  </si>
  <si>
    <t>157-53840776</t>
  </si>
  <si>
    <t>157-53839505</t>
  </si>
  <si>
    <t>157-53839516</t>
  </si>
  <si>
    <t>157-53840824</t>
  </si>
  <si>
    <t>157-53841001</t>
  </si>
  <si>
    <t>157-53841012</t>
  </si>
  <si>
    <t>157-53841023</t>
  </si>
  <si>
    <t>157-53841034</t>
  </si>
  <si>
    <t>157-53840592</t>
  </si>
  <si>
    <t>157-53840603</t>
  </si>
  <si>
    <t>157-53840614</t>
  </si>
  <si>
    <t>157-53840625</t>
  </si>
  <si>
    <t>157-53840636</t>
  </si>
  <si>
    <t>157-53840673</t>
  </si>
  <si>
    <t>157-53841104</t>
  </si>
  <si>
    <t>157-53841082</t>
  </si>
  <si>
    <t>157-53841115</t>
  </si>
  <si>
    <t>157-53839833</t>
  </si>
  <si>
    <t>157-53840684</t>
  </si>
  <si>
    <t>157-53841152</t>
  </si>
  <si>
    <t>157-53839494</t>
  </si>
  <si>
    <t>157-53840931</t>
  </si>
  <si>
    <t>157-53841793</t>
  </si>
  <si>
    <t>157-53841605</t>
  </si>
  <si>
    <t>157-53841583</t>
  </si>
  <si>
    <t>157-53839590</t>
  </si>
  <si>
    <t>157-54211113</t>
  </si>
  <si>
    <t>157-54211124</t>
  </si>
  <si>
    <t>157-53841712</t>
  </si>
  <si>
    <t>157-53841723</t>
  </si>
  <si>
    <t>157-53841535</t>
  </si>
  <si>
    <t>157-53839586</t>
  </si>
  <si>
    <t>157-53841550</t>
  </si>
  <si>
    <t>157-54211426</t>
  </si>
  <si>
    <t>157-53841631</t>
  </si>
  <si>
    <t>157-53841782</t>
  </si>
  <si>
    <t>157-53841594</t>
  </si>
  <si>
    <t>157-54211080</t>
  </si>
  <si>
    <t>157-53841561</t>
  </si>
  <si>
    <t>157-53841491</t>
  </si>
  <si>
    <t>157-53841756</t>
  </si>
  <si>
    <t>157-53841675</t>
  </si>
  <si>
    <t>157-53841513</t>
  </si>
  <si>
    <t>157-53841572</t>
  </si>
  <si>
    <t>157-53841745</t>
  </si>
  <si>
    <t>157-53841760</t>
  </si>
  <si>
    <t>157-53841502</t>
  </si>
  <si>
    <t>157-53841815</t>
  </si>
  <si>
    <t>157-54211102</t>
  </si>
  <si>
    <t>157-54211135</t>
  </si>
  <si>
    <t>157-53841804</t>
  </si>
  <si>
    <t>157-54211076</t>
  </si>
  <si>
    <t>157-53841734</t>
  </si>
  <si>
    <t>157-53841690</t>
  </si>
  <si>
    <t>157-53841524</t>
  </si>
  <si>
    <t>157-53841664</t>
  </si>
  <si>
    <t>157-54211065</t>
  </si>
  <si>
    <t>157-53841771</t>
  </si>
  <si>
    <t>157-54211091</t>
  </si>
  <si>
    <t>157-53841546</t>
  </si>
  <si>
    <t>157-53841653</t>
  </si>
  <si>
    <t>157-53841616</t>
  </si>
  <si>
    <t>157-53841642</t>
  </si>
  <si>
    <t>157-53841701</t>
  </si>
  <si>
    <t>157-53841620</t>
  </si>
  <si>
    <t>157-53841686</t>
  </si>
  <si>
    <t>369-98457074</t>
  </si>
  <si>
    <t>369-98456831</t>
  </si>
  <si>
    <t>369-98456842</t>
  </si>
  <si>
    <t>369-98457085</t>
  </si>
  <si>
    <t>369-98457096</t>
  </si>
  <si>
    <t>369-98456960</t>
  </si>
  <si>
    <t>369-98456956</t>
  </si>
  <si>
    <t>369-98441254</t>
  </si>
  <si>
    <t>369-98441243</t>
  </si>
  <si>
    <t>369-98441232</t>
  </si>
  <si>
    <t>369-98453305</t>
  </si>
  <si>
    <t>369-98453316</t>
  </si>
  <si>
    <t>369-98453294</t>
  </si>
  <si>
    <t>369-98453283</t>
  </si>
  <si>
    <t>369-98453250</t>
  </si>
  <si>
    <t>369-98453246</t>
  </si>
  <si>
    <t>369-98453235</t>
  </si>
  <si>
    <t>369-98453224</t>
  </si>
  <si>
    <t>369-98453261</t>
  </si>
  <si>
    <t>369-98453272</t>
  </si>
  <si>
    <t>369-98453213</t>
  </si>
  <si>
    <t>369-98453202</t>
  </si>
  <si>
    <t>369-98453191</t>
  </si>
  <si>
    <t>369-98453180</t>
  </si>
  <si>
    <t>369-98453143</t>
  </si>
  <si>
    <t>369-98453132</t>
  </si>
  <si>
    <t>369-98453121</t>
  </si>
  <si>
    <t>369-98453110</t>
  </si>
  <si>
    <t>369-98453106</t>
  </si>
  <si>
    <t>369-98453095</t>
  </si>
  <si>
    <t>369-98453084</t>
  </si>
  <si>
    <t>369-98452992</t>
  </si>
  <si>
    <t>369-98452981</t>
  </si>
  <si>
    <t>369-98453073</t>
  </si>
  <si>
    <t>369-98453051</t>
  </si>
  <si>
    <t>369-98453040</t>
  </si>
  <si>
    <t>369-98453062</t>
  </si>
  <si>
    <t>369-98453320</t>
  </si>
  <si>
    <t>369-98453331</t>
  </si>
  <si>
    <t>369-98453342</t>
  </si>
  <si>
    <t>369-98453353</t>
  </si>
  <si>
    <t>369-98453003</t>
  </si>
  <si>
    <t>752-30182832</t>
  </si>
  <si>
    <t>752-30182913</t>
  </si>
  <si>
    <t>752-30182891</t>
  </si>
  <si>
    <t>752-30182876</t>
  </si>
  <si>
    <t>752-30182843</t>
  </si>
  <si>
    <t>752-30182902</t>
  </si>
  <si>
    <t>752-30182854</t>
  </si>
  <si>
    <t>752-30182865</t>
  </si>
  <si>
    <t>752-30182950</t>
  </si>
  <si>
    <t>752-30183016</t>
  </si>
  <si>
    <t>752-30182972</t>
  </si>
  <si>
    <t>752-30182994</t>
  </si>
  <si>
    <t>752-30182880</t>
  </si>
  <si>
    <t>752-30182961</t>
  </si>
  <si>
    <t>752-30182983</t>
  </si>
  <si>
    <t>752-30183005</t>
  </si>
  <si>
    <t>752-30182946</t>
  </si>
  <si>
    <t>752-30182935</t>
  </si>
  <si>
    <t>752-30182924</t>
  </si>
  <si>
    <t>065-46973953</t>
  </si>
  <si>
    <t>065-46973710</t>
  </si>
  <si>
    <t>065-46973706</t>
  </si>
  <si>
    <t>065-46973695</t>
  </si>
  <si>
    <t>065-46973986</t>
  </si>
  <si>
    <t>065-46973990</t>
  </si>
  <si>
    <t>065-46974001</t>
  </si>
  <si>
    <t>065-46973684</t>
  </si>
  <si>
    <t>160-09408534</t>
  </si>
  <si>
    <t>160-09408545</t>
  </si>
  <si>
    <t>K4205</t>
  </si>
  <si>
    <t>936-02197300</t>
  </si>
  <si>
    <t>936-02197322</t>
  </si>
  <si>
    <t>994-32704206</t>
  </si>
  <si>
    <t>003-30335152</t>
  </si>
  <si>
    <t>003-30335163</t>
  </si>
  <si>
    <t>003-31630583</t>
  </si>
  <si>
    <t>003-30335196</t>
  </si>
  <si>
    <t>003-30335174</t>
  </si>
  <si>
    <t>003-31630874</t>
  </si>
  <si>
    <t>003-31630841</t>
  </si>
  <si>
    <t>003-31630885</t>
  </si>
  <si>
    <t>003-30335185</t>
  </si>
  <si>
    <t>160-09408556</t>
  </si>
  <si>
    <t>160-09408560</t>
  </si>
  <si>
    <t>157-54215335</t>
  </si>
  <si>
    <t>157-54215350</t>
  </si>
  <si>
    <t>157-54215291</t>
  </si>
  <si>
    <t>157-54215324</t>
  </si>
  <si>
    <t>157-54215302</t>
  </si>
  <si>
    <t>157-54215372</t>
  </si>
  <si>
    <t>157-54215383</t>
  </si>
  <si>
    <t>157-54215361</t>
  </si>
  <si>
    <t>157-54215280</t>
  </si>
  <si>
    <t>157-54215313</t>
  </si>
  <si>
    <t>157-54215453</t>
  </si>
  <si>
    <t>157-54215442</t>
  </si>
  <si>
    <t>157-54215346</t>
  </si>
  <si>
    <t>157-54215431</t>
  </si>
  <si>
    <t>157-54215486</t>
  </si>
  <si>
    <t>157-54215464</t>
  </si>
  <si>
    <t>157-54215475</t>
  </si>
  <si>
    <t>157-54211441</t>
  </si>
  <si>
    <t>157-54211430</t>
  </si>
  <si>
    <t>157-54215394</t>
  </si>
  <si>
    <t>157-54211452</t>
  </si>
  <si>
    <t>157-54215523</t>
  </si>
  <si>
    <t>157-54211463</t>
  </si>
  <si>
    <t>157-54215405</t>
  </si>
  <si>
    <t>157-54215512</t>
  </si>
  <si>
    <t>157-54215501</t>
  </si>
  <si>
    <t>157-54215416</t>
  </si>
  <si>
    <t>157-54215420</t>
  </si>
  <si>
    <t>157-54215490</t>
  </si>
  <si>
    <t>157-54211474</t>
  </si>
  <si>
    <t>157-54214311</t>
  </si>
  <si>
    <t>157-54214506</t>
  </si>
  <si>
    <t>157-54214484</t>
  </si>
  <si>
    <t>157-54214473</t>
  </si>
  <si>
    <t>157-54214322</t>
  </si>
  <si>
    <t>157-54211555</t>
  </si>
  <si>
    <t>157-54211544</t>
  </si>
  <si>
    <t>157-54211533</t>
  </si>
  <si>
    <t>157-54211522</t>
  </si>
  <si>
    <t>157-53839553</t>
  </si>
  <si>
    <t>157-53839542</t>
  </si>
  <si>
    <t>157-53839531</t>
  </si>
  <si>
    <t>157-54214521</t>
  </si>
  <si>
    <t>157-54214414</t>
  </si>
  <si>
    <t>157-54214403</t>
  </si>
  <si>
    <t>157-54214510</t>
  </si>
  <si>
    <t>157-54214440</t>
  </si>
  <si>
    <t>157-54214495</t>
  </si>
  <si>
    <t>157-54214436</t>
  </si>
  <si>
    <t>157-54214565</t>
  </si>
  <si>
    <t>157-54214554</t>
  </si>
  <si>
    <t>157-54214355</t>
  </si>
  <si>
    <t>157-54214543</t>
  </si>
  <si>
    <t>157-54214532</t>
  </si>
  <si>
    <t>157-54214366</t>
  </si>
  <si>
    <t>157-54214392</t>
  </si>
  <si>
    <t>157-54214370</t>
  </si>
  <si>
    <t>157-54214602</t>
  </si>
  <si>
    <t>157-54214591</t>
  </si>
  <si>
    <t>157-54214300</t>
  </si>
  <si>
    <t>157-54214576</t>
  </si>
  <si>
    <t>157-54214425</t>
  </si>
  <si>
    <t>157-54214381</t>
  </si>
  <si>
    <t>157-54214613</t>
  </si>
  <si>
    <t>157-54214344</t>
  </si>
  <si>
    <t>157-54214333</t>
  </si>
  <si>
    <t>157-53839881</t>
  </si>
  <si>
    <t>157-54211146</t>
  </si>
  <si>
    <t>157-53839575</t>
  </si>
  <si>
    <t>157-54214296</t>
  </si>
  <si>
    <t>157-54214451</t>
  </si>
  <si>
    <t>157-54211636</t>
  </si>
  <si>
    <t>157-54211625</t>
  </si>
  <si>
    <t>157-54214462</t>
  </si>
  <si>
    <t>157-54211614</t>
  </si>
  <si>
    <t>157-54211640</t>
  </si>
  <si>
    <t>157-54214580</t>
  </si>
  <si>
    <t>5Y8030(OPEN)</t>
  </si>
  <si>
    <t>369-98456853</t>
  </si>
  <si>
    <t>369-98456864</t>
  </si>
  <si>
    <t>369-98457100</t>
  </si>
  <si>
    <t>369-98456971</t>
  </si>
  <si>
    <t>369-98456982</t>
  </si>
  <si>
    <t>369-98457111</t>
  </si>
  <si>
    <t>369-98457122</t>
  </si>
  <si>
    <t>369-98453434</t>
  </si>
  <si>
    <t>369-98453445</t>
  </si>
  <si>
    <t>369-98453456</t>
  </si>
  <si>
    <t>369-98453460</t>
  </si>
  <si>
    <t>369-98453471</t>
  </si>
  <si>
    <t>369-98453482</t>
  </si>
  <si>
    <t>369-98453493</t>
  </si>
  <si>
    <t>369-98453504</t>
  </si>
  <si>
    <t>369-98453541</t>
  </si>
  <si>
    <t>369-98453552</t>
  </si>
  <si>
    <t>369-98453611</t>
  </si>
  <si>
    <t>369-98453600</t>
  </si>
  <si>
    <t>369-98453622</t>
  </si>
  <si>
    <t>369-98453423</t>
  </si>
  <si>
    <t>369-98453644</t>
  </si>
  <si>
    <t>369-98453364</t>
  </si>
  <si>
    <t>369-98453375</t>
  </si>
  <si>
    <t>369-98453386</t>
  </si>
  <si>
    <t>369-98453390</t>
  </si>
  <si>
    <t>369-98453401</t>
  </si>
  <si>
    <t>369-98453412</t>
  </si>
  <si>
    <t>369-98453633</t>
  </si>
  <si>
    <t>369-98453670</t>
  </si>
  <si>
    <t>369-98453681</t>
  </si>
  <si>
    <t>369-98453563</t>
  </si>
  <si>
    <t>369-98453515</t>
  </si>
  <si>
    <t>369-98453526</t>
  </si>
  <si>
    <t>369-98453530</t>
  </si>
  <si>
    <t>369-98453574</t>
  </si>
  <si>
    <t>369-98453585</t>
  </si>
  <si>
    <t>369-98453596</t>
  </si>
  <si>
    <t>369-98453655</t>
  </si>
  <si>
    <t>369-98453666</t>
  </si>
  <si>
    <t>752-30183086</t>
  </si>
  <si>
    <t xml:space="preserve"> </t>
  </si>
  <si>
    <t>752-30183075</t>
  </si>
  <si>
    <t>752-30183064</t>
  </si>
  <si>
    <t>752-30183053</t>
  </si>
  <si>
    <t>752-30183042</t>
  </si>
  <si>
    <t>752-30183031</t>
  </si>
  <si>
    <t>752-30183020</t>
  </si>
  <si>
    <t>752-30183090</t>
  </si>
  <si>
    <t>752-30183101</t>
  </si>
  <si>
    <t>752-30183112</t>
  </si>
  <si>
    <t>752-30183123</t>
  </si>
  <si>
    <t>752-30183134</t>
  </si>
  <si>
    <t>936-00307495</t>
  </si>
  <si>
    <t>936-00307591</t>
  </si>
  <si>
    <t>936-00307580</t>
  </si>
  <si>
    <t>936-00307451</t>
  </si>
  <si>
    <t>936-00307484</t>
  </si>
  <si>
    <t>936-00307462</t>
  </si>
  <si>
    <t>936-00307440</t>
  </si>
  <si>
    <t>936-00307436</t>
  </si>
  <si>
    <t>936-00307425</t>
  </si>
  <si>
    <t>936-00307473</t>
  </si>
  <si>
    <t>065-46973732</t>
  </si>
  <si>
    <t>065-46973743</t>
  </si>
  <si>
    <t>065-46973754</t>
  </si>
  <si>
    <t>065-46974034</t>
  </si>
  <si>
    <t>065-46973964</t>
  </si>
  <si>
    <t>065-46973975</t>
  </si>
  <si>
    <t>065-46973721</t>
  </si>
  <si>
    <t>065-46974012</t>
  </si>
  <si>
    <t>065-46974023</t>
  </si>
  <si>
    <t>065-46974056</t>
  </si>
  <si>
    <t>160-09408582</t>
  </si>
  <si>
    <t>160-09408571</t>
  </si>
  <si>
    <t>235-97945503</t>
  </si>
  <si>
    <t>235-97945481</t>
  </si>
  <si>
    <t>752-30183274</t>
  </si>
  <si>
    <t>752-30183344</t>
  </si>
  <si>
    <t>752-30183322</t>
  </si>
  <si>
    <t>752-30183311</t>
  </si>
  <si>
    <t>752-30183300</t>
  </si>
  <si>
    <t>752-30183296</t>
  </si>
  <si>
    <t>752-30183285</t>
  </si>
  <si>
    <t>752-30183252</t>
  </si>
  <si>
    <t>752-30183241</t>
  </si>
  <si>
    <t>752-30183230</t>
  </si>
  <si>
    <t>752-30183226</t>
  </si>
  <si>
    <t>752-30183366</t>
  </si>
  <si>
    <t>752-30183355</t>
  </si>
  <si>
    <t>752-30183333</t>
  </si>
  <si>
    <t>752-30183425</t>
  </si>
  <si>
    <t>752-30183451</t>
  </si>
  <si>
    <t>752-30183440</t>
  </si>
  <si>
    <t>752-30183436</t>
  </si>
  <si>
    <t>752-30183263</t>
  </si>
  <si>
    <t>752-30183204</t>
  </si>
  <si>
    <t>752-30183193</t>
  </si>
  <si>
    <t>752-30183171</t>
  </si>
  <si>
    <t>752-30183145</t>
  </si>
  <si>
    <t>752-30183182</t>
  </si>
  <si>
    <t>752-30183156</t>
  </si>
  <si>
    <t>752-30183160</t>
  </si>
  <si>
    <t>752-30183215</t>
  </si>
  <si>
    <t>065-46973780</t>
  </si>
  <si>
    <t>065-46973776</t>
  </si>
  <si>
    <t>065-46974045</t>
  </si>
  <si>
    <t>065-46974303</t>
  </si>
  <si>
    <t>065-46973791</t>
  </si>
  <si>
    <t>157-54211485</t>
  </si>
  <si>
    <t>157-54211496</t>
  </si>
  <si>
    <t>157-54215534</t>
  </si>
  <si>
    <t>157-54211500</t>
  </si>
  <si>
    <t>157-54215556</t>
  </si>
  <si>
    <t>157-54215560</t>
  </si>
  <si>
    <t>157-54215545</t>
  </si>
  <si>
    <t>157-54215571</t>
  </si>
  <si>
    <t>157-54215604</t>
  </si>
  <si>
    <t>157-54215615</t>
  </si>
  <si>
    <t>157-58070040</t>
  </si>
  <si>
    <t>157-54215582</t>
  </si>
  <si>
    <t>157-54215593</t>
  </si>
  <si>
    <t>157-54211511</t>
  </si>
  <si>
    <t>157-54215630</t>
  </si>
  <si>
    <t>157-54215626</t>
  </si>
  <si>
    <t>157-58070051</t>
  </si>
  <si>
    <t>157-58070062</t>
  </si>
  <si>
    <t>157-58070073</t>
  </si>
  <si>
    <t>157-58070106</t>
  </si>
  <si>
    <t>157-58070121</t>
  </si>
  <si>
    <t>157-58070110</t>
  </si>
  <si>
    <t>157-58070095</t>
  </si>
  <si>
    <t>157-58070165</t>
  </si>
  <si>
    <t>157-58070154</t>
  </si>
  <si>
    <t>157-58070176</t>
  </si>
  <si>
    <t>157-58070143</t>
  </si>
  <si>
    <t>157-58070191</t>
  </si>
  <si>
    <t>157-58070132</t>
  </si>
  <si>
    <t>157-58070180</t>
  </si>
  <si>
    <t>157-58070084</t>
  </si>
  <si>
    <t>157-58070202</t>
  </si>
  <si>
    <t>157-58070213</t>
  </si>
  <si>
    <t>QR8083</t>
  </si>
  <si>
    <t>157-54214624</t>
  </si>
  <si>
    <t>157-54211684</t>
  </si>
  <si>
    <t>157-54214952</t>
  </si>
  <si>
    <t>157-54214646</t>
  </si>
  <si>
    <t>157-54214904</t>
  </si>
  <si>
    <t>157-54214650</t>
  </si>
  <si>
    <t>157-54214661</t>
  </si>
  <si>
    <t>157-54214856</t>
  </si>
  <si>
    <t>157-54214683</t>
  </si>
  <si>
    <t>157-54211662</t>
  </si>
  <si>
    <t>157-54214694</t>
  </si>
  <si>
    <t>157-54211651</t>
  </si>
  <si>
    <t>157-54214930</t>
  </si>
  <si>
    <t>157-54214941</t>
  </si>
  <si>
    <t>157-54214705</t>
  </si>
  <si>
    <t>157-54214716</t>
  </si>
  <si>
    <t>157-54214926</t>
  </si>
  <si>
    <t>157-54214720</t>
  </si>
  <si>
    <t>157-54214731</t>
  </si>
  <si>
    <t>157-54214860</t>
  </si>
  <si>
    <t>157-54214742</t>
  </si>
  <si>
    <t>157-54214753</t>
  </si>
  <si>
    <t>157-54214845</t>
  </si>
  <si>
    <t>157-54214764</t>
  </si>
  <si>
    <t>157-54214915</t>
  </si>
  <si>
    <t>157-54214775</t>
  </si>
  <si>
    <t>157-54214871</t>
  </si>
  <si>
    <t>157-54214786</t>
  </si>
  <si>
    <t>157-54214882</t>
  </si>
  <si>
    <t>157-54214790</t>
  </si>
  <si>
    <t>157-54214893</t>
  </si>
  <si>
    <t>157-54214801</t>
  </si>
  <si>
    <t>157-54214812</t>
  </si>
  <si>
    <t>157-54211673</t>
  </si>
  <si>
    <t>157-54214963</t>
  </si>
  <si>
    <t>157-54214823</t>
  </si>
  <si>
    <t>157-54214672</t>
  </si>
  <si>
    <t>157-54214635</t>
  </si>
  <si>
    <t>157-54211172</t>
  </si>
  <si>
    <t>157-54211183</t>
  </si>
  <si>
    <t>157-54211194</t>
  </si>
  <si>
    <t>157-54211231</t>
  </si>
  <si>
    <t>157-54211242</t>
  </si>
  <si>
    <t>157-54211253</t>
  </si>
  <si>
    <t>157-54212771</t>
  </si>
  <si>
    <t>157-54212760</t>
  </si>
  <si>
    <t>157-54212756</t>
  </si>
  <si>
    <t>157-54211205</t>
  </si>
  <si>
    <t>157-54213073</t>
  </si>
  <si>
    <t>157-54212734</t>
  </si>
  <si>
    <t>157-53840872</t>
  </si>
  <si>
    <t>157-53840861</t>
  </si>
  <si>
    <t>157-54212690</t>
  </si>
  <si>
    <t>157-54211264</t>
  </si>
  <si>
    <t>157-54212782</t>
  </si>
  <si>
    <t>157-54212793</t>
  </si>
  <si>
    <t>157-54212804</t>
  </si>
  <si>
    <t>157-54212815</t>
  </si>
  <si>
    <t>157-54212826</t>
  </si>
  <si>
    <t>157-54212830</t>
  </si>
  <si>
    <t>157-54213036</t>
  </si>
  <si>
    <t>157-54213051</t>
  </si>
  <si>
    <t>157-54213040</t>
  </si>
  <si>
    <t>157-54213062</t>
  </si>
  <si>
    <t>157-54213084</t>
  </si>
  <si>
    <t>157-54212841</t>
  </si>
  <si>
    <t>157-54212745</t>
  </si>
  <si>
    <t>157-54212852</t>
  </si>
  <si>
    <t>157-54212911</t>
  </si>
  <si>
    <t>157-54212900</t>
  </si>
  <si>
    <t>157-54212922</t>
  </si>
  <si>
    <t>157-54212712</t>
  </si>
  <si>
    <t>157-54212723</t>
  </si>
  <si>
    <t>157-54212701</t>
  </si>
  <si>
    <t>157-54213025</t>
  </si>
  <si>
    <t>157-54212863</t>
  </si>
  <si>
    <t>157-54212933</t>
  </si>
  <si>
    <t>157-54212874</t>
  </si>
  <si>
    <t>157-54212944</t>
  </si>
  <si>
    <t>157-54212955</t>
  </si>
  <si>
    <t>157-54212885</t>
  </si>
  <si>
    <t>157-54212966</t>
  </si>
  <si>
    <t>157-54212896</t>
  </si>
  <si>
    <t>157-54211216</t>
  </si>
  <si>
    <t>157-54211220</t>
  </si>
  <si>
    <t>157-54213132</t>
  </si>
  <si>
    <t>157-53840850</t>
  </si>
  <si>
    <t>157-53840846</t>
  </si>
  <si>
    <t>157-54213272</t>
  </si>
  <si>
    <t>157-54213283</t>
  </si>
  <si>
    <t>157-54213224</t>
  </si>
  <si>
    <t>157-54213331</t>
  </si>
  <si>
    <t>157-54213471</t>
  </si>
  <si>
    <t>157-54213342</t>
  </si>
  <si>
    <t>157-54213235</t>
  </si>
  <si>
    <t>157-54213320</t>
  </si>
  <si>
    <t>157-54213246</t>
  </si>
  <si>
    <t>157-54213250</t>
  </si>
  <si>
    <t>157-54213261</t>
  </si>
  <si>
    <t>157-54213165</t>
  </si>
  <si>
    <t>157-54213154</t>
  </si>
  <si>
    <t>157-54213482</t>
  </si>
  <si>
    <t>157-54213176</t>
  </si>
  <si>
    <t>157-54213180</t>
  </si>
  <si>
    <t>157-54213191</t>
  </si>
  <si>
    <t>157-54213143</t>
  </si>
  <si>
    <t>157-54213386</t>
  </si>
  <si>
    <t>157-54213364</t>
  </si>
  <si>
    <t>157-54213213</t>
  </si>
  <si>
    <t>157-54213202</t>
  </si>
  <si>
    <t>157-54213353</t>
  </si>
  <si>
    <t>157-54213375</t>
  </si>
  <si>
    <t>157-54213294</t>
  </si>
  <si>
    <t>157-54213095</t>
  </si>
  <si>
    <t>157-54213401</t>
  </si>
  <si>
    <t>157-54213106</t>
  </si>
  <si>
    <t>157-54213390</t>
  </si>
  <si>
    <t>157-54213110</t>
  </si>
  <si>
    <t>1182.23+</t>
  </si>
  <si>
    <t>157-54213121</t>
  </si>
  <si>
    <t>157-54213423</t>
  </si>
  <si>
    <t>157-54213305</t>
  </si>
  <si>
    <t>157-54213412</t>
  </si>
  <si>
    <t>157-54213434</t>
  </si>
  <si>
    <t>157-54212970</t>
  </si>
  <si>
    <t>157-54212981</t>
  </si>
  <si>
    <t>157-54213316</t>
  </si>
  <si>
    <t>157-54213460</t>
  </si>
  <si>
    <t>157-54213445</t>
  </si>
  <si>
    <t>157-54212992</t>
  </si>
  <si>
    <t>157-54213003</t>
  </si>
  <si>
    <t>157-54213014</t>
  </si>
  <si>
    <t>157-54213456</t>
  </si>
  <si>
    <t>160-09408604</t>
  </si>
  <si>
    <t>160-09408593</t>
  </si>
  <si>
    <t>160-09408626</t>
  </si>
  <si>
    <t>160-09408615</t>
  </si>
  <si>
    <t>160-09408630</t>
  </si>
  <si>
    <t>TK6193</t>
  </si>
  <si>
    <t>235-97945514</t>
  </si>
  <si>
    <t>752-30183672</t>
  </si>
  <si>
    <t>752-30183661</t>
  </si>
  <si>
    <t>752-30183613</t>
  </si>
  <si>
    <t>752-30183624</t>
  </si>
  <si>
    <t>752-30183635</t>
  </si>
  <si>
    <t>752-30183646</t>
  </si>
  <si>
    <t>752-30183650</t>
  </si>
  <si>
    <t>5C1852</t>
  </si>
  <si>
    <t>752-30183462</t>
  </si>
  <si>
    <t>752-30183473</t>
  </si>
  <si>
    <t>752-30183484</t>
  </si>
  <si>
    <t>752-30183495</t>
  </si>
  <si>
    <t>752-30183506</t>
  </si>
  <si>
    <t>752-30183510</t>
  </si>
  <si>
    <t>752-30183521</t>
  </si>
  <si>
    <t>752-30183532</t>
  </si>
  <si>
    <t>752-30183543</t>
  </si>
  <si>
    <t>752-30183554</t>
  </si>
  <si>
    <t>752-30183565</t>
  </si>
  <si>
    <t>752-30183576</t>
  </si>
  <si>
    <t>752-30183580</t>
  </si>
  <si>
    <t>752-30183591</t>
  </si>
  <si>
    <t>752-30183602</t>
  </si>
  <si>
    <t>752-30183683</t>
  </si>
  <si>
    <t>936-02197366</t>
  </si>
  <si>
    <t>936-02197311</t>
  </si>
  <si>
    <t>065-46973813</t>
  </si>
  <si>
    <t>065-46974314</t>
  </si>
  <si>
    <t>065-46973824</t>
  </si>
  <si>
    <t>065-46974325</t>
  </si>
  <si>
    <t>065-46973835</t>
  </si>
  <si>
    <t>065-46974336</t>
  </si>
  <si>
    <t>160-09408652</t>
  </si>
  <si>
    <t>160-09408641</t>
  </si>
  <si>
    <t>235-97945492</t>
  </si>
  <si>
    <t>752-30183764</t>
  </si>
  <si>
    <t>752-30183694</t>
  </si>
  <si>
    <t>752-30183705</t>
  </si>
  <si>
    <t>752-30183716</t>
  </si>
  <si>
    <t>752-30183720</t>
  </si>
  <si>
    <t>752-30183731</t>
  </si>
  <si>
    <t>752-30183742</t>
  </si>
  <si>
    <t>752-30183753</t>
  </si>
  <si>
    <t>003-31630745</t>
  </si>
  <si>
    <t>003-31631025</t>
  </si>
  <si>
    <t>003-31630756</t>
  </si>
  <si>
    <t>003-31631261</t>
  </si>
  <si>
    <t>003-31630760</t>
  </si>
  <si>
    <t>003-31630771</t>
  </si>
  <si>
    <t>003-31630782</t>
  </si>
  <si>
    <t>003-31631272</t>
  </si>
  <si>
    <t>003-31631283</t>
  </si>
  <si>
    <t>065-46973850</t>
  </si>
  <si>
    <t>065-46974340</t>
  </si>
  <si>
    <t>065-46973861</t>
  </si>
  <si>
    <t>065-46974351</t>
  </si>
  <si>
    <t>065-46974362</t>
  </si>
  <si>
    <t>065-46973872</t>
  </si>
  <si>
    <t>065-46974395</t>
  </si>
  <si>
    <t>065-46974384</t>
  </si>
  <si>
    <t>065-46974373</t>
  </si>
  <si>
    <t>065-46973846</t>
  </si>
  <si>
    <t>157-58070320</t>
  </si>
  <si>
    <t>157-58070272</t>
  </si>
  <si>
    <t>157-58070283</t>
  </si>
  <si>
    <t>157-58070331</t>
  </si>
  <si>
    <t>157-58070342</t>
  </si>
  <si>
    <t>157-58070235</t>
  </si>
  <si>
    <t>157-58070250</t>
  </si>
  <si>
    <t>157-58070261</t>
  </si>
  <si>
    <t>157-58070224</t>
  </si>
  <si>
    <t>157-58070316</t>
  </si>
  <si>
    <t>157-58070246</t>
  </si>
  <si>
    <t>157-58070305</t>
  </si>
  <si>
    <t>157-58070294</t>
  </si>
  <si>
    <t>157-58070364</t>
  </si>
  <si>
    <t>157-58070375</t>
  </si>
  <si>
    <t>157-58070423</t>
  </si>
  <si>
    <t>157-58070390</t>
  </si>
  <si>
    <t>157-58070401</t>
  </si>
  <si>
    <t>157-58070353</t>
  </si>
  <si>
    <t>157-58070386</t>
  </si>
  <si>
    <t>157-58072744</t>
  </si>
  <si>
    <t>157-58070412</t>
  </si>
  <si>
    <t>157-58072792</t>
  </si>
  <si>
    <t>157-58072755</t>
  </si>
  <si>
    <t>157-58072700</t>
  </si>
  <si>
    <t>157-58072711</t>
  </si>
  <si>
    <t>157-58072766</t>
  </si>
  <si>
    <t>157-58072733</t>
  </si>
  <si>
    <t>157-58072722</t>
  </si>
  <si>
    <t>157-58072814</t>
  </si>
  <si>
    <t>157-58072770</t>
  </si>
  <si>
    <t>157-58072781</t>
  </si>
  <si>
    <t>157-58072825</t>
  </si>
  <si>
    <t>157-58072803</t>
  </si>
  <si>
    <t>157-58072836</t>
  </si>
  <si>
    <t>157-58072840</t>
  </si>
  <si>
    <t>157-54213821</t>
  </si>
  <si>
    <t>157-54213493</t>
  </si>
  <si>
    <t>157-54213504</t>
  </si>
  <si>
    <t>157-54213515</t>
  </si>
  <si>
    <t>157-54213574</t>
  </si>
  <si>
    <t>157-54213530</t>
  </si>
  <si>
    <t>157-54213541</t>
  </si>
  <si>
    <t>157-54213563</t>
  </si>
  <si>
    <t>157-54213880</t>
  </si>
  <si>
    <t>157-54213810</t>
  </si>
  <si>
    <t>157-54213762</t>
  </si>
  <si>
    <t>157-53840791</t>
  </si>
  <si>
    <t>157-54213552</t>
  </si>
  <si>
    <t>157-54213585</t>
  </si>
  <si>
    <t>157-54213876</t>
  </si>
  <si>
    <t>157-54213596</t>
  </si>
  <si>
    <t>157-54213526</t>
  </si>
  <si>
    <t>157-54213655</t>
  </si>
  <si>
    <t>157-54213666</t>
  </si>
  <si>
    <t>157-54213600</t>
  </si>
  <si>
    <t>157-54213670</t>
  </si>
  <si>
    <t>157-54213611</t>
  </si>
  <si>
    <t>157-54213681</t>
  </si>
  <si>
    <t>157-54213832</t>
  </si>
  <si>
    <t>157-54213692</t>
  </si>
  <si>
    <t>157-54213843</t>
  </si>
  <si>
    <t>157-54213703</t>
  </si>
  <si>
    <t>157-54213854</t>
  </si>
  <si>
    <t>157-54213714</t>
  </si>
  <si>
    <t>157-54213865</t>
  </si>
  <si>
    <t>157-54213725</t>
  </si>
  <si>
    <t>157-54213622</t>
  </si>
  <si>
    <t>157-54213736</t>
  </si>
  <si>
    <t>157-54213740</t>
  </si>
  <si>
    <t>157-54213751</t>
  </si>
  <si>
    <t>157-54213633</t>
  </si>
  <si>
    <t>157-54213784</t>
  </si>
  <si>
    <t>157-54213795</t>
  </si>
  <si>
    <t>157-54213806</t>
  </si>
  <si>
    <t>157-54213644</t>
  </si>
  <si>
    <t>157-54211286</t>
  </si>
  <si>
    <t>157-54211275</t>
  </si>
  <si>
    <t>160-09408674</t>
  </si>
  <si>
    <t>160-09408663</t>
  </si>
  <si>
    <t>Y37742</t>
  </si>
  <si>
    <t>735-00020694</t>
  </si>
  <si>
    <t>735-00020716</t>
  </si>
  <si>
    <t>735-00020720</t>
  </si>
  <si>
    <t>735-00020812</t>
  </si>
  <si>
    <t>735-00020801</t>
  </si>
  <si>
    <t>735-00020823</t>
  </si>
  <si>
    <t>735-00020834</t>
  </si>
  <si>
    <t>735-00020845</t>
  </si>
  <si>
    <t>735-00020856</t>
  </si>
  <si>
    <t>752-30183834</t>
  </si>
  <si>
    <t>752-30183845</t>
  </si>
  <si>
    <t>752-30183856</t>
  </si>
  <si>
    <t>752-30183860</t>
  </si>
  <si>
    <t>752-30183871</t>
  </si>
  <si>
    <t>752-30183775</t>
  </si>
  <si>
    <t>157-58070482</t>
  </si>
  <si>
    <t>157-58072873</t>
  </si>
  <si>
    <t>157-58070471</t>
  </si>
  <si>
    <t>157-58070456</t>
  </si>
  <si>
    <t>157-58070460</t>
  </si>
  <si>
    <t>157-58070445</t>
  </si>
  <si>
    <t>157-58072862</t>
  </si>
  <si>
    <t>157-58070493</t>
  </si>
  <si>
    <t>157-58070504</t>
  </si>
  <si>
    <t>157-58070526</t>
  </si>
  <si>
    <t>157-58070515</t>
  </si>
  <si>
    <t>157-58070541</t>
  </si>
  <si>
    <t>157-58070530</t>
  </si>
  <si>
    <t>157-58072851</t>
  </si>
  <si>
    <t>157-58070574</t>
  </si>
  <si>
    <t>157-58070434</t>
  </si>
  <si>
    <t>157-58070585</t>
  </si>
  <si>
    <t>157-58070596</t>
  </si>
  <si>
    <t>157-58070600</t>
  </si>
  <si>
    <t>157-58070611</t>
  </si>
  <si>
    <t>157-58070644</t>
  </si>
  <si>
    <t>157-58070655</t>
  </si>
  <si>
    <t>157-58070622</t>
  </si>
  <si>
    <t>157-58070633</t>
  </si>
  <si>
    <t>157-58070666</t>
  </si>
  <si>
    <t>157-58070670</t>
  </si>
  <si>
    <t>157-58073035</t>
  </si>
  <si>
    <t>157-58072965</t>
  </si>
  <si>
    <t>157-58073024</t>
  </si>
  <si>
    <t>157-58072976</t>
  </si>
  <si>
    <t>157-58073002</t>
  </si>
  <si>
    <t>157-58073013</t>
  </si>
  <si>
    <t>157-58072991</t>
  </si>
  <si>
    <t>157-58072980</t>
  </si>
  <si>
    <t>157-58073120</t>
  </si>
  <si>
    <t>157-58073046</t>
  </si>
  <si>
    <t>157-58073050</t>
  </si>
  <si>
    <t>157-54213902</t>
  </si>
  <si>
    <t>157-54214274</t>
  </si>
  <si>
    <t>157-54213924</t>
  </si>
  <si>
    <t>157-54214285</t>
  </si>
  <si>
    <t>157-54213935</t>
  </si>
  <si>
    <t>157-54214053</t>
  </si>
  <si>
    <t>157-54213961</t>
  </si>
  <si>
    <t>157-54214086</t>
  </si>
  <si>
    <t>157-54213972</t>
  </si>
  <si>
    <t>157-54214090</t>
  </si>
  <si>
    <t>157-54213891</t>
  </si>
  <si>
    <t>157-54214075</t>
  </si>
  <si>
    <t>157-54213946</t>
  </si>
  <si>
    <t>157-54213950</t>
  </si>
  <si>
    <t>157-54213913</t>
  </si>
  <si>
    <t>157-54214101</t>
  </si>
  <si>
    <t>157-54214226</t>
  </si>
  <si>
    <t>157-54214123</t>
  </si>
  <si>
    <t>157-54214134</t>
  </si>
  <si>
    <t>157-54213983</t>
  </si>
  <si>
    <t>157-54214112</t>
  </si>
  <si>
    <t>157-54213994</t>
  </si>
  <si>
    <t>157-54214145</t>
  </si>
  <si>
    <t>157-54214156</t>
  </si>
  <si>
    <t>157-54214005</t>
  </si>
  <si>
    <t>157-54214160</t>
  </si>
  <si>
    <t>157-54214016</t>
  </si>
  <si>
    <t>157-54214171</t>
  </si>
  <si>
    <t>157-54214020</t>
  </si>
  <si>
    <t>157-54214182</t>
  </si>
  <si>
    <t>157-54214031</t>
  </si>
  <si>
    <t>157-54211290</t>
  </si>
  <si>
    <t>157-54214042</t>
  </si>
  <si>
    <t>157-54211301</t>
  </si>
  <si>
    <t>157-54211312</t>
  </si>
  <si>
    <t>157-54214230</t>
  </si>
  <si>
    <t>157-54214064</t>
  </si>
  <si>
    <t>157-54214241</t>
  </si>
  <si>
    <t>157-54211323</t>
  </si>
  <si>
    <t>157-54214252</t>
  </si>
  <si>
    <t>157-54211334</t>
  </si>
  <si>
    <t>157-54214263</t>
  </si>
  <si>
    <t>157-54214193</t>
  </si>
  <si>
    <t>157-54211345</t>
  </si>
  <si>
    <t>157-54215254</t>
  </si>
  <si>
    <t>157-54215265</t>
  </si>
  <si>
    <t>157-54215055</t>
  </si>
  <si>
    <t>157-58072910</t>
  </si>
  <si>
    <t>157-58072906</t>
  </si>
  <si>
    <t>157-58072895</t>
  </si>
  <si>
    <t>157-58072884</t>
  </si>
  <si>
    <t>157-54215232</t>
  </si>
  <si>
    <t>157-54215243</t>
  </si>
  <si>
    <t>157-54214996</t>
  </si>
  <si>
    <t>157-54214985</t>
  </si>
  <si>
    <t>157-54214974</t>
  </si>
  <si>
    <t>157-54215206</t>
  </si>
  <si>
    <t>157-54215092</t>
  </si>
  <si>
    <t>157-54215081</t>
  </si>
  <si>
    <t>157-54215070</t>
  </si>
  <si>
    <t>157-54215103</t>
  </si>
  <si>
    <t>157-58073190</t>
  </si>
  <si>
    <t>157-54215151</t>
  </si>
  <si>
    <t>157-54215125</t>
  </si>
  <si>
    <t>157-54215114</t>
  </si>
  <si>
    <t>157-54215221</t>
  </si>
  <si>
    <t>157-54215210</t>
  </si>
  <si>
    <t>157-54215136</t>
  </si>
  <si>
    <t>157-54215140</t>
  </si>
  <si>
    <t>157-54214215</t>
  </si>
  <si>
    <t>157-54214204</t>
  </si>
  <si>
    <t>157-58072943</t>
  </si>
  <si>
    <t>157-58072932</t>
  </si>
  <si>
    <t>157-54215173</t>
  </si>
  <si>
    <t>157-54215033</t>
  </si>
  <si>
    <t>157-58072921</t>
  </si>
  <si>
    <t>157-54215022</t>
  </si>
  <si>
    <t>157-54215044</t>
  </si>
  <si>
    <t>157-54215162</t>
  </si>
  <si>
    <t>157-54215066</t>
  </si>
  <si>
    <t>157-58073094</t>
  </si>
  <si>
    <t>157-58073083</t>
  </si>
  <si>
    <t>157-54215011</t>
  </si>
  <si>
    <t>157-54215000</t>
  </si>
  <si>
    <t>157-58073186</t>
  </si>
  <si>
    <t>157-58073072</t>
  </si>
  <si>
    <t>157-58072954</t>
  </si>
  <si>
    <t>157-54215184</t>
  </si>
  <si>
    <t>157-54215195</t>
  </si>
  <si>
    <t>369-98441276</t>
  </si>
  <si>
    <t>369-98441265</t>
  </si>
  <si>
    <t>369-98459524</t>
  </si>
  <si>
    <t>369-98459465</t>
  </si>
  <si>
    <t>369-98459454</t>
  </si>
  <si>
    <t>369-98459513</t>
  </si>
  <si>
    <t>369-98459502</t>
  </si>
  <si>
    <t>369-98459325</t>
  </si>
  <si>
    <t>369-98459351</t>
  </si>
  <si>
    <t>369-98459340</t>
  </si>
  <si>
    <t>369-98459336</t>
  </si>
  <si>
    <t>369-98459314</t>
  </si>
  <si>
    <t>369-98459362</t>
  </si>
  <si>
    <t>369-98459303</t>
  </si>
  <si>
    <t>369-98459292</t>
  </si>
  <si>
    <t>369-98459222</t>
  </si>
  <si>
    <t>369-98459255</t>
  </si>
  <si>
    <t>369-98459244</t>
  </si>
  <si>
    <t>369-98459233</t>
  </si>
  <si>
    <t>369-98459281</t>
  </si>
  <si>
    <t>369-98459270</t>
  </si>
  <si>
    <t>369-98459266</t>
  </si>
  <si>
    <t>369-98459200</t>
  </si>
  <si>
    <t>369-98459196</t>
  </si>
  <si>
    <t>369-98459211</t>
  </si>
  <si>
    <t>369-98459126</t>
  </si>
  <si>
    <t>369-98459093</t>
  </si>
  <si>
    <t>369-98459082</t>
  </si>
  <si>
    <t>369-98459104</t>
  </si>
  <si>
    <t>369-98459060</t>
  </si>
  <si>
    <t>369-98459071</t>
  </si>
  <si>
    <t>369-98459056</t>
  </si>
  <si>
    <t>369-98459141</t>
  </si>
  <si>
    <t>369-98459130</t>
  </si>
  <si>
    <t>369-98459045</t>
  </si>
  <si>
    <t>369-98459115</t>
  </si>
  <si>
    <t>369-98459535</t>
  </si>
  <si>
    <t>369-98459546</t>
  </si>
  <si>
    <t>369-98459550</t>
  </si>
  <si>
    <t>752-30183904</t>
  </si>
  <si>
    <t>752-30183823</t>
  </si>
  <si>
    <t>752-30183812</t>
  </si>
  <si>
    <t>752-30183893</t>
  </si>
  <si>
    <t>752-30183882</t>
  </si>
  <si>
    <t>752-30183801</t>
  </si>
  <si>
    <t>752-30183790</t>
  </si>
  <si>
    <t>752-30183786</t>
  </si>
  <si>
    <t>065-46974071</t>
  </si>
  <si>
    <t>065-46974406</t>
  </si>
  <si>
    <t>065-46974082</t>
  </si>
  <si>
    <t>065-46974410</t>
  </si>
  <si>
    <t>065-46974421</t>
  </si>
  <si>
    <t>065-46974093</t>
  </si>
  <si>
    <t>065-46974443</t>
  </si>
  <si>
    <t>065-46974432</t>
  </si>
  <si>
    <t>065-46974060</t>
  </si>
  <si>
    <t>752-30183952</t>
  </si>
  <si>
    <t>752-30183941</t>
  </si>
  <si>
    <t>752-30183930</t>
  </si>
  <si>
    <t>752-30183926</t>
  </si>
  <si>
    <t>752-30183915</t>
  </si>
  <si>
    <t>752-30183963</t>
  </si>
  <si>
    <t>752-30184103</t>
  </si>
  <si>
    <t>752-30184092</t>
  </si>
  <si>
    <t>752-30184081</t>
  </si>
  <si>
    <t>752-30184070</t>
  </si>
  <si>
    <t>752-30184066</t>
  </si>
  <si>
    <t>752-30184055</t>
  </si>
  <si>
    <t>752-30184044</t>
  </si>
  <si>
    <t>752-30184033</t>
  </si>
  <si>
    <t>752-30184022</t>
  </si>
  <si>
    <t>752-30184011</t>
  </si>
  <si>
    <t>752-30184000</t>
  </si>
  <si>
    <t>752-30183996</t>
  </si>
  <si>
    <t>752-30183985</t>
  </si>
  <si>
    <t>752-30183974</t>
  </si>
  <si>
    <t>157-58074671</t>
  </si>
  <si>
    <t>157-58073142</t>
  </si>
  <si>
    <t>157-58073061</t>
  </si>
  <si>
    <t>157-58073131</t>
  </si>
  <si>
    <t>157-58074726</t>
  </si>
  <si>
    <t>157-58074704</t>
  </si>
  <si>
    <t>157-58074715</t>
  </si>
  <si>
    <t>157-58074682</t>
  </si>
  <si>
    <t>157-58074730</t>
  </si>
  <si>
    <t>157-58074741</t>
  </si>
  <si>
    <t>157-58074752</t>
  </si>
  <si>
    <t>157-58074693</t>
  </si>
  <si>
    <t>157-58074774</t>
  </si>
  <si>
    <t>157-58074785</t>
  </si>
  <si>
    <t>157-58074763</t>
  </si>
  <si>
    <t>157-58073116</t>
  </si>
  <si>
    <t>157-58074660</t>
  </si>
  <si>
    <t>157-58074796</t>
  </si>
  <si>
    <t>157-58074822</t>
  </si>
  <si>
    <t>157-58074833</t>
  </si>
  <si>
    <t>157-58074844</t>
  </si>
  <si>
    <t>157-58074881</t>
  </si>
  <si>
    <t>157-58074855</t>
  </si>
  <si>
    <t>157-58074892</t>
  </si>
  <si>
    <t>157-58074800</t>
  </si>
  <si>
    <t>157-58074866</t>
  </si>
  <si>
    <t>157-58074811</t>
  </si>
  <si>
    <t>157-58074903</t>
  </si>
  <si>
    <t>157-58074870</t>
  </si>
  <si>
    <t>157-93072140</t>
  </si>
  <si>
    <t>157-93072162</t>
  </si>
  <si>
    <t>157-93072232</t>
  </si>
  <si>
    <t>157-93072173</t>
  </si>
  <si>
    <t>157-93072243</t>
  </si>
  <si>
    <t>157-93072195</t>
  </si>
  <si>
    <t>157-93072206</t>
  </si>
  <si>
    <t>157-93072254</t>
  </si>
  <si>
    <t>157-93072210</t>
  </si>
  <si>
    <t>157-93072265</t>
  </si>
  <si>
    <t>157-93072405</t>
  </si>
  <si>
    <t>157-93072151</t>
  </si>
  <si>
    <t>157-93072184</t>
  </si>
  <si>
    <t>157-93072420</t>
  </si>
  <si>
    <t>157-93072221</t>
  </si>
  <si>
    <t>157-93072431</t>
  </si>
  <si>
    <t>157-41097011</t>
  </si>
  <si>
    <t>157-54211415</t>
  </si>
  <si>
    <t>157-54211382</t>
  </si>
  <si>
    <t>157-54211371</t>
  </si>
  <si>
    <t>157-54211360</t>
  </si>
  <si>
    <t>157-58074170</t>
  </si>
  <si>
    <t>157-93072350</t>
  </si>
  <si>
    <t>157-93072346</t>
  </si>
  <si>
    <t>157-58074214</t>
  </si>
  <si>
    <t>157-58074203</t>
  </si>
  <si>
    <t>157-58074004</t>
  </si>
  <si>
    <t>157-93072383</t>
  </si>
  <si>
    <t>157-93072372</t>
  </si>
  <si>
    <t>157-93072361</t>
  </si>
  <si>
    <t>157-58074063</t>
  </si>
  <si>
    <t>157-58074052</t>
  </si>
  <si>
    <t>157-93072276</t>
  </si>
  <si>
    <t>157-93072302</t>
  </si>
  <si>
    <t>157-93072291</t>
  </si>
  <si>
    <t>157-93072280</t>
  </si>
  <si>
    <t>157-58074166</t>
  </si>
  <si>
    <t>157-58074015</t>
  </si>
  <si>
    <t>157-93072324</t>
  </si>
  <si>
    <t>157-93072335</t>
  </si>
  <si>
    <t>157-93072313</t>
  </si>
  <si>
    <t>157-58074085</t>
  </si>
  <si>
    <t>157-58074074</t>
  </si>
  <si>
    <t>157-58074096</t>
  </si>
  <si>
    <t>157-58074236</t>
  </si>
  <si>
    <t>157-58074225</t>
  </si>
  <si>
    <t>157-58074284</t>
  </si>
  <si>
    <t>157-58074181</t>
  </si>
  <si>
    <t>157-58074321</t>
  </si>
  <si>
    <t>157-58074192</t>
  </si>
  <si>
    <t>157-58074041</t>
  </si>
  <si>
    <t>157-58073105</t>
  </si>
  <si>
    <t>157-58074310</t>
  </si>
  <si>
    <t>157-58074262</t>
  </si>
  <si>
    <t>157-58074251</t>
  </si>
  <si>
    <t>157-58074122</t>
  </si>
  <si>
    <t>157-58074111</t>
  </si>
  <si>
    <t>157-58074306</t>
  </si>
  <si>
    <t>157-58074026</t>
  </si>
  <si>
    <t>157-58074295</t>
  </si>
  <si>
    <t>157-58074273</t>
  </si>
  <si>
    <t>157-58074100</t>
  </si>
  <si>
    <t>157-58074155</t>
  </si>
  <si>
    <t>157-58074144</t>
  </si>
  <si>
    <t>157-58074030</t>
  </si>
  <si>
    <t>157-58074133</t>
  </si>
  <si>
    <t>157-58074240</t>
  </si>
  <si>
    <t>QR8479</t>
  </si>
  <si>
    <t>157-58073245</t>
  </si>
  <si>
    <t>157-58073260</t>
  </si>
  <si>
    <t>157-58073271</t>
  </si>
  <si>
    <t>157-58073282</t>
  </si>
  <si>
    <t>157-58073293</t>
  </si>
  <si>
    <t>157-58073411</t>
  </si>
  <si>
    <t>157-58073400</t>
  </si>
  <si>
    <t>157-58073315</t>
  </si>
  <si>
    <t>157-58073326</t>
  </si>
  <si>
    <t>157-58073256</t>
  </si>
  <si>
    <t>157-58073422</t>
  </si>
  <si>
    <t>157-58073304</t>
  </si>
  <si>
    <t>157-58073433</t>
  </si>
  <si>
    <t>157-58073444</t>
  </si>
  <si>
    <t>157-58073223</t>
  </si>
  <si>
    <t>157-58073234</t>
  </si>
  <si>
    <t>157-58073201</t>
  </si>
  <si>
    <t>157-58073455</t>
  </si>
  <si>
    <t>157-58073212</t>
  </si>
  <si>
    <t>157-58073466</t>
  </si>
  <si>
    <t>157-58073536</t>
  </si>
  <si>
    <t>157-58073470</t>
  </si>
  <si>
    <t>157-58073481</t>
  </si>
  <si>
    <t>157-58073492</t>
  </si>
  <si>
    <t>157-58073503</t>
  </si>
  <si>
    <t>157-58073595</t>
  </si>
  <si>
    <t>157-58073330</t>
  </si>
  <si>
    <t>157-58073341</t>
  </si>
  <si>
    <t>157-58073352</t>
  </si>
  <si>
    <t>157-58073551</t>
  </si>
  <si>
    <t>157-58073562</t>
  </si>
  <si>
    <t>157-58073573</t>
  </si>
  <si>
    <t>157-58073374</t>
  </si>
  <si>
    <t>157-58073525</t>
  </si>
  <si>
    <t>157-58073584</t>
  </si>
  <si>
    <t>157-58073363</t>
  </si>
  <si>
    <t>157-58073514</t>
  </si>
  <si>
    <t>157-58073385</t>
  </si>
  <si>
    <t>157-58073153</t>
  </si>
  <si>
    <t>157-58073164</t>
  </si>
  <si>
    <t>157-58073540</t>
  </si>
  <si>
    <t>157-41096650</t>
  </si>
  <si>
    <t>157-58073396</t>
  </si>
  <si>
    <t>157-58073175</t>
  </si>
  <si>
    <t>160-09408700</t>
  </si>
  <si>
    <t>160-09408733</t>
  </si>
  <si>
    <t>752-30184173</t>
  </si>
  <si>
    <t>752-30184162</t>
  </si>
  <si>
    <t>752-30184151</t>
  </si>
  <si>
    <t>752-30184140</t>
  </si>
  <si>
    <t>752-30184136</t>
  </si>
  <si>
    <t>752-30184125</t>
  </si>
  <si>
    <t>752-30184114</t>
  </si>
  <si>
    <t>936-00308066</t>
  </si>
  <si>
    <t>936-00308055</t>
  </si>
  <si>
    <t>936-00308044</t>
  </si>
  <si>
    <t>936-00308033</t>
  </si>
  <si>
    <t>936-00308022</t>
  </si>
  <si>
    <t>936-00308011</t>
  </si>
  <si>
    <t>936-00308000</t>
  </si>
  <si>
    <t>065-46974126</t>
  </si>
  <si>
    <t>065-46974130</t>
  </si>
  <si>
    <t>065-46974454</t>
  </si>
  <si>
    <t>065-46974115</t>
  </si>
  <si>
    <t>065-46974465</t>
  </si>
  <si>
    <t>065-46974476</t>
  </si>
  <si>
    <t>065-46974480</t>
  </si>
  <si>
    <t>160-09408755</t>
  </si>
  <si>
    <t>160-09408744</t>
  </si>
  <si>
    <t>752-30184195</t>
  </si>
  <si>
    <t>752-30184243</t>
  </si>
  <si>
    <t>752-30184232</t>
  </si>
  <si>
    <t>752-30184221</t>
  </si>
  <si>
    <t>752-30184210</t>
  </si>
  <si>
    <t>752-30184206</t>
  </si>
  <si>
    <t>752-30184184</t>
  </si>
  <si>
    <t>065-46974745</t>
  </si>
  <si>
    <t>065-46974734</t>
  </si>
  <si>
    <t>065-46974163</t>
  </si>
  <si>
    <t>065-46974756</t>
  </si>
  <si>
    <t>065-46974174</t>
  </si>
  <si>
    <t>157-58073606</t>
  </si>
  <si>
    <t>157-58073610</t>
  </si>
  <si>
    <t>157-58073621</t>
  </si>
  <si>
    <t>157-58073632</t>
  </si>
  <si>
    <t>157-58073864</t>
  </si>
  <si>
    <t>157-58073934</t>
  </si>
  <si>
    <t>157-58073783</t>
  </si>
  <si>
    <t>157-58073993</t>
  </si>
  <si>
    <t>157-58073691</t>
  </si>
  <si>
    <t>157-58073886</t>
  </si>
  <si>
    <t>157-58073676</t>
  </si>
  <si>
    <t>157-58073875</t>
  </si>
  <si>
    <t>157-58073890</t>
  </si>
  <si>
    <t>157-58073680</t>
  </si>
  <si>
    <t>157-58073702</t>
  </si>
  <si>
    <t>157-58073901</t>
  </si>
  <si>
    <t>157-58073912</t>
  </si>
  <si>
    <t>157-58073713</t>
  </si>
  <si>
    <t>157-58073643</t>
  </si>
  <si>
    <t>157-58073654</t>
  </si>
  <si>
    <t>157-58073665</t>
  </si>
  <si>
    <t>157-58073971</t>
  </si>
  <si>
    <t>157-58073982</t>
  </si>
  <si>
    <t>157-58073945</t>
  </si>
  <si>
    <t>157-58073805</t>
  </si>
  <si>
    <t>157-58073816</t>
  </si>
  <si>
    <t>157-58073820</t>
  </si>
  <si>
    <t>157-58073831</t>
  </si>
  <si>
    <t>157-58073956</t>
  </si>
  <si>
    <t>157-58073842</t>
  </si>
  <si>
    <t>157-58073960</t>
  </si>
  <si>
    <t>157-58073853</t>
  </si>
  <si>
    <t>157-58073761</t>
  </si>
  <si>
    <t>157-41096731</t>
  </si>
  <si>
    <t>157-58073772</t>
  </si>
  <si>
    <t>157-41096742</t>
  </si>
  <si>
    <t>157-58073724</t>
  </si>
  <si>
    <t>157-58073735</t>
  </si>
  <si>
    <t>157-58073923</t>
  </si>
  <si>
    <t>157-58073746</t>
  </si>
  <si>
    <t>157-41096705</t>
  </si>
  <si>
    <t>157-58073750</t>
  </si>
  <si>
    <t>157-41096716</t>
  </si>
  <si>
    <t>157-41096720</t>
  </si>
  <si>
    <t>157-58074564</t>
  </si>
  <si>
    <t>157-58074483</t>
  </si>
  <si>
    <t>157-58074656</t>
  </si>
  <si>
    <t>157-58074461</t>
  </si>
  <si>
    <t>157-58074450</t>
  </si>
  <si>
    <t>157-58074446</t>
  </si>
  <si>
    <t>157-41096952</t>
  </si>
  <si>
    <t>157-41096963</t>
  </si>
  <si>
    <t>157-58074586</t>
  </si>
  <si>
    <t>157-58074575</t>
  </si>
  <si>
    <t>157-58074553</t>
  </si>
  <si>
    <t>157-58074494</t>
  </si>
  <si>
    <t>157-58074435</t>
  </si>
  <si>
    <t>157-58074424</t>
  </si>
  <si>
    <t>157-58074645</t>
  </si>
  <si>
    <t>157-58074472</t>
  </si>
  <si>
    <t>157-93072394</t>
  </si>
  <si>
    <t>157-58074590</t>
  </si>
  <si>
    <t>157-58074413</t>
  </si>
  <si>
    <t>157-58074365</t>
  </si>
  <si>
    <t>157-58074623</t>
  </si>
  <si>
    <t>157-58074505</t>
  </si>
  <si>
    <t>157-58074542</t>
  </si>
  <si>
    <t>157-58074531</t>
  </si>
  <si>
    <t>157-58074601</t>
  </si>
  <si>
    <t>157-58074354</t>
  </si>
  <si>
    <t>157-41097103</t>
  </si>
  <si>
    <t>157-58074634</t>
  </si>
  <si>
    <t>157-58074402</t>
  </si>
  <si>
    <t>157-41096996</t>
  </si>
  <si>
    <t>157-41096985</t>
  </si>
  <si>
    <t>157-58074380</t>
  </si>
  <si>
    <t>157-41097313</t>
  </si>
  <si>
    <t>157-41097162</t>
  </si>
  <si>
    <t>157-41097125</t>
  </si>
  <si>
    <t>157-41097151</t>
  </si>
  <si>
    <t>157-41097136</t>
  </si>
  <si>
    <t>157-41097140</t>
  </si>
  <si>
    <t>157-58074376</t>
  </si>
  <si>
    <t>157-58074391</t>
  </si>
  <si>
    <t>157-58074343</t>
  </si>
  <si>
    <t>157-41097114</t>
  </si>
  <si>
    <t>157-41097000</t>
  </si>
  <si>
    <t>157-41096974</t>
  </si>
  <si>
    <t>157-58074332</t>
  </si>
  <si>
    <t>157-41097350</t>
  </si>
  <si>
    <t>157-41097346</t>
  </si>
  <si>
    <t>157-58074520</t>
  </si>
  <si>
    <t>157-58074516</t>
  </si>
  <si>
    <t>157-41097335</t>
  </si>
  <si>
    <t>157-41097324</t>
  </si>
  <si>
    <t>157-58074612</t>
  </si>
  <si>
    <t>157-41097383</t>
  </si>
  <si>
    <t>157-41097372</t>
  </si>
  <si>
    <t>157-41097361</t>
  </si>
  <si>
    <t>157-41097092</t>
  </si>
  <si>
    <t>157-41097081</t>
  </si>
  <si>
    <t>157-41097033</t>
  </si>
  <si>
    <t>157-41097066</t>
  </si>
  <si>
    <t>157-58074925</t>
  </si>
  <si>
    <t>157-58074936</t>
  </si>
  <si>
    <t>157-58075091</t>
  </si>
  <si>
    <t>157-58075080</t>
  </si>
  <si>
    <t>157-58074940</t>
  </si>
  <si>
    <t>157-58074951</t>
  </si>
  <si>
    <t>157-41097055</t>
  </si>
  <si>
    <t>157-58074962</t>
  </si>
  <si>
    <t>157-41097070</t>
  </si>
  <si>
    <t>157-58074973</t>
  </si>
  <si>
    <t>157-93072416</t>
  </si>
  <si>
    <t>157-58074914</t>
  </si>
  <si>
    <t>157-58075006</t>
  </si>
  <si>
    <t>157-58074995</t>
  </si>
  <si>
    <t>157-58075032</t>
  </si>
  <si>
    <t>157-41097044</t>
  </si>
  <si>
    <t>157-58075124</t>
  </si>
  <si>
    <t>157-58075135</t>
  </si>
  <si>
    <t>157-58075076</t>
  </si>
  <si>
    <t>157-41097022</t>
  </si>
  <si>
    <t>157-58075113</t>
  </si>
  <si>
    <t>157-58075065</t>
  </si>
  <si>
    <t>157-58075102</t>
  </si>
  <si>
    <t>157-58075054</t>
  </si>
  <si>
    <t>157-58075146</t>
  </si>
  <si>
    <t>157-58075043</t>
  </si>
  <si>
    <t>157-58075150</t>
  </si>
  <si>
    <t>157-41097173</t>
  </si>
  <si>
    <t>157-58075010</t>
  </si>
  <si>
    <t>157-41097184</t>
  </si>
  <si>
    <t>157-41097195</t>
  </si>
  <si>
    <t>157-58074984</t>
  </si>
  <si>
    <t>157-41097221</t>
  </si>
  <si>
    <t>157-41097206</t>
  </si>
  <si>
    <t>157-41097210</t>
  </si>
  <si>
    <t>157-41097243</t>
  </si>
  <si>
    <t>157-41097232</t>
  </si>
  <si>
    <t>157-41097254</t>
  </si>
  <si>
    <t>157-58075021</t>
  </si>
  <si>
    <t>CX3027,257</t>
  </si>
  <si>
    <t>160-09408781</t>
  </si>
  <si>
    <t>160-09408803</t>
  </si>
  <si>
    <t>160-09408792</t>
  </si>
  <si>
    <t>160-09408770</t>
  </si>
  <si>
    <t>160-09408766</t>
  </si>
  <si>
    <t>752-30184254</t>
  </si>
  <si>
    <t>752-30184265</t>
  </si>
  <si>
    <t>752-30184276</t>
  </si>
  <si>
    <t>752-30184280</t>
  </si>
  <si>
    <t>752-30184291</t>
  </si>
  <si>
    <t>752-30184335</t>
  </si>
  <si>
    <t>752-30184302</t>
  </si>
  <si>
    <t>752-30184346</t>
  </si>
  <si>
    <t>752-30184324</t>
  </si>
  <si>
    <t>752-30184313</t>
  </si>
  <si>
    <t>752-30184383</t>
  </si>
  <si>
    <t>752-30184416</t>
  </si>
  <si>
    <t>752-30184405</t>
  </si>
  <si>
    <t>752-30184394</t>
  </si>
  <si>
    <t>752-30184361</t>
  </si>
  <si>
    <t>752-30184350</t>
  </si>
  <si>
    <t>752-30184372</t>
  </si>
  <si>
    <t>752-30184442</t>
  </si>
  <si>
    <t>752-30184431</t>
  </si>
  <si>
    <t>752-30184420</t>
  </si>
  <si>
    <t>752-30184453</t>
  </si>
  <si>
    <t>752-30184464</t>
  </si>
  <si>
    <t>752-30184475</t>
  </si>
  <si>
    <t>752-30184490</t>
  </si>
  <si>
    <t>752-30184486</t>
  </si>
  <si>
    <t>752-30184501</t>
  </si>
  <si>
    <t>752-30184545</t>
  </si>
  <si>
    <t>752-30184534</t>
  </si>
  <si>
    <t>752-30184523</t>
  </si>
  <si>
    <t>752-30184512</t>
  </si>
  <si>
    <t>936-02197451</t>
  </si>
  <si>
    <t>936-02197381</t>
  </si>
  <si>
    <t>936-00308103</t>
  </si>
  <si>
    <t>936-00308092</t>
  </si>
  <si>
    <t>936-00308081</t>
  </si>
  <si>
    <t>936-00308140</t>
  </si>
  <si>
    <t>936-00308136</t>
  </si>
  <si>
    <t>936-00308125</t>
  </si>
  <si>
    <t>936-00308114</t>
  </si>
  <si>
    <t>065-46974200</t>
  </si>
  <si>
    <t>065-46974760</t>
  </si>
  <si>
    <t>065-46974211</t>
  </si>
  <si>
    <t>065-46974771</t>
  </si>
  <si>
    <t>QR8041</t>
  </si>
  <si>
    <t>157-41094185</t>
  </si>
  <si>
    <t>157-41094281</t>
  </si>
  <si>
    <t>157-41094292</t>
  </si>
  <si>
    <t>157-41094303</t>
  </si>
  <si>
    <t>157-41094314</t>
  </si>
  <si>
    <t>157-41094196</t>
  </si>
  <si>
    <t>157-41094325</t>
  </si>
  <si>
    <t>157-41094336</t>
  </si>
  <si>
    <t>157-41094340</t>
  </si>
  <si>
    <t>157-41094152</t>
  </si>
  <si>
    <t>157-41094491</t>
  </si>
  <si>
    <t>157-41096694</t>
  </si>
  <si>
    <t>157-41096683</t>
  </si>
  <si>
    <t>157-41096672</t>
  </si>
  <si>
    <t>157-41096661</t>
  </si>
  <si>
    <t>157-41096646</t>
  </si>
  <si>
    <t>157-41094115</t>
  </si>
  <si>
    <t>157-41094126</t>
  </si>
  <si>
    <t>157-41094163</t>
  </si>
  <si>
    <t>157-41094174</t>
  </si>
  <si>
    <t>157-41094270</t>
  </si>
  <si>
    <t>157-41094130</t>
  </si>
  <si>
    <t>157-41094351</t>
  </si>
  <si>
    <t>157-41094200</t>
  </si>
  <si>
    <t>157-41094465</t>
  </si>
  <si>
    <t>157-41094362</t>
  </si>
  <si>
    <t>157-41094373</t>
  </si>
  <si>
    <t>157-41094384</t>
  </si>
  <si>
    <t>157-58073794</t>
  </si>
  <si>
    <t>157-41094141</t>
  </si>
  <si>
    <t>157-41094395</t>
  </si>
  <si>
    <t>157-41094443</t>
  </si>
  <si>
    <t>157-41094406</t>
  </si>
  <si>
    <t>157-41094410</t>
  </si>
  <si>
    <t>157-41094211</t>
  </si>
  <si>
    <t>157-41094222</t>
  </si>
  <si>
    <t>157-41094476</t>
  </si>
  <si>
    <t>157-41094480</t>
  </si>
  <si>
    <t>157-41094421</t>
  </si>
  <si>
    <t>157-41094432</t>
  </si>
  <si>
    <t>157-41094502</t>
  </si>
  <si>
    <t>157-41096753</t>
  </si>
  <si>
    <t>157-41094233</t>
  </si>
  <si>
    <t>157-41094244</t>
  </si>
  <si>
    <t>157-41096764</t>
  </si>
  <si>
    <t>157-41094255</t>
  </si>
  <si>
    <t>157-41096775</t>
  </si>
  <si>
    <t>157-41094266</t>
  </si>
  <si>
    <t>157-41096786</t>
  </si>
  <si>
    <t>157-41096790</t>
  </si>
  <si>
    <t>157-41096801</t>
  </si>
  <si>
    <t>157-41096823</t>
  </si>
  <si>
    <t>157-41096834</t>
  </si>
  <si>
    <t>157-41096845</t>
  </si>
  <si>
    <t>157-41096856</t>
  </si>
  <si>
    <t>157-41096860</t>
  </si>
  <si>
    <t>157-41096871</t>
  </si>
  <si>
    <t>157-41094454</t>
  </si>
  <si>
    <t>157-41096812</t>
  </si>
  <si>
    <t>160-09408814</t>
  </si>
  <si>
    <t>160-09408825</t>
  </si>
  <si>
    <t>172-92541035</t>
  </si>
  <si>
    <t>5Y8052 (OPEN)</t>
  </si>
  <si>
    <t>369-98457660</t>
  </si>
  <si>
    <t>369-98457494</t>
  </si>
  <si>
    <t>369-98457483</t>
  </si>
  <si>
    <t>369-98457693</t>
  </si>
  <si>
    <t>369-98457704</t>
  </si>
  <si>
    <t>369-98457715</t>
  </si>
  <si>
    <t>369-98457354</t>
  </si>
  <si>
    <t>369-98458032</t>
  </si>
  <si>
    <t>369-98458021</t>
  </si>
  <si>
    <t>369-98460353</t>
  </si>
  <si>
    <t>369-98460364</t>
  </si>
  <si>
    <t>369-98460375</t>
  </si>
  <si>
    <t>369-98460390</t>
  </si>
  <si>
    <t>369-98460386</t>
  </si>
  <si>
    <t>369-98460541</t>
  </si>
  <si>
    <t>369-98460552</t>
  </si>
  <si>
    <t>369-98460530</t>
  </si>
  <si>
    <t>369-98460320</t>
  </si>
  <si>
    <t>369-98460331</t>
  </si>
  <si>
    <t>369-98460342</t>
  </si>
  <si>
    <t>369-98460515</t>
  </si>
  <si>
    <t>369-98460526</t>
  </si>
  <si>
    <t>369-98460482</t>
  </si>
  <si>
    <t>369-98460493</t>
  </si>
  <si>
    <t>369-98460504</t>
  </si>
  <si>
    <t>003-31631725</t>
  </si>
  <si>
    <t>003-31631736</t>
  </si>
  <si>
    <t>003-31631740</t>
  </si>
  <si>
    <t>003-31631751</t>
  </si>
  <si>
    <t>003-31631762</t>
  </si>
  <si>
    <t>003-31631773</t>
  </si>
  <si>
    <t>157-41097265</t>
  </si>
  <si>
    <t>157-41097291</t>
  </si>
  <si>
    <t>157-41097302</t>
  </si>
  <si>
    <t>157-41097280</t>
  </si>
  <si>
    <t>157-41095714</t>
  </si>
  <si>
    <t>157-41095725</t>
  </si>
  <si>
    <t>157-41095703</t>
  </si>
  <si>
    <t>157-41095692</t>
  </si>
  <si>
    <t>157-41095784</t>
  </si>
  <si>
    <t>157-41095751</t>
  </si>
  <si>
    <t>157-41095736</t>
  </si>
  <si>
    <t>157-41095740</t>
  </si>
  <si>
    <t>157-41095762</t>
  </si>
  <si>
    <t>157-41095795</t>
  </si>
  <si>
    <t>157-41095773</t>
  </si>
  <si>
    <t>157-41097276</t>
  </si>
  <si>
    <t>157-41095821</t>
  </si>
  <si>
    <t>157-41095810</t>
  </si>
  <si>
    <t>157-41095644</t>
  </si>
  <si>
    <t>157-41095876</t>
  </si>
  <si>
    <t>157-41095655</t>
  </si>
  <si>
    <t>157-41095832</t>
  </si>
  <si>
    <t>157-41095843</t>
  </si>
  <si>
    <t>157-41095880</t>
  </si>
  <si>
    <t>157-41095666</t>
  </si>
  <si>
    <t>157-41095670</t>
  </si>
  <si>
    <t>157-41095681</t>
  </si>
  <si>
    <t>157-41095806</t>
  </si>
  <si>
    <t>157-41095902</t>
  </si>
  <si>
    <t>157-41095891</t>
  </si>
  <si>
    <t>157-41095913</t>
  </si>
  <si>
    <t>157-41095854</t>
  </si>
  <si>
    <t>157-41095946</t>
  </si>
  <si>
    <t>157-41095865</t>
  </si>
  <si>
    <t>157-41095935</t>
  </si>
  <si>
    <t>157-41096031</t>
  </si>
  <si>
    <t>157-41095972</t>
  </si>
  <si>
    <t>157-41095983</t>
  </si>
  <si>
    <t>157-41095994</t>
  </si>
  <si>
    <t>157-41096005</t>
  </si>
  <si>
    <t>157-41096016</t>
  </si>
  <si>
    <t>157-41094513</t>
  </si>
  <si>
    <t>157-41094524</t>
  </si>
  <si>
    <t>157-41094841</t>
  </si>
  <si>
    <t>157-41094896</t>
  </si>
  <si>
    <t>157-41094852</t>
  </si>
  <si>
    <t>157-41094863</t>
  </si>
  <si>
    <t>157-41094690</t>
  </si>
  <si>
    <t>157-41094686</t>
  </si>
  <si>
    <t>157-41094572</t>
  </si>
  <si>
    <t>157-41094583</t>
  </si>
  <si>
    <t>157-41094874</t>
  </si>
  <si>
    <t>157-41094701</t>
  </si>
  <si>
    <t>157-41094712</t>
  </si>
  <si>
    <t>157-41094675</t>
  </si>
  <si>
    <t>157-41094885</t>
  </si>
  <si>
    <t>157-41094535</t>
  </si>
  <si>
    <t>157-41094546</t>
  </si>
  <si>
    <t>157-41094745</t>
  </si>
  <si>
    <t>157-41094900</t>
  </si>
  <si>
    <t>157-41094756</t>
  </si>
  <si>
    <t>157-41094550</t>
  </si>
  <si>
    <t>157-41094760</t>
  </si>
  <si>
    <t>157-41094771</t>
  </si>
  <si>
    <t>157-41094561</t>
  </si>
  <si>
    <t>157-41094782</t>
  </si>
  <si>
    <t>157-41094793</t>
  </si>
  <si>
    <t>157-41094594</t>
  </si>
  <si>
    <t>157-41096882</t>
  </si>
  <si>
    <t>157-41096893</t>
  </si>
  <si>
    <t>157-41096904</t>
  </si>
  <si>
    <t>157-41094605</t>
  </si>
  <si>
    <t>157-41094804</t>
  </si>
  <si>
    <t>157-41094616</t>
  </si>
  <si>
    <t>157-41094815</t>
  </si>
  <si>
    <t>157-41094826</t>
  </si>
  <si>
    <t>157-41094830</t>
  </si>
  <si>
    <t>157-41094620</t>
  </si>
  <si>
    <t>157-41096915</t>
  </si>
  <si>
    <t>157-41094723</t>
  </si>
  <si>
    <t>157-41096926</t>
  </si>
  <si>
    <t>157-41096930</t>
  </si>
  <si>
    <t>157-41094631</t>
  </si>
  <si>
    <t>157-41094642</t>
  </si>
  <si>
    <t>157-41094734</t>
  </si>
  <si>
    <t>157-41096941</t>
  </si>
  <si>
    <t>157-41097394</t>
  </si>
  <si>
    <t>157-41094653</t>
  </si>
  <si>
    <t>157-41094664</t>
  </si>
  <si>
    <t>160-09408851</t>
  </si>
  <si>
    <t>160-09408836</t>
  </si>
  <si>
    <t>160-09408840</t>
  </si>
  <si>
    <t>065-46974233</t>
  </si>
  <si>
    <t>065-46974244</t>
  </si>
  <si>
    <t>065-46974255</t>
  </si>
  <si>
    <t>065-46974782</t>
  </si>
  <si>
    <t>065-46974793</t>
  </si>
  <si>
    <t>157-41096042</t>
  </si>
  <si>
    <t>157-41096020</t>
  </si>
  <si>
    <t>157-41096075</t>
  </si>
  <si>
    <t>157-41096086</t>
  </si>
  <si>
    <t>157-41096090</t>
  </si>
  <si>
    <t>157-41096101</t>
  </si>
  <si>
    <t>157-41096112</t>
  </si>
  <si>
    <t>157-41096123</t>
  </si>
  <si>
    <t>157-41096134</t>
  </si>
  <si>
    <t>157-41096053</t>
  </si>
  <si>
    <t>157-41096064</t>
  </si>
  <si>
    <t>157-41177102</t>
  </si>
  <si>
    <t>157-41177205</t>
  </si>
  <si>
    <t>157-41177113</t>
  </si>
  <si>
    <t>157-41177124</t>
  </si>
  <si>
    <t>157-41177135</t>
  </si>
  <si>
    <t>157-41177220</t>
  </si>
  <si>
    <t>157-41177146</t>
  </si>
  <si>
    <t>157-41177216</t>
  </si>
  <si>
    <t>157-41177150</t>
  </si>
  <si>
    <t>157-41177242</t>
  </si>
  <si>
    <t>157-41177231</t>
  </si>
  <si>
    <t>157-41095924</t>
  </si>
  <si>
    <t>157-41177264</t>
  </si>
  <si>
    <t>157-41177275</t>
  </si>
  <si>
    <t>157-41177286</t>
  </si>
  <si>
    <t>157-41177161</t>
  </si>
  <si>
    <t>157-41177253</t>
  </si>
  <si>
    <t>157-41177183</t>
  </si>
  <si>
    <t>157-41095961</t>
  </si>
  <si>
    <t>157-41095950</t>
  </si>
  <si>
    <t>157-41177485</t>
  </si>
  <si>
    <t>157-41177496</t>
  </si>
  <si>
    <t>157-41177334</t>
  </si>
  <si>
    <t>157-41177345</t>
  </si>
  <si>
    <t>157-41177356</t>
  </si>
  <si>
    <t>157-41177172</t>
  </si>
  <si>
    <t>157-41177290</t>
  </si>
  <si>
    <t>157-41177301</t>
  </si>
  <si>
    <t>157-41177312</t>
  </si>
  <si>
    <t>157-41177474</t>
  </si>
  <si>
    <t>157-41177323</t>
  </si>
  <si>
    <t>157-41177533</t>
  </si>
  <si>
    <t>157-41177511</t>
  </si>
  <si>
    <t>157-41177522</t>
  </si>
  <si>
    <t>157-41177194</t>
  </si>
  <si>
    <t>157-41177500</t>
  </si>
  <si>
    <t>157-41094955</t>
  </si>
  <si>
    <t>157-41094966</t>
  </si>
  <si>
    <t>157-41095246</t>
  </si>
  <si>
    <t>157-41094970</t>
  </si>
  <si>
    <t>157-41094981</t>
  </si>
  <si>
    <t>157-41094992</t>
  </si>
  <si>
    <t>157-41095250</t>
  </si>
  <si>
    <t>157-41095106</t>
  </si>
  <si>
    <t>157-41094911</t>
  </si>
  <si>
    <t>157-41095121</t>
  </si>
  <si>
    <t>157-41094922</t>
  </si>
  <si>
    <t>157-41095132</t>
  </si>
  <si>
    <t>157-41094933</t>
  </si>
  <si>
    <t>157-41095143</t>
  </si>
  <si>
    <t>157-41095154</t>
  </si>
  <si>
    <t>157-41094944</t>
  </si>
  <si>
    <t>157-41095165</t>
  </si>
  <si>
    <t>157-41095176</t>
  </si>
  <si>
    <t>157-41095180</t>
  </si>
  <si>
    <t>157-41095191</t>
  </si>
  <si>
    <t>157-41095261</t>
  </si>
  <si>
    <t>157-41095110</t>
  </si>
  <si>
    <t>157-41095305</t>
  </si>
  <si>
    <t>157-41095073</t>
  </si>
  <si>
    <t>157-41095272</t>
  </si>
  <si>
    <t>157-41095283</t>
  </si>
  <si>
    <t>157-41095202</t>
  </si>
  <si>
    <t>157-41095294</t>
  </si>
  <si>
    <t>157-41095213</t>
  </si>
  <si>
    <t>157-41095003</t>
  </si>
  <si>
    <t>157-41095224</t>
  </si>
  <si>
    <t>157-41095235</t>
  </si>
  <si>
    <t>157-41095014</t>
  </si>
  <si>
    <t>157-41097405</t>
  </si>
  <si>
    <t>157-41097416</t>
  </si>
  <si>
    <t>157-41095025</t>
  </si>
  <si>
    <t>157-41097420</t>
  </si>
  <si>
    <t>157-41095084</t>
  </si>
  <si>
    <t>157-41097431</t>
  </si>
  <si>
    <t>157-41095036</t>
  </si>
  <si>
    <t>157-41097464</t>
  </si>
  <si>
    <t>157-41097475</t>
  </si>
  <si>
    <t>157-41097486</t>
  </si>
  <si>
    <t>157-41097490</t>
  </si>
  <si>
    <t>157-41095040</t>
  </si>
  <si>
    <t>157-41097442</t>
  </si>
  <si>
    <t>157-41097453</t>
  </si>
  <si>
    <t>157-41095095</t>
  </si>
  <si>
    <t>157-41097501</t>
  </si>
  <si>
    <t>157-41097512</t>
  </si>
  <si>
    <t>157-41095051</t>
  </si>
  <si>
    <t>157-41095062</t>
  </si>
  <si>
    <t>157-41097630</t>
  </si>
  <si>
    <t>157-41097626</t>
  </si>
  <si>
    <t>157-41097615</t>
  </si>
  <si>
    <t>157-41095611</t>
  </si>
  <si>
    <t>157-41095386</t>
  </si>
  <si>
    <t>157-41095375</t>
  </si>
  <si>
    <t>157-41097582</t>
  </si>
  <si>
    <t>157-41097571</t>
  </si>
  <si>
    <t>157-41095493</t>
  </si>
  <si>
    <t>157-41095412</t>
  </si>
  <si>
    <t>157-41095331</t>
  </si>
  <si>
    <t>157-41097604</t>
  </si>
  <si>
    <t>157-41097593</t>
  </si>
  <si>
    <t>157-41095401</t>
  </si>
  <si>
    <t>157-41095390</t>
  </si>
  <si>
    <t>157-41097560</t>
  </si>
  <si>
    <t>157-41095423</t>
  </si>
  <si>
    <t>157-41097556</t>
  </si>
  <si>
    <t>157-41097545</t>
  </si>
  <si>
    <t>157-41095600</t>
  </si>
  <si>
    <t>157-41095342</t>
  </si>
  <si>
    <t>157-41095541</t>
  </si>
  <si>
    <t>157-41095530</t>
  </si>
  <si>
    <t>157-41095622</t>
  </si>
  <si>
    <t>157-41095434</t>
  </si>
  <si>
    <t>157-41095456</t>
  </si>
  <si>
    <t>157-41095445</t>
  </si>
  <si>
    <t>157-41097534</t>
  </si>
  <si>
    <t>157-41095515</t>
  </si>
  <si>
    <t>157-41095526</t>
  </si>
  <si>
    <t>157-41095585</t>
  </si>
  <si>
    <t>157-41095574</t>
  </si>
  <si>
    <t>157-41095482</t>
  </si>
  <si>
    <t>157-41095471</t>
  </si>
  <si>
    <t>157-41095460</t>
  </si>
  <si>
    <t>157-41095633</t>
  </si>
  <si>
    <t>157-41095504</t>
  </si>
  <si>
    <t>157-41095596</t>
  </si>
  <si>
    <t>157-41177452</t>
  </si>
  <si>
    <t>157-41177441</t>
  </si>
  <si>
    <t>157-41177430</t>
  </si>
  <si>
    <t>157-41177426</t>
  </si>
  <si>
    <t>157-41095563</t>
  </si>
  <si>
    <t>157-41095316</t>
  </si>
  <si>
    <t>157-41177415</t>
  </si>
  <si>
    <t>157-41177404</t>
  </si>
  <si>
    <t>157-41177393</t>
  </si>
  <si>
    <t>157-41095364</t>
  </si>
  <si>
    <t>157-41095320</t>
  </si>
  <si>
    <t>157-41095353</t>
  </si>
  <si>
    <t>157-41095552</t>
  </si>
  <si>
    <t>157-41177382</t>
  </si>
  <si>
    <t>160-09408873</t>
  </si>
  <si>
    <t>160-09408862</t>
  </si>
  <si>
    <t>160-09408884</t>
  </si>
  <si>
    <t>160-09408895</t>
  </si>
  <si>
    <t>369-98441313</t>
  </si>
  <si>
    <t>369-98441324</t>
  </si>
  <si>
    <t>369-98461086</t>
  </si>
  <si>
    <t>369-98461075</t>
  </si>
  <si>
    <t>369-98461215</t>
  </si>
  <si>
    <t>369-98461042</t>
  </si>
  <si>
    <t>369-98461031</t>
  </si>
  <si>
    <t>369-98460972</t>
  </si>
  <si>
    <t>369-98460961</t>
  </si>
  <si>
    <t>369-98460950</t>
  </si>
  <si>
    <t>369-98460994</t>
  </si>
  <si>
    <t>369-98460983</t>
  </si>
  <si>
    <t>369-98461005</t>
  </si>
  <si>
    <t>369-98460935</t>
  </si>
  <si>
    <t>369-98460736</t>
  </si>
  <si>
    <t>369-98460806</t>
  </si>
  <si>
    <t>369-98460795</t>
  </si>
  <si>
    <t>369-98460784</t>
  </si>
  <si>
    <t>369-98460773</t>
  </si>
  <si>
    <t>369-98460876</t>
  </si>
  <si>
    <t>369-98460865</t>
  </si>
  <si>
    <t>369-98460832</t>
  </si>
  <si>
    <t>369-98460821</t>
  </si>
  <si>
    <t>369-98460854</t>
  </si>
  <si>
    <t>369-98460810</t>
  </si>
  <si>
    <t>369-98460762</t>
  </si>
  <si>
    <t>369-98460751</t>
  </si>
  <si>
    <t>369-98461090</t>
  </si>
  <si>
    <t>369-98461101</t>
  </si>
  <si>
    <t>369-98461226</t>
  </si>
  <si>
    <t>369-98460740</t>
  </si>
  <si>
    <t>369-98460843</t>
  </si>
  <si>
    <t>369-98460880</t>
  </si>
  <si>
    <t>369-98457866</t>
  </si>
  <si>
    <t>369-98457870</t>
  </si>
  <si>
    <t>369-98458043</t>
  </si>
  <si>
    <t>369-98458113</t>
  </si>
  <si>
    <t>369-98458054</t>
  </si>
  <si>
    <t>369-98458102</t>
  </si>
  <si>
    <t>369-98458065</t>
  </si>
  <si>
    <t>369-98457774</t>
  </si>
  <si>
    <t>752-30184604</t>
  </si>
  <si>
    <t>752-30184615</t>
  </si>
  <si>
    <t>752-30184626</t>
  </si>
  <si>
    <t>752-30184630</t>
  </si>
  <si>
    <t>752-30184641</t>
  </si>
  <si>
    <t>752-30184652</t>
  </si>
  <si>
    <t>752-30184663</t>
  </si>
  <si>
    <t>752-30184674</t>
  </si>
  <si>
    <t>065-46963490</t>
  </si>
  <si>
    <t>065-46963501</t>
  </si>
  <si>
    <t>065-46963512</t>
  </si>
  <si>
    <t>065-46963545</t>
  </si>
  <si>
    <t>065-46963523</t>
  </si>
  <si>
    <t>065-46963534</t>
  </si>
  <si>
    <t>065-46963556</t>
  </si>
  <si>
    <t>065-46963346</t>
  </si>
  <si>
    <t>065-46963560</t>
  </si>
  <si>
    <t>065-46963361</t>
  </si>
  <si>
    <t>065-46963571</t>
  </si>
  <si>
    <t>065-46963582</t>
  </si>
  <si>
    <t>065-46961574</t>
  </si>
  <si>
    <t>065-46963372</t>
  </si>
  <si>
    <t>065-46963383</t>
  </si>
  <si>
    <t>065-46963394</t>
  </si>
  <si>
    <t>065-46961703</t>
  </si>
  <si>
    <t>065-46961714</t>
  </si>
  <si>
    <t>065-46961725</t>
  </si>
  <si>
    <t>065-46963405</t>
  </si>
  <si>
    <t>065-46963416</t>
  </si>
  <si>
    <t>065-46961736</t>
  </si>
  <si>
    <t>065-46963420</t>
  </si>
  <si>
    <t>065-46962952</t>
  </si>
  <si>
    <t>065-46963000</t>
  </si>
  <si>
    <t>065-46963350</t>
  </si>
  <si>
    <t>065-46963431</t>
  </si>
  <si>
    <t>065-46962963</t>
  </si>
  <si>
    <t>065-46962974</t>
  </si>
  <si>
    <t>065-46962996</t>
  </si>
  <si>
    <t>065-46962985</t>
  </si>
  <si>
    <t>065-46963442</t>
  </si>
  <si>
    <t>065-46974826</t>
  </si>
  <si>
    <t>065-46974815</t>
  </si>
  <si>
    <t>065-46974513</t>
  </si>
  <si>
    <t>065-46974502</t>
  </si>
  <si>
    <t>065-46974804</t>
  </si>
  <si>
    <t>065-46974524</t>
  </si>
  <si>
    <t>065-46974491</t>
  </si>
  <si>
    <t>160-11074615</t>
  </si>
  <si>
    <t>160-09408906</t>
  </si>
  <si>
    <t>369-98461403</t>
  </si>
  <si>
    <t>369-98461414</t>
  </si>
  <si>
    <t>369-98461425</t>
  </si>
  <si>
    <t>369-98461436</t>
  </si>
  <si>
    <t>369-98461145</t>
  </si>
  <si>
    <t>369-98461156</t>
  </si>
  <si>
    <t>369-98461160</t>
  </si>
  <si>
    <t>369-98461171</t>
  </si>
  <si>
    <t>369-98461182</t>
  </si>
  <si>
    <t>369-98461112</t>
  </si>
  <si>
    <t>369-98461123</t>
  </si>
  <si>
    <t>369-98461134</t>
  </si>
  <si>
    <t>369-98461193</t>
  </si>
  <si>
    <t>369-98461204</t>
  </si>
  <si>
    <t>369-98461230</t>
  </si>
  <si>
    <t>369-98460946</t>
  </si>
  <si>
    <t>369-98461241</t>
  </si>
  <si>
    <t>369-98461296</t>
  </si>
  <si>
    <t>369-98461311</t>
  </si>
  <si>
    <t>369-98461300</t>
  </si>
  <si>
    <t>369-98461252</t>
  </si>
  <si>
    <t>369-98461285</t>
  </si>
  <si>
    <t>369-98461263</t>
  </si>
  <si>
    <t>369-98461274</t>
  </si>
  <si>
    <t>369-98461381</t>
  </si>
  <si>
    <t>369-98461392</t>
  </si>
  <si>
    <t>369-98457892</t>
  </si>
  <si>
    <t>369-98457995</t>
  </si>
  <si>
    <t>369-98458076</t>
  </si>
  <si>
    <t>369-98457984</t>
  </si>
  <si>
    <t>369-98457881</t>
  </si>
  <si>
    <t>752-30184825</t>
  </si>
  <si>
    <t>752-30184814</t>
  </si>
  <si>
    <t>752-30184803</t>
  </si>
  <si>
    <t>752-30184781</t>
  </si>
  <si>
    <t>752-30184766</t>
  </si>
  <si>
    <t>752-30184755</t>
  </si>
  <si>
    <t>752-30184722</t>
  </si>
  <si>
    <t>752-30184711</t>
  </si>
  <si>
    <t>752-30184700</t>
  </si>
  <si>
    <t>752-30184744</t>
  </si>
  <si>
    <t>752-30184696</t>
  </si>
  <si>
    <t>752-30184733</t>
  </si>
  <si>
    <t>752-30184685</t>
  </si>
  <si>
    <t>752-30184851</t>
  </si>
  <si>
    <t>752-30184840</t>
  </si>
  <si>
    <t>752-30184792</t>
  </si>
  <si>
    <t>752-30184770</t>
  </si>
  <si>
    <t>752-30184836</t>
  </si>
  <si>
    <t>994-32704722</t>
  </si>
  <si>
    <t>065-46963593</t>
  </si>
  <si>
    <t>065-46963604</t>
  </si>
  <si>
    <t>065-46963615</t>
  </si>
  <si>
    <t>065-46963626</t>
  </si>
  <si>
    <t>065-46963630</t>
  </si>
  <si>
    <t>065-46963641</t>
  </si>
  <si>
    <t>065-46963652</t>
  </si>
  <si>
    <t>065-46963663</t>
  </si>
  <si>
    <t>065-46963792</t>
  </si>
  <si>
    <t>065-46963674</t>
  </si>
  <si>
    <t>065-46963803</t>
  </si>
  <si>
    <t>065-46963744</t>
  </si>
  <si>
    <t>065-46963755</t>
  </si>
  <si>
    <t>065-46963814</t>
  </si>
  <si>
    <t>065-46963766</t>
  </si>
  <si>
    <t>065-46963825</t>
  </si>
  <si>
    <t>065-46963770</t>
  </si>
  <si>
    <t>065-46963836</t>
  </si>
  <si>
    <t>065-46963685</t>
  </si>
  <si>
    <t>065-46963781</t>
  </si>
  <si>
    <t>065-46963033</t>
  </si>
  <si>
    <t>065-46963044</t>
  </si>
  <si>
    <t>065-46963066</t>
  </si>
  <si>
    <t>065-46963070</t>
  </si>
  <si>
    <t>065-46963081</t>
  </si>
  <si>
    <t>065-46963055</t>
  </si>
  <si>
    <t>065-46963696</t>
  </si>
  <si>
    <t>157-41177360</t>
  </si>
  <si>
    <t>157-41177371</t>
  </si>
  <si>
    <t>157-41179880</t>
  </si>
  <si>
    <t>157-41179876</t>
  </si>
  <si>
    <t>157-41179891</t>
  </si>
  <si>
    <t>157-41177463</t>
  </si>
  <si>
    <t>157-41179865</t>
  </si>
  <si>
    <t>157-41179924</t>
  </si>
  <si>
    <t>157-41179935</t>
  </si>
  <si>
    <t>157-41179961</t>
  </si>
  <si>
    <t>157-41179946</t>
  </si>
  <si>
    <t>157-41179950</t>
  </si>
  <si>
    <t>157-41180042</t>
  </si>
  <si>
    <t>157-41180053</t>
  </si>
  <si>
    <t>157-41180064</t>
  </si>
  <si>
    <t>157-41179972</t>
  </si>
  <si>
    <t>157-41180031</t>
  </si>
  <si>
    <t>157-41180005</t>
  </si>
  <si>
    <t>157-41180075</t>
  </si>
  <si>
    <t>157-41180016</t>
  </si>
  <si>
    <t>157-41180020</t>
  </si>
  <si>
    <t>157-41179983</t>
  </si>
  <si>
    <t>157-41179994</t>
  </si>
  <si>
    <t>157-41180086</t>
  </si>
  <si>
    <t>157-41180090</t>
  </si>
  <si>
    <t>157-41180101</t>
  </si>
  <si>
    <t>157-41701892</t>
  </si>
  <si>
    <t>157-41701881</t>
  </si>
  <si>
    <t>157-41701866</t>
  </si>
  <si>
    <t>157-41701870</t>
  </si>
  <si>
    <t>157-41702065</t>
  </si>
  <si>
    <t>157-41702076</t>
  </si>
  <si>
    <t>157-41701936</t>
  </si>
  <si>
    <t>157-41701962</t>
  </si>
  <si>
    <t>157-41701940</t>
  </si>
  <si>
    <t>157-41701951</t>
  </si>
  <si>
    <t>157-41179902</t>
  </si>
  <si>
    <t>157-41179913</t>
  </si>
  <si>
    <t>157-41701925</t>
  </si>
  <si>
    <t>157-41701903</t>
  </si>
  <si>
    <t>157-41701914</t>
  </si>
  <si>
    <t>157-41702080</t>
  </si>
  <si>
    <t>157-41702054</t>
  </si>
  <si>
    <t>157-41702010</t>
  </si>
  <si>
    <t>157-41702021</t>
  </si>
  <si>
    <t>157-41702032</t>
  </si>
  <si>
    <t>157-41702043</t>
  </si>
  <si>
    <t>157-41179353</t>
  </si>
  <si>
    <t>157-41179482</t>
  </si>
  <si>
    <t>157-41179331</t>
  </si>
  <si>
    <t>157-41179471</t>
  </si>
  <si>
    <t>157-41179364</t>
  </si>
  <si>
    <t>157-41179235</t>
  </si>
  <si>
    <t>157-41179456</t>
  </si>
  <si>
    <t>157-41179342</t>
  </si>
  <si>
    <t>157-41179515</t>
  </si>
  <si>
    <t>157-41179504</t>
  </si>
  <si>
    <t>157-41179493</t>
  </si>
  <si>
    <t>157-41179316</t>
  </si>
  <si>
    <t>157-41179305</t>
  </si>
  <si>
    <t>157-41179460</t>
  </si>
  <si>
    <t>157-41179213</t>
  </si>
  <si>
    <t>157-41177581</t>
  </si>
  <si>
    <t>157-41179375</t>
  </si>
  <si>
    <t>157-41177570</t>
  </si>
  <si>
    <t>157-41179320</t>
  </si>
  <si>
    <t>157-41179224</t>
  </si>
  <si>
    <t>157-41179445</t>
  </si>
  <si>
    <t>157-41179526</t>
  </si>
  <si>
    <t>157-41179261</t>
  </si>
  <si>
    <t>157-41701796</t>
  </si>
  <si>
    <t>157-41701785</t>
  </si>
  <si>
    <t>157-41701774</t>
  </si>
  <si>
    <t>157-41701763</t>
  </si>
  <si>
    <t>157-41179283</t>
  </si>
  <si>
    <t>157-41179272</t>
  </si>
  <si>
    <t>157-41179423</t>
  </si>
  <si>
    <t>157-41179434</t>
  </si>
  <si>
    <t>157-41701811</t>
  </si>
  <si>
    <t>157-41701800</t>
  </si>
  <si>
    <t>157-41177566</t>
  </si>
  <si>
    <t>157-41177555</t>
  </si>
  <si>
    <t>157-41177544</t>
  </si>
  <si>
    <t>157-41097523</t>
  </si>
  <si>
    <t>157-41701822</t>
  </si>
  <si>
    <t>157-41701833</t>
  </si>
  <si>
    <t>157-41179390</t>
  </si>
  <si>
    <t>157-41179386</t>
  </si>
  <si>
    <t>157-41179294</t>
  </si>
  <si>
    <t>157-41177592</t>
  </si>
  <si>
    <t>157-41701844</t>
  </si>
  <si>
    <t>157-41179412</t>
  </si>
  <si>
    <t>157-41179401</t>
  </si>
  <si>
    <t>157-41179202</t>
  </si>
  <si>
    <t>157-41702135</t>
  </si>
  <si>
    <t>157-41702124</t>
  </si>
  <si>
    <t>157-41702113</t>
  </si>
  <si>
    <t>157-41702006</t>
  </si>
  <si>
    <t>157-41701995</t>
  </si>
  <si>
    <t>157-41702183</t>
  </si>
  <si>
    <t>157-41702172</t>
  </si>
  <si>
    <t>157-41702161</t>
  </si>
  <si>
    <t>157-41702150</t>
  </si>
  <si>
    <t>157-41701973</t>
  </si>
  <si>
    <t>157-41701855</t>
  </si>
  <si>
    <t>157-41179250</t>
  </si>
  <si>
    <t>157-41179246</t>
  </si>
  <si>
    <t>157-41701984</t>
  </si>
  <si>
    <t>160-11074700</t>
  </si>
  <si>
    <t>160-11074711</t>
  </si>
  <si>
    <t>369-98461613</t>
  </si>
  <si>
    <t>369-98461635</t>
  </si>
  <si>
    <t>369-98461624</t>
  </si>
  <si>
    <t>369-98461602</t>
  </si>
  <si>
    <t>369-98461565</t>
  </si>
  <si>
    <t>369-98461591</t>
  </si>
  <si>
    <t>369-98461580</t>
  </si>
  <si>
    <t>369-98461576</t>
  </si>
  <si>
    <t>369-98461506</t>
  </si>
  <si>
    <t>369-98461495</t>
  </si>
  <si>
    <t>369-98461554</t>
  </si>
  <si>
    <t>369-98461532</t>
  </si>
  <si>
    <t>369-98461521</t>
  </si>
  <si>
    <t>369-98461543</t>
  </si>
  <si>
    <t>369-98461510</t>
  </si>
  <si>
    <t>369-98461473</t>
  </si>
  <si>
    <t>369-98461462</t>
  </si>
  <si>
    <t>369-98461451</t>
  </si>
  <si>
    <t>369-98461440</t>
  </si>
  <si>
    <t>369-98461370</t>
  </si>
  <si>
    <t>369-98461355</t>
  </si>
  <si>
    <t>369-98461344</t>
  </si>
  <si>
    <t>369-98461333</t>
  </si>
  <si>
    <t>369-98461322</t>
  </si>
  <si>
    <t>369-98461366</t>
  </si>
  <si>
    <t>369-98461016</t>
  </si>
  <si>
    <t>369-98461646</t>
  </si>
  <si>
    <t>369-98461650</t>
  </si>
  <si>
    <t>369-98461484</t>
  </si>
  <si>
    <t>752-30184976</t>
  </si>
  <si>
    <t>752-30184965</t>
  </si>
  <si>
    <t>752-30184932</t>
  </si>
  <si>
    <t>752-30184943</t>
  </si>
  <si>
    <t>752-30184980</t>
  </si>
  <si>
    <t>752-30184991</t>
  </si>
  <si>
    <t>752-30185002</t>
  </si>
  <si>
    <t>752-30185013</t>
  </si>
  <si>
    <t>752-30185035</t>
  </si>
  <si>
    <t>752-30185024</t>
  </si>
  <si>
    <t>752-30185046</t>
  </si>
  <si>
    <t>752-30184895</t>
  </si>
  <si>
    <t>752-30184884</t>
  </si>
  <si>
    <t>752-30184873</t>
  </si>
  <si>
    <t>752-30184862</t>
  </si>
  <si>
    <t>752-30184910</t>
  </si>
  <si>
    <t>936-00308626</t>
  </si>
  <si>
    <t>936-00308615</t>
  </si>
  <si>
    <t>065-46974550</t>
  </si>
  <si>
    <t>065-46974561</t>
  </si>
  <si>
    <t>065-46974830</t>
  </si>
  <si>
    <t>065-46974535</t>
  </si>
  <si>
    <t>065-46974852</t>
  </si>
  <si>
    <t>065-46974841</t>
  </si>
  <si>
    <t>160-09063843</t>
  </si>
  <si>
    <t>160-09055130</t>
  </si>
  <si>
    <t>160-09055141</t>
  </si>
  <si>
    <t>160-11074733</t>
  </si>
  <si>
    <t>160-11074722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</si>
</sst>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m/yyyy"/>
    <numFmt numFmtId="165" formatCode="0.0 &quot;kg&quot;"/>
  </numFmts>
  <fonts count="5" x14ac:knownFonts="1">
    <font>
      <color theme="1"/>
      <family val="2"/>
      <scheme val="minor"/>
      <sz val="11"/>
      <name val="Calibri"/>
    </font>
    <font>
      <color theme="1"/>
      <family val="2"/>
      <sz val="10"/>
      <name val="Calibri"/>
    </font>
    <font>
      <b/>
      <family val="2"/>
      <sz val="12"/>
      <name val="Calibri"/>
    </font>
    <font>
      <b/>
      <color theme="1"/>
      <family val="2"/>
      <sz val="12"/>
      <name val="Calibri"/>
    </font>
    <font>
      <color rgb="FF0070C0"/>
      <family val="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1" fillId="2" borderId="0" xfId="0" applyNumberFormat="1" applyFont="1" applyFill="1"/>
    <xf numFmtId="0" fontId="1" fillId="2" borderId="0" xfId="0" applyFont="1" applyFill="1"/>
    <xf numFmtId="164" fontId="1" fillId="0" borderId="1" xfId="0" applyNumberFormat="1" applyFont="1" applyBorder="1"/>
    <xf numFmtId="0" fontId="1" fillId="0" borderId="1" xfId="0" applyFont="1" applyBorder="1"/>
    <xf numFmtId="0" fontId="2" fillId="0" borderId="0" xfId="0" applyFont="1" applyAlignment="1">
      <alignment horizontal="right"/>
    </xf>
    <xf numFmtId="0" fontId="3" fillId="0" borderId="2" xfId="0" applyFont="1" applyBorder="1"/>
    <xf numFmtId="165" fontId="3" fillId="0" borderId="2" xfId="0" applyNumberFormat="1" applyFont="1" applyBorder="1"/>
    <xf numFmtId="0" fontId="4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343"/>
  <sheetViews>
    <sheetView workbookViewId="0" zoomScale="100" zoomScaleNormal="100">
      <pane ySplit="3" topLeftCell="A3325" activePane="bottomLeft" state="frozen"/>
      <selection pane="bottomLeft" activeCell="A2519" sqref="A2519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5" spans="1:7" x14ac:dyDescent="0.25">
      <c r="A5" s="1">
        <v>46113</v>
      </c>
      <c r="B5" s="2" t="s">
        <v>1400</v>
      </c>
      <c r="C5" s="2" t="s">
        <v>10683</v>
      </c>
      <c r="D5" s="2" t="s">
        <v>82</v>
      </c>
      <c r="E5" s="2">
        <v>121</v>
      </c>
      <c r="F5" s="2">
        <v>2534.739</v>
      </c>
      <c r="G5" s="1">
        <v>46112</v>
      </c>
    </row>
    <row r="6" spans="3:6" x14ac:dyDescent="0.25">
      <c r="C6" s="2" t="s">
        <v>10684</v>
      </c>
      <c r="D6" s="2" t="s">
        <v>82</v>
      </c>
      <c r="E6" s="2">
        <v>121</v>
      </c>
      <c r="F6" s="2">
        <v>2350.47</v>
      </c>
    </row>
    <row r="7" spans="3:6" x14ac:dyDescent="0.25">
      <c r="C7" s="2" t="s">
        <v>10685</v>
      </c>
      <c r="D7" s="2" t="s">
        <v>82</v>
      </c>
      <c r="E7" s="2">
        <v>141</v>
      </c>
      <c r="F7" s="2">
        <v>2903.37</v>
      </c>
    </row>
    <row r="8" spans="3:6" x14ac:dyDescent="0.25">
      <c r="C8" s="2" t="s">
        <v>10686</v>
      </c>
      <c r="D8" s="2" t="s">
        <v>82</v>
      </c>
      <c r="E8" s="2">
        <v>141</v>
      </c>
      <c r="F8" s="2">
        <v>2894.3</v>
      </c>
    </row>
    <row r="9" spans="3:6" x14ac:dyDescent="0.25">
      <c r="C9" s="2" t="s">
        <v>10687</v>
      </c>
      <c r="D9" s="2" t="s">
        <v>82</v>
      </c>
      <c r="E9" s="2">
        <v>141</v>
      </c>
      <c r="F9" s="2">
        <v>2852.3</v>
      </c>
    </row>
    <row r="10" spans="3:6" x14ac:dyDescent="0.25">
      <c r="C10" s="2" t="s">
        <v>10688</v>
      </c>
      <c r="D10" s="2" t="s">
        <v>82</v>
      </c>
      <c r="E10" s="2">
        <v>141</v>
      </c>
      <c r="F10" s="2">
        <v>2765.458</v>
      </c>
    </row>
    <row r="11" spans="3:6" x14ac:dyDescent="0.25">
      <c r="C11" s="2" t="s">
        <v>10689</v>
      </c>
      <c r="D11" s="2" t="s">
        <v>82</v>
      </c>
      <c r="E11" s="2">
        <v>141</v>
      </c>
      <c r="F11" s="2">
        <v>2806.329</v>
      </c>
    </row>
    <row r="12" spans="3:6" x14ac:dyDescent="0.25">
      <c r="C12" s="2" t="s">
        <v>10690</v>
      </c>
      <c r="D12" s="2" t="s">
        <v>82</v>
      </c>
      <c r="E12" s="2">
        <v>141</v>
      </c>
      <c r="F12" s="2">
        <v>2819.77</v>
      </c>
    </row>
    <row r="13" spans="3:6" x14ac:dyDescent="0.25">
      <c r="C13" s="2" t="s">
        <v>10691</v>
      </c>
      <c r="D13" s="2" t="s">
        <v>82</v>
      </c>
      <c r="E13" s="2">
        <v>141</v>
      </c>
      <c r="F13" s="2">
        <v>2871.93</v>
      </c>
    </row>
    <row r="14" spans="3:6" x14ac:dyDescent="0.25">
      <c r="C14" s="2" t="s">
        <v>10692</v>
      </c>
      <c r="D14" s="2" t="s">
        <v>82</v>
      </c>
      <c r="E14" s="2">
        <v>50</v>
      </c>
      <c r="F14" s="2">
        <v>989.35</v>
      </c>
    </row>
    <row r="15" spans="3:6" x14ac:dyDescent="0.25">
      <c r="C15" s="2" t="s">
        <v>10693</v>
      </c>
      <c r="D15" s="2" t="s">
        <v>82</v>
      </c>
      <c r="E15" s="2">
        <v>46</v>
      </c>
      <c r="F15" s="2">
        <v>921.06</v>
      </c>
    </row>
    <row r="16" spans="3:6" x14ac:dyDescent="0.25">
      <c r="C16" s="2" t="s">
        <v>10694</v>
      </c>
      <c r="D16" s="2" t="s">
        <v>82</v>
      </c>
      <c r="E16" s="2">
        <v>100</v>
      </c>
      <c r="F16" s="2">
        <v>2042.96</v>
      </c>
    </row>
    <row r="17" spans="3:6" x14ac:dyDescent="0.25">
      <c r="C17" s="2" t="s">
        <v>10695</v>
      </c>
      <c r="D17" s="2" t="s">
        <v>82</v>
      </c>
      <c r="E17" s="2">
        <v>100</v>
      </c>
      <c r="F17" s="2">
        <v>2019.89</v>
      </c>
    </row>
    <row r="18" spans="3:6" x14ac:dyDescent="0.25">
      <c r="C18" s="2" t="s">
        <v>10696</v>
      </c>
      <c r="D18" s="2" t="s">
        <v>82</v>
      </c>
      <c r="E18" s="2">
        <v>38</v>
      </c>
      <c r="F18" s="2">
        <v>776.41</v>
      </c>
    </row>
    <row r="19" spans="3:6" x14ac:dyDescent="0.25">
      <c r="C19" s="2" t="s">
        <v>10697</v>
      </c>
      <c r="D19" s="2" t="s">
        <v>82</v>
      </c>
      <c r="E19" s="2">
        <v>100</v>
      </c>
      <c r="F19" s="2">
        <v>2032.96</v>
      </c>
    </row>
    <row r="20" spans="3:6" x14ac:dyDescent="0.25">
      <c r="C20" s="2" t="s">
        <v>10698</v>
      </c>
      <c r="D20" s="2" t="s">
        <v>82</v>
      </c>
      <c r="E20" s="2">
        <v>100</v>
      </c>
      <c r="F20" s="2">
        <v>2018.32</v>
      </c>
    </row>
    <row r="21" spans="3:6" x14ac:dyDescent="0.25">
      <c r="C21" s="2" t="s">
        <v>10699</v>
      </c>
      <c r="D21" s="2" t="s">
        <v>82</v>
      </c>
      <c r="E21" s="2">
        <v>62</v>
      </c>
      <c r="F21" s="2">
        <v>1251.59</v>
      </c>
    </row>
    <row r="22" spans="3:6" x14ac:dyDescent="0.25">
      <c r="C22" s="2" t="s">
        <v>10700</v>
      </c>
      <c r="D22" s="2" t="s">
        <v>82</v>
      </c>
      <c r="E22" s="2">
        <v>27</v>
      </c>
      <c r="F22" s="2">
        <v>521.009</v>
      </c>
    </row>
    <row r="23" spans="3:6" x14ac:dyDescent="0.25">
      <c r="C23" s="2" t="s">
        <v>10701</v>
      </c>
      <c r="D23" s="2" t="s">
        <v>82</v>
      </c>
      <c r="E23" s="2">
        <v>55</v>
      </c>
      <c r="F23" s="2">
        <v>1098.51</v>
      </c>
    </row>
    <row r="24" spans="3:6" x14ac:dyDescent="0.25">
      <c r="C24" s="2" t="s">
        <v>10702</v>
      </c>
      <c r="D24" s="2" t="s">
        <v>82</v>
      </c>
      <c r="E24" s="2">
        <v>43</v>
      </c>
      <c r="F24" s="2">
        <v>851.36</v>
      </c>
    </row>
    <row r="25" spans="3:6" x14ac:dyDescent="0.25">
      <c r="C25" s="2" t="s">
        <v>10703</v>
      </c>
      <c r="D25" s="2" t="s">
        <v>82</v>
      </c>
      <c r="E25" s="2">
        <v>30</v>
      </c>
      <c r="F25" s="2">
        <v>632.29</v>
      </c>
    </row>
    <row r="26" spans="3:6" x14ac:dyDescent="0.25">
      <c r="C26" s="2" t="s">
        <v>10704</v>
      </c>
      <c r="D26" s="2" t="s">
        <v>82</v>
      </c>
      <c r="E26" s="2">
        <v>31</v>
      </c>
      <c r="F26" s="2">
        <v>627.59</v>
      </c>
    </row>
    <row r="28" spans="1:7" x14ac:dyDescent="0.25">
      <c r="A28" s="1">
        <v>46113</v>
      </c>
      <c r="B28" s="2" t="s">
        <v>7</v>
      </c>
      <c r="C28" s="2" t="s">
        <v>10705</v>
      </c>
      <c r="D28" s="2" t="s">
        <v>9</v>
      </c>
      <c r="E28" s="2">
        <v>99</v>
      </c>
      <c r="F28" s="2">
        <v>1930.28</v>
      </c>
      <c r="G28" s="1">
        <v>46112</v>
      </c>
    </row>
    <row r="29" spans="3:6" x14ac:dyDescent="0.25">
      <c r="C29" s="2" t="s">
        <v>10706</v>
      </c>
      <c r="D29" s="2" t="s">
        <v>9</v>
      </c>
      <c r="E29" s="2">
        <v>99</v>
      </c>
      <c r="F29" s="2">
        <v>1815.818</v>
      </c>
    </row>
    <row r="31" spans="1:7" x14ac:dyDescent="0.25">
      <c r="A31" s="1">
        <v>46113</v>
      </c>
      <c r="B31" s="2" t="s">
        <v>347</v>
      </c>
      <c r="C31" s="2" t="s">
        <v>10707</v>
      </c>
      <c r="D31" s="2" t="s">
        <v>59</v>
      </c>
      <c r="E31" s="2">
        <v>142</v>
      </c>
      <c r="F31" s="2">
        <v>2660.999</v>
      </c>
      <c r="G31" s="1">
        <v>46112</v>
      </c>
    </row>
    <row r="32" spans="3:6" x14ac:dyDescent="0.25">
      <c r="C32" s="2" t="s">
        <v>10708</v>
      </c>
      <c r="D32" s="2" t="s">
        <v>59</v>
      </c>
      <c r="E32" s="2">
        <v>170</v>
      </c>
      <c r="F32" s="2">
        <v>2431.429</v>
      </c>
    </row>
    <row r="33" spans="3:6" x14ac:dyDescent="0.25">
      <c r="C33" s="2" t="s">
        <v>10709</v>
      </c>
      <c r="D33" s="2" t="s">
        <v>59</v>
      </c>
      <c r="E33" s="2">
        <v>102</v>
      </c>
      <c r="F33" s="2">
        <v>1943.229</v>
      </c>
    </row>
    <row r="34" spans="3:6" x14ac:dyDescent="0.25">
      <c r="C34" s="2" t="s">
        <v>10710</v>
      </c>
      <c r="D34" s="2" t="s">
        <v>59</v>
      </c>
      <c r="E34" s="2">
        <v>102</v>
      </c>
      <c r="F34" s="2">
        <v>1920.738</v>
      </c>
    </row>
    <row r="35" spans="3:6" x14ac:dyDescent="0.25">
      <c r="C35" s="2" t="s">
        <v>10711</v>
      </c>
      <c r="D35" s="2" t="s">
        <v>59</v>
      </c>
      <c r="E35" s="2">
        <v>142</v>
      </c>
      <c r="F35" s="2">
        <v>2595.649</v>
      </c>
    </row>
    <row r="36" spans="3:6" x14ac:dyDescent="0.25">
      <c r="C36" s="2" t="s">
        <v>10712</v>
      </c>
      <c r="D36" s="2" t="s">
        <v>59</v>
      </c>
      <c r="E36" s="2">
        <v>102</v>
      </c>
      <c r="F36" s="2">
        <v>1978.19</v>
      </c>
    </row>
    <row r="37" spans="3:6" x14ac:dyDescent="0.25">
      <c r="C37" s="2" t="s">
        <v>10713</v>
      </c>
      <c r="D37" s="2" t="s">
        <v>59</v>
      </c>
      <c r="E37" s="2">
        <v>142</v>
      </c>
      <c r="F37" s="2">
        <v>2706.41</v>
      </c>
    </row>
    <row r="38" spans="3:6" x14ac:dyDescent="0.25">
      <c r="C38" s="2" t="s">
        <v>10714</v>
      </c>
      <c r="D38" s="2" t="s">
        <v>59</v>
      </c>
      <c r="E38" s="2">
        <v>142</v>
      </c>
      <c r="F38" s="2">
        <v>2606.116</v>
      </c>
    </row>
    <row r="39" spans="3:6" x14ac:dyDescent="0.25">
      <c r="C39" s="2" t="s">
        <v>10715</v>
      </c>
      <c r="D39" s="2" t="s">
        <v>59</v>
      </c>
      <c r="E39" s="2">
        <v>142</v>
      </c>
      <c r="F39" s="2">
        <v>2861.27</v>
      </c>
    </row>
    <row r="40" spans="3:6" x14ac:dyDescent="0.25">
      <c r="C40" s="2" t="s">
        <v>10716</v>
      </c>
      <c r="D40" s="2" t="s">
        <v>59</v>
      </c>
      <c r="E40" s="2">
        <v>102</v>
      </c>
      <c r="F40" s="2">
        <v>1940.8</v>
      </c>
    </row>
    <row r="41" spans="3:6" x14ac:dyDescent="0.25">
      <c r="C41" s="2" t="s">
        <v>10717</v>
      </c>
      <c r="D41" s="2" t="s">
        <v>59</v>
      </c>
      <c r="E41" s="2">
        <v>142</v>
      </c>
      <c r="F41" s="2">
        <v>2717.299</v>
      </c>
    </row>
    <row r="43" spans="1:7" x14ac:dyDescent="0.25">
      <c r="A43" s="1">
        <v>46114</v>
      </c>
      <c r="B43" s="2" t="s">
        <v>433</v>
      </c>
      <c r="C43" s="2" t="s">
        <v>10718</v>
      </c>
      <c r="D43" s="2" t="s">
        <v>73</v>
      </c>
      <c r="E43" s="2">
        <v>124</v>
      </c>
      <c r="F43" s="2">
        <v>2318.772</v>
      </c>
      <c r="G43" s="1">
        <v>46112</v>
      </c>
    </row>
    <row r="44" spans="3:6" x14ac:dyDescent="0.25">
      <c r="C44" s="2" t="s">
        <v>10719</v>
      </c>
      <c r="D44" s="2" t="s">
        <v>73</v>
      </c>
      <c r="F44" s="2" t="s">
        <v>4167</v>
      </c>
    </row>
    <row r="45" spans="3:6" x14ac:dyDescent="0.25">
      <c r="C45" s="2" t="s">
        <v>10720</v>
      </c>
      <c r="D45" s="2" t="s">
        <v>73</v>
      </c>
      <c r="E45" s="2">
        <v>84</v>
      </c>
      <c r="F45" s="2">
        <v>1732.141</v>
      </c>
    </row>
    <row r="46" spans="3:6" x14ac:dyDescent="0.25">
      <c r="C46" s="2" t="s">
        <v>10721</v>
      </c>
      <c r="D46" s="2" t="s">
        <v>73</v>
      </c>
      <c r="E46" s="2">
        <v>101</v>
      </c>
      <c r="F46" s="2">
        <v>1733.809</v>
      </c>
    </row>
    <row r="47" spans="3:6" x14ac:dyDescent="0.25">
      <c r="C47" s="2" t="s">
        <v>10722</v>
      </c>
      <c r="D47" s="2" t="s">
        <v>73</v>
      </c>
      <c r="E47" s="2">
        <v>50</v>
      </c>
      <c r="F47" s="2">
        <v>886</v>
      </c>
    </row>
    <row r="48" spans="3:6" x14ac:dyDescent="0.25">
      <c r="C48" s="2" t="s">
        <v>10723</v>
      </c>
      <c r="D48" s="2" t="s">
        <v>73</v>
      </c>
      <c r="E48" s="2">
        <v>44</v>
      </c>
      <c r="F48" s="2">
        <v>687.87</v>
      </c>
    </row>
    <row r="49" spans="3:6" x14ac:dyDescent="0.25">
      <c r="C49" s="2" t="s">
        <v>10724</v>
      </c>
      <c r="D49" s="2" t="s">
        <v>73</v>
      </c>
      <c r="E49" s="2">
        <v>8</v>
      </c>
      <c r="F49" s="2">
        <v>146.16</v>
      </c>
    </row>
    <row r="51" spans="1:7" x14ac:dyDescent="0.25">
      <c r="A51" s="1">
        <v>46115</v>
      </c>
      <c r="B51" s="2" t="s">
        <v>71</v>
      </c>
      <c r="C51" s="2" t="s">
        <v>10725</v>
      </c>
      <c r="D51" s="2" t="s">
        <v>73</v>
      </c>
      <c r="E51" s="2">
        <v>101</v>
      </c>
      <c r="F51" s="2">
        <v>1793.49</v>
      </c>
      <c r="G51" s="1">
        <v>46114</v>
      </c>
    </row>
    <row r="52" spans="3:6" x14ac:dyDescent="0.25">
      <c r="C52" s="2" t="s">
        <v>10726</v>
      </c>
      <c r="D52" s="2" t="s">
        <v>73</v>
      </c>
      <c r="E52" s="2">
        <v>101</v>
      </c>
      <c r="F52" s="2">
        <v>1934.298</v>
      </c>
    </row>
    <row r="53" spans="3:6" x14ac:dyDescent="0.25">
      <c r="C53" s="2" t="s">
        <v>10727</v>
      </c>
      <c r="D53" s="2" t="s">
        <v>73</v>
      </c>
      <c r="E53" s="2">
        <v>42</v>
      </c>
      <c r="F53" s="2">
        <v>738.18</v>
      </c>
    </row>
    <row r="54" spans="3:6" x14ac:dyDescent="0.25">
      <c r="C54" s="2" t="s">
        <v>10728</v>
      </c>
      <c r="D54" s="2" t="s">
        <v>73</v>
      </c>
      <c r="E54" s="2">
        <v>15</v>
      </c>
      <c r="F54" s="2">
        <v>226.93</v>
      </c>
    </row>
    <row r="55" spans="3:6" x14ac:dyDescent="0.25">
      <c r="C55" s="2" t="s">
        <v>10729</v>
      </c>
      <c r="D55" s="2" t="s">
        <v>73</v>
      </c>
      <c r="E55" s="2">
        <v>45</v>
      </c>
      <c r="F55" s="2">
        <v>730.49</v>
      </c>
    </row>
    <row r="57" spans="1:7" x14ac:dyDescent="0.25">
      <c r="A57" s="1">
        <v>46115</v>
      </c>
      <c r="B57" s="2" t="s">
        <v>7</v>
      </c>
      <c r="C57" s="2" t="s">
        <v>10730</v>
      </c>
      <c r="D57" s="2" t="s">
        <v>9</v>
      </c>
      <c r="E57" s="2">
        <v>99</v>
      </c>
      <c r="F57" s="2">
        <v>1778.515</v>
      </c>
      <c r="G57" s="1">
        <v>46114</v>
      </c>
    </row>
    <row r="58" spans="3:6" x14ac:dyDescent="0.25">
      <c r="C58" s="2" t="s">
        <v>10731</v>
      </c>
      <c r="D58" s="2" t="s">
        <v>9</v>
      </c>
      <c r="E58" s="2">
        <v>99</v>
      </c>
      <c r="F58" s="2">
        <v>1996.34</v>
      </c>
    </row>
    <row r="60" spans="1:7" x14ac:dyDescent="0.25">
      <c r="A60" s="1">
        <v>46115</v>
      </c>
      <c r="B60" s="2" t="s">
        <v>7683</v>
      </c>
      <c r="C60" s="2" t="s">
        <v>10732</v>
      </c>
      <c r="D60" s="2" t="s">
        <v>9</v>
      </c>
      <c r="E60" s="2">
        <v>156</v>
      </c>
      <c r="F60" s="2">
        <v>3035.174</v>
      </c>
      <c r="G60" s="1">
        <v>46115</v>
      </c>
    </row>
    <row r="61" spans="3:6" x14ac:dyDescent="0.25">
      <c r="C61" s="2" t="s">
        <v>10733</v>
      </c>
      <c r="D61" s="2" t="s">
        <v>9</v>
      </c>
      <c r="E61" s="2">
        <v>156</v>
      </c>
      <c r="F61" s="2">
        <v>3221.21</v>
      </c>
    </row>
    <row r="62" spans="3:6" x14ac:dyDescent="0.25">
      <c r="C62" s="2" t="s">
        <v>10734</v>
      </c>
      <c r="D62" s="2" t="s">
        <v>9</v>
      </c>
      <c r="E62" s="2">
        <v>64</v>
      </c>
      <c r="F62" s="2">
        <v>1421.03</v>
      </c>
    </row>
    <row r="64" spans="1:7" x14ac:dyDescent="0.25">
      <c r="A64" s="1">
        <v>46115</v>
      </c>
      <c r="B64" s="2" t="s">
        <v>10735</v>
      </c>
      <c r="C64" s="2" t="s">
        <v>10736</v>
      </c>
      <c r="D64" s="2" t="s">
        <v>178</v>
      </c>
      <c r="E64" s="2">
        <v>75</v>
      </c>
      <c r="F64" s="2">
        <v>321.349</v>
      </c>
      <c r="G64" s="1">
        <v>46114</v>
      </c>
    </row>
    <row r="65" spans="3:6" x14ac:dyDescent="0.25">
      <c r="C65" s="2" t="s">
        <v>10737</v>
      </c>
      <c r="D65" s="2" t="s">
        <v>178</v>
      </c>
      <c r="F65" s="2" t="s">
        <v>4167</v>
      </c>
    </row>
    <row r="66" spans="3:6" x14ac:dyDescent="0.25">
      <c r="C66" s="2" t="s">
        <v>10738</v>
      </c>
      <c r="D66" s="2" t="s">
        <v>178</v>
      </c>
      <c r="F66" s="2" t="s">
        <v>4167</v>
      </c>
    </row>
    <row r="67" spans="3:6" x14ac:dyDescent="0.25">
      <c r="C67" s="2" t="s">
        <v>10739</v>
      </c>
      <c r="D67" s="2" t="s">
        <v>178</v>
      </c>
      <c r="E67" s="2">
        <v>5</v>
      </c>
      <c r="F67" s="2">
        <v>14.49</v>
      </c>
    </row>
    <row r="68" spans="3:6" x14ac:dyDescent="0.25">
      <c r="C68" s="2" t="s">
        <v>10740</v>
      </c>
      <c r="D68" s="2" t="s">
        <v>178</v>
      </c>
      <c r="E68" s="2">
        <v>141</v>
      </c>
      <c r="F68" s="2">
        <v>2849.489</v>
      </c>
    </row>
    <row r="69" spans="3:6" x14ac:dyDescent="0.25">
      <c r="C69" s="2" t="s">
        <v>10741</v>
      </c>
      <c r="D69" s="2" t="s">
        <v>178</v>
      </c>
      <c r="E69" s="2">
        <v>49</v>
      </c>
      <c r="F69" s="2">
        <v>950.84</v>
      </c>
    </row>
    <row r="70" spans="3:6" x14ac:dyDescent="0.25">
      <c r="C70" s="2" t="s">
        <v>10742</v>
      </c>
      <c r="D70" s="2" t="s">
        <v>178</v>
      </c>
      <c r="E70" s="2">
        <v>84</v>
      </c>
      <c r="F70" s="2">
        <v>1709.88</v>
      </c>
    </row>
    <row r="71" spans="3:6" x14ac:dyDescent="0.25">
      <c r="C71" s="2" t="s">
        <v>10743</v>
      </c>
      <c r="D71" s="2" t="s">
        <v>178</v>
      </c>
      <c r="E71" s="2">
        <v>60</v>
      </c>
      <c r="F71" s="2">
        <v>256.6</v>
      </c>
    </row>
    <row r="72" spans="3:6" x14ac:dyDescent="0.25">
      <c r="C72" s="2" t="s">
        <v>10744</v>
      </c>
      <c r="D72" s="2" t="s">
        <v>178</v>
      </c>
      <c r="E72" s="2">
        <v>96</v>
      </c>
      <c r="F72" s="2">
        <v>1951.429</v>
      </c>
    </row>
    <row r="73" spans="3:6" x14ac:dyDescent="0.25">
      <c r="C73" s="2" t="s">
        <v>10745</v>
      </c>
      <c r="D73" s="2" t="s">
        <v>178</v>
      </c>
      <c r="E73" s="2">
        <v>141</v>
      </c>
      <c r="F73" s="2">
        <v>2840.898</v>
      </c>
    </row>
    <row r="74" spans="3:6" x14ac:dyDescent="0.25">
      <c r="C74" s="2" t="s">
        <v>10746</v>
      </c>
      <c r="D74" s="2" t="s">
        <v>178</v>
      </c>
      <c r="E74" s="2">
        <v>205</v>
      </c>
      <c r="F74" s="2">
        <v>4066.79</v>
      </c>
    </row>
    <row r="75" spans="3:6" x14ac:dyDescent="0.25">
      <c r="C75" s="2" t="s">
        <v>10747</v>
      </c>
      <c r="D75" s="2" t="s">
        <v>178</v>
      </c>
      <c r="E75" s="2">
        <v>246</v>
      </c>
      <c r="F75" s="2">
        <v>4972.4</v>
      </c>
    </row>
    <row r="76" spans="3:6" x14ac:dyDescent="0.25">
      <c r="C76" s="2" t="s">
        <v>10748</v>
      </c>
      <c r="D76" s="2" t="s">
        <v>178</v>
      </c>
      <c r="E76" s="2">
        <v>72</v>
      </c>
      <c r="F76" s="2">
        <v>1318.42</v>
      </c>
    </row>
    <row r="77" spans="3:6" x14ac:dyDescent="0.25">
      <c r="C77" s="2" t="s">
        <v>10749</v>
      </c>
      <c r="D77" s="2" t="s">
        <v>178</v>
      </c>
      <c r="E77" s="2">
        <v>141</v>
      </c>
      <c r="F77" s="2">
        <v>2871.65</v>
      </c>
    </row>
    <row r="78" spans="3:6" x14ac:dyDescent="0.25">
      <c r="C78" s="2" t="s">
        <v>10750</v>
      </c>
      <c r="D78" s="2" t="s">
        <v>178</v>
      </c>
      <c r="E78" s="2">
        <v>123</v>
      </c>
      <c r="F78" s="2">
        <v>2459.59</v>
      </c>
    </row>
    <row r="79" spans="3:6" x14ac:dyDescent="0.25">
      <c r="C79" s="2" t="s">
        <v>10751</v>
      </c>
      <c r="D79" s="2" t="s">
        <v>178</v>
      </c>
      <c r="E79" s="2">
        <v>123</v>
      </c>
      <c r="F79" s="2">
        <v>2454.65</v>
      </c>
    </row>
    <row r="80" spans="3:6" x14ac:dyDescent="0.25">
      <c r="C80" s="2" t="s">
        <v>10752</v>
      </c>
      <c r="D80" s="2" t="s">
        <v>178</v>
      </c>
      <c r="E80" s="2">
        <v>236</v>
      </c>
      <c r="F80" s="2">
        <v>4790.75</v>
      </c>
    </row>
    <row r="81" spans="3:6" x14ac:dyDescent="0.25">
      <c r="C81" s="2" t="s">
        <v>10753</v>
      </c>
      <c r="D81" s="2" t="s">
        <v>178</v>
      </c>
      <c r="E81" s="2">
        <v>141</v>
      </c>
      <c r="F81" s="2">
        <v>2891.21</v>
      </c>
    </row>
    <row r="82" spans="3:6" x14ac:dyDescent="0.25">
      <c r="C82" s="2" t="s">
        <v>10754</v>
      </c>
      <c r="D82" s="2" t="s">
        <v>178</v>
      </c>
      <c r="E82" s="2">
        <v>141</v>
      </c>
      <c r="F82" s="2">
        <v>2639.81</v>
      </c>
    </row>
    <row r="83" spans="3:6" x14ac:dyDescent="0.25">
      <c r="C83" s="2" t="s">
        <v>10755</v>
      </c>
      <c r="D83" s="2" t="s">
        <v>178</v>
      </c>
      <c r="E83" s="2">
        <v>63</v>
      </c>
      <c r="F83" s="2">
        <v>1198.44</v>
      </c>
    </row>
    <row r="84" spans="3:6" x14ac:dyDescent="0.25">
      <c r="C84" s="2" t="s">
        <v>10756</v>
      </c>
      <c r="D84" s="2" t="s">
        <v>178</v>
      </c>
      <c r="E84" s="2">
        <v>165</v>
      </c>
      <c r="F84" s="2">
        <v>3313.43</v>
      </c>
    </row>
    <row r="85" spans="3:6" x14ac:dyDescent="0.25">
      <c r="C85" s="2" t="s">
        <v>10757</v>
      </c>
      <c r="D85" s="2" t="s">
        <v>178</v>
      </c>
      <c r="E85" s="2">
        <v>141</v>
      </c>
      <c r="F85" s="2">
        <v>2771.22</v>
      </c>
    </row>
    <row r="86" spans="3:6" x14ac:dyDescent="0.25">
      <c r="C86" s="2" t="s">
        <v>10758</v>
      </c>
      <c r="D86" s="2" t="s">
        <v>178</v>
      </c>
      <c r="E86" s="2">
        <v>141</v>
      </c>
      <c r="F86" s="2">
        <v>2882.54</v>
      </c>
    </row>
    <row r="87" spans="3:6" x14ac:dyDescent="0.25">
      <c r="C87" s="2" t="s">
        <v>10759</v>
      </c>
      <c r="D87" s="2" t="s">
        <v>178</v>
      </c>
      <c r="E87" s="2">
        <v>141</v>
      </c>
      <c r="F87" s="2">
        <v>2886.53</v>
      </c>
    </row>
    <row r="88" spans="3:6" x14ac:dyDescent="0.25">
      <c r="C88" s="2" t="s">
        <v>10760</v>
      </c>
      <c r="D88" s="2" t="s">
        <v>178</v>
      </c>
      <c r="E88" s="2">
        <v>141</v>
      </c>
      <c r="F88" s="2">
        <v>2852.2</v>
      </c>
    </row>
    <row r="89" spans="3:6" x14ac:dyDescent="0.25">
      <c r="C89" s="2" t="s">
        <v>10761</v>
      </c>
      <c r="D89" s="2" t="s">
        <v>178</v>
      </c>
      <c r="E89" s="2">
        <v>141</v>
      </c>
      <c r="F89" s="2">
        <v>2881.16</v>
      </c>
    </row>
    <row r="90" spans="3:6" x14ac:dyDescent="0.25">
      <c r="C90" s="2" t="s">
        <v>10762</v>
      </c>
      <c r="D90" s="2" t="s">
        <v>178</v>
      </c>
      <c r="E90" s="2">
        <v>79</v>
      </c>
      <c r="F90" s="2">
        <v>1425.829</v>
      </c>
    </row>
    <row r="91" spans="3:6" x14ac:dyDescent="0.25">
      <c r="C91" s="2" t="s">
        <v>10763</v>
      </c>
      <c r="D91" s="2" t="s">
        <v>178</v>
      </c>
      <c r="E91" s="2">
        <v>141</v>
      </c>
      <c r="F91" s="2">
        <v>2908.3</v>
      </c>
    </row>
    <row r="92" spans="3:6" x14ac:dyDescent="0.25">
      <c r="C92" s="2" t="s">
        <v>10764</v>
      </c>
      <c r="D92" s="2" t="s">
        <v>178</v>
      </c>
      <c r="E92" s="2">
        <v>141</v>
      </c>
      <c r="F92" s="2">
        <v>2791.2</v>
      </c>
    </row>
    <row r="93" spans="3:6" x14ac:dyDescent="0.25">
      <c r="C93" s="2" t="s">
        <v>10765</v>
      </c>
      <c r="D93" s="2" t="s">
        <v>178</v>
      </c>
      <c r="E93" s="2">
        <v>282</v>
      </c>
      <c r="F93" s="2">
        <v>5668.03</v>
      </c>
    </row>
    <row r="94" spans="3:6" x14ac:dyDescent="0.25">
      <c r="C94" s="2" t="s">
        <v>10766</v>
      </c>
      <c r="D94" s="2" t="s">
        <v>178</v>
      </c>
      <c r="E94" s="2">
        <v>92</v>
      </c>
      <c r="F94" s="2">
        <v>1849.329</v>
      </c>
    </row>
    <row r="95" spans="3:6" x14ac:dyDescent="0.25">
      <c r="C95" s="2" t="s">
        <v>10767</v>
      </c>
      <c r="D95" s="2" t="s">
        <v>178</v>
      </c>
      <c r="E95" s="2">
        <v>141</v>
      </c>
      <c r="F95" s="2">
        <v>2881.65</v>
      </c>
    </row>
    <row r="96" spans="3:6" x14ac:dyDescent="0.25">
      <c r="C96" s="2" t="s">
        <v>10768</v>
      </c>
      <c r="D96" s="2" t="s">
        <v>178</v>
      </c>
      <c r="E96" s="2">
        <v>57</v>
      </c>
      <c r="F96" s="2">
        <v>1190.49</v>
      </c>
    </row>
    <row r="98" spans="1:7" x14ac:dyDescent="0.25">
      <c r="A98" s="1">
        <v>46115</v>
      </c>
      <c r="B98" s="2" t="s">
        <v>666</v>
      </c>
      <c r="C98" s="2" t="s">
        <v>10769</v>
      </c>
      <c r="D98" s="2" t="s">
        <v>59</v>
      </c>
      <c r="E98" s="2">
        <v>102</v>
      </c>
      <c r="F98" s="2">
        <v>1951.21</v>
      </c>
      <c r="G98" s="1">
        <v>46115</v>
      </c>
    </row>
    <row r="99" spans="3:6" x14ac:dyDescent="0.25">
      <c r="C99" s="2" t="s">
        <v>10770</v>
      </c>
      <c r="D99" s="2" t="s">
        <v>59</v>
      </c>
      <c r="E99" s="2">
        <v>149</v>
      </c>
      <c r="F99" s="2">
        <v>2637.139</v>
      </c>
    </row>
    <row r="100" spans="3:6" x14ac:dyDescent="0.25">
      <c r="C100" s="2" t="s">
        <v>10771</v>
      </c>
      <c r="D100" s="2" t="s">
        <v>59</v>
      </c>
      <c r="E100" s="2">
        <v>149</v>
      </c>
      <c r="F100" s="2">
        <v>2722.007</v>
      </c>
    </row>
    <row r="101" spans="3:6" x14ac:dyDescent="0.25">
      <c r="C101" s="2" t="s">
        <v>10772</v>
      </c>
      <c r="D101" s="2" t="s">
        <v>59</v>
      </c>
      <c r="E101" s="2">
        <v>149</v>
      </c>
      <c r="F101" s="2">
        <v>2655.108</v>
      </c>
    </row>
    <row r="102" spans="3:6" x14ac:dyDescent="0.25">
      <c r="C102" s="2" t="s">
        <v>10773</v>
      </c>
      <c r="D102" s="2" t="s">
        <v>59</v>
      </c>
      <c r="E102" s="2">
        <v>149</v>
      </c>
      <c r="F102" s="2">
        <v>2754.96</v>
      </c>
    </row>
    <row r="103" spans="3:6" x14ac:dyDescent="0.25">
      <c r="C103" s="2" t="s">
        <v>10774</v>
      </c>
      <c r="D103" s="2" t="s">
        <v>59</v>
      </c>
      <c r="E103" s="2">
        <v>102</v>
      </c>
      <c r="F103" s="2">
        <v>1781.389</v>
      </c>
    </row>
    <row r="104" spans="3:6" x14ac:dyDescent="0.25">
      <c r="C104" s="2" t="s">
        <v>10775</v>
      </c>
      <c r="D104" s="2" t="s">
        <v>59</v>
      </c>
      <c r="E104" s="2">
        <v>102</v>
      </c>
      <c r="F104" s="2">
        <v>1892.16</v>
      </c>
    </row>
    <row r="105" spans="3:6" x14ac:dyDescent="0.25">
      <c r="C105" s="2" t="s">
        <v>10776</v>
      </c>
      <c r="D105" s="2" t="s">
        <v>59</v>
      </c>
      <c r="E105" s="2">
        <v>149</v>
      </c>
      <c r="F105" s="2">
        <v>2628.97</v>
      </c>
    </row>
    <row r="106" spans="3:6" x14ac:dyDescent="0.25">
      <c r="C106" s="2" t="s">
        <v>10777</v>
      </c>
      <c r="D106" s="2" t="s">
        <v>59</v>
      </c>
      <c r="E106" s="2">
        <v>149</v>
      </c>
      <c r="F106" s="2">
        <v>2630.87</v>
      </c>
    </row>
    <row r="107" spans="3:6" x14ac:dyDescent="0.25">
      <c r="C107" s="2" t="s">
        <v>10778</v>
      </c>
      <c r="D107" s="2" t="s">
        <v>59</v>
      </c>
      <c r="E107" s="2">
        <v>149</v>
      </c>
      <c r="F107" s="2">
        <v>3569.93</v>
      </c>
    </row>
    <row r="108" spans="3:6" x14ac:dyDescent="0.25">
      <c r="C108" s="2" t="s">
        <v>10779</v>
      </c>
      <c r="D108" s="2" t="s">
        <v>59</v>
      </c>
      <c r="E108" s="2">
        <v>102</v>
      </c>
      <c r="F108" s="2">
        <v>2146.258</v>
      </c>
    </row>
    <row r="109" spans="3:6" x14ac:dyDescent="0.25">
      <c r="C109" s="2" t="s">
        <v>10780</v>
      </c>
      <c r="D109" s="2" t="s">
        <v>59</v>
      </c>
      <c r="E109" s="2">
        <v>102</v>
      </c>
      <c r="F109" s="2">
        <v>1996.24</v>
      </c>
    </row>
    <row r="110" spans="3:6" x14ac:dyDescent="0.25">
      <c r="C110" s="2" t="s">
        <v>10781</v>
      </c>
      <c r="D110" s="2" t="s">
        <v>59</v>
      </c>
      <c r="E110" s="2">
        <v>102</v>
      </c>
      <c r="F110" s="2">
        <v>1944.42</v>
      </c>
    </row>
    <row r="111" spans="3:6" x14ac:dyDescent="0.25">
      <c r="C111" s="2" t="s">
        <v>10782</v>
      </c>
      <c r="D111" s="2" t="s">
        <v>59</v>
      </c>
      <c r="E111" s="2">
        <v>149</v>
      </c>
      <c r="F111" s="2">
        <v>2740.208</v>
      </c>
    </row>
    <row r="112" spans="3:6" x14ac:dyDescent="0.25">
      <c r="C112" s="2" t="s">
        <v>10783</v>
      </c>
      <c r="D112" s="2" t="s">
        <v>59</v>
      </c>
      <c r="E112" s="2">
        <v>149</v>
      </c>
      <c r="F112" s="2">
        <v>2786.489</v>
      </c>
    </row>
    <row r="113" spans="3:6" x14ac:dyDescent="0.25">
      <c r="C113" s="2" t="s">
        <v>10784</v>
      </c>
      <c r="D113" s="2" t="s">
        <v>59</v>
      </c>
      <c r="E113" s="2">
        <v>102</v>
      </c>
      <c r="F113" s="2">
        <v>2374.99</v>
      </c>
    </row>
    <row r="114" spans="3:6" x14ac:dyDescent="0.25">
      <c r="C114" s="2" t="s">
        <v>10785</v>
      </c>
      <c r="D114" s="2" t="s">
        <v>59</v>
      </c>
      <c r="E114" s="2">
        <v>80</v>
      </c>
      <c r="F114" s="2">
        <v>1845.04</v>
      </c>
    </row>
    <row r="115" spans="3:6" x14ac:dyDescent="0.25">
      <c r="C115" s="2" t="s">
        <v>10786</v>
      </c>
      <c r="D115" s="2" t="s">
        <v>59</v>
      </c>
      <c r="E115" s="2">
        <v>80</v>
      </c>
      <c r="F115" s="2">
        <v>1246.628</v>
      </c>
    </row>
    <row r="116" spans="3:6" x14ac:dyDescent="0.25">
      <c r="C116" s="2" t="s">
        <v>10787</v>
      </c>
      <c r="D116" s="2" t="s">
        <v>59</v>
      </c>
      <c r="E116" s="2">
        <v>117</v>
      </c>
      <c r="F116" s="2">
        <v>2052.055</v>
      </c>
    </row>
    <row r="117" spans="3:6" x14ac:dyDescent="0.25">
      <c r="C117" s="2" t="s">
        <v>10788</v>
      </c>
      <c r="D117" s="2" t="s">
        <v>59</v>
      </c>
      <c r="E117" s="2">
        <v>105</v>
      </c>
      <c r="F117" s="2">
        <v>2452.396</v>
      </c>
    </row>
    <row r="118" spans="3:6" x14ac:dyDescent="0.25">
      <c r="C118" s="2" t="s">
        <v>10789</v>
      </c>
      <c r="D118" s="2" t="s">
        <v>59</v>
      </c>
      <c r="E118" s="2">
        <v>102</v>
      </c>
      <c r="F118" s="2">
        <v>1940.009</v>
      </c>
    </row>
    <row r="119" spans="3:6" x14ac:dyDescent="0.25">
      <c r="C119" s="2" t="s">
        <v>10790</v>
      </c>
      <c r="D119" s="2" t="s">
        <v>59</v>
      </c>
      <c r="E119" s="2">
        <v>149</v>
      </c>
      <c r="F119" s="2">
        <v>2688.88</v>
      </c>
    </row>
    <row r="120" spans="3:6" x14ac:dyDescent="0.25">
      <c r="C120" s="2" t="s">
        <v>10791</v>
      </c>
      <c r="D120" s="2" t="s">
        <v>59</v>
      </c>
      <c r="E120" s="2">
        <v>149</v>
      </c>
      <c r="F120" s="2">
        <v>2780.91</v>
      </c>
    </row>
    <row r="121" spans="3:6" x14ac:dyDescent="0.25">
      <c r="C121" s="2" t="s">
        <v>10792</v>
      </c>
      <c r="D121" s="2" t="s">
        <v>59</v>
      </c>
      <c r="E121" s="2">
        <v>149</v>
      </c>
      <c r="F121" s="2">
        <v>2822.108</v>
      </c>
    </row>
    <row r="122" spans="3:6" x14ac:dyDescent="0.25">
      <c r="C122" s="2" t="s">
        <v>10793</v>
      </c>
      <c r="D122" s="2" t="s">
        <v>59</v>
      </c>
      <c r="E122" s="2">
        <v>149</v>
      </c>
      <c r="F122" s="2">
        <v>2666.748</v>
      </c>
    </row>
    <row r="124" spans="1:7" x14ac:dyDescent="0.25">
      <c r="A124" s="1">
        <v>46116</v>
      </c>
      <c r="B124" s="2" t="s">
        <v>1009</v>
      </c>
      <c r="C124" s="2" t="s">
        <v>10794</v>
      </c>
      <c r="D124" s="2" t="s">
        <v>82</v>
      </c>
      <c r="E124" s="2">
        <v>121</v>
      </c>
      <c r="F124" s="2">
        <v>2450.4</v>
      </c>
      <c r="G124" s="1">
        <v>46117</v>
      </c>
    </row>
    <row r="125" spans="3:6" x14ac:dyDescent="0.25">
      <c r="C125" s="2" t="s">
        <v>10795</v>
      </c>
      <c r="D125" s="2" t="s">
        <v>82</v>
      </c>
      <c r="E125" s="2">
        <v>121</v>
      </c>
      <c r="F125" s="2">
        <v>2529.82</v>
      </c>
    </row>
    <row r="126" spans="3:6" x14ac:dyDescent="0.25">
      <c r="C126" s="2" t="s">
        <v>10796</v>
      </c>
      <c r="D126" s="2" t="s">
        <v>82</v>
      </c>
      <c r="E126" s="2">
        <v>141</v>
      </c>
      <c r="F126" s="2">
        <v>2885.6</v>
      </c>
    </row>
    <row r="127" spans="3:6" x14ac:dyDescent="0.25">
      <c r="C127" s="2" t="s">
        <v>10797</v>
      </c>
      <c r="D127" s="2" t="s">
        <v>82</v>
      </c>
      <c r="E127" s="2">
        <v>141</v>
      </c>
      <c r="F127" s="2">
        <v>2788.44</v>
      </c>
    </row>
    <row r="128" spans="3:6" x14ac:dyDescent="0.25">
      <c r="C128" s="2" t="s">
        <v>10798</v>
      </c>
      <c r="D128" s="2" t="s">
        <v>82</v>
      </c>
      <c r="E128" s="2">
        <v>141</v>
      </c>
      <c r="F128" s="2">
        <v>2795.57</v>
      </c>
    </row>
    <row r="129" spans="3:6" x14ac:dyDescent="0.25">
      <c r="C129" s="2" t="s">
        <v>10799</v>
      </c>
      <c r="D129" s="2" t="s">
        <v>82</v>
      </c>
      <c r="E129" s="2">
        <v>48</v>
      </c>
      <c r="F129" s="2">
        <v>970.68</v>
      </c>
    </row>
    <row r="130" spans="3:6" x14ac:dyDescent="0.25">
      <c r="C130" s="2" t="s">
        <v>10800</v>
      </c>
      <c r="D130" s="2" t="s">
        <v>82</v>
      </c>
      <c r="E130" s="2">
        <v>47</v>
      </c>
      <c r="F130" s="2">
        <v>927.94</v>
      </c>
    </row>
    <row r="131" spans="3:6" x14ac:dyDescent="0.25">
      <c r="C131" s="2" t="s">
        <v>10801</v>
      </c>
      <c r="D131" s="2" t="s">
        <v>82</v>
      </c>
      <c r="E131" s="2">
        <v>42</v>
      </c>
      <c r="F131" s="2">
        <v>873.93</v>
      </c>
    </row>
    <row r="132" spans="3:6" x14ac:dyDescent="0.25">
      <c r="C132" s="2" t="s">
        <v>10802</v>
      </c>
      <c r="D132" s="2" t="s">
        <v>82</v>
      </c>
      <c r="E132" s="2">
        <v>77</v>
      </c>
      <c r="F132" s="2">
        <v>1547.48</v>
      </c>
    </row>
    <row r="133" spans="3:6" x14ac:dyDescent="0.25">
      <c r="C133" s="2" t="s">
        <v>10803</v>
      </c>
      <c r="D133" s="2" t="s">
        <v>82</v>
      </c>
      <c r="E133" s="2">
        <v>34</v>
      </c>
      <c r="F133" s="2">
        <v>1256.46</v>
      </c>
    </row>
    <row r="134" spans="3:6" x14ac:dyDescent="0.25">
      <c r="C134" s="2" t="s">
        <v>10804</v>
      </c>
      <c r="D134" s="2" t="s">
        <v>82</v>
      </c>
      <c r="E134" s="2">
        <v>62</v>
      </c>
      <c r="F134" s="2">
        <v>1230.839</v>
      </c>
    </row>
    <row r="135" spans="3:6" x14ac:dyDescent="0.25">
      <c r="C135" s="2" t="s">
        <v>10805</v>
      </c>
      <c r="D135" s="2" t="s">
        <v>82</v>
      </c>
      <c r="E135" s="2">
        <v>64</v>
      </c>
      <c r="F135" s="2">
        <v>1235.16</v>
      </c>
    </row>
    <row r="136" spans="3:6" x14ac:dyDescent="0.25">
      <c r="C136" s="2" t="s">
        <v>10806</v>
      </c>
      <c r="D136" s="2" t="s">
        <v>82</v>
      </c>
      <c r="E136" s="2">
        <v>120</v>
      </c>
      <c r="F136" s="2">
        <v>2097.925</v>
      </c>
    </row>
    <row r="137" spans="3:6" x14ac:dyDescent="0.25">
      <c r="C137" s="2" t="s">
        <v>10807</v>
      </c>
      <c r="D137" s="2" t="s">
        <v>82</v>
      </c>
      <c r="E137" s="2">
        <v>158</v>
      </c>
      <c r="F137" s="2">
        <v>2457.36</v>
      </c>
    </row>
    <row r="138" spans="3:6" x14ac:dyDescent="0.25">
      <c r="C138" s="2" t="s">
        <v>10808</v>
      </c>
      <c r="D138" s="2" t="s">
        <v>82</v>
      </c>
      <c r="E138" s="2">
        <v>32</v>
      </c>
      <c r="F138" s="2">
        <v>646.16</v>
      </c>
    </row>
    <row r="139" spans="3:6" x14ac:dyDescent="0.25">
      <c r="C139" s="2" t="s">
        <v>10809</v>
      </c>
      <c r="D139" s="2" t="s">
        <v>82</v>
      </c>
      <c r="E139" s="2">
        <v>33</v>
      </c>
      <c r="F139" s="2">
        <v>639.47</v>
      </c>
    </row>
    <row r="140" spans="3:6" x14ac:dyDescent="0.25">
      <c r="C140" s="2" t="s">
        <v>10810</v>
      </c>
      <c r="D140" s="2" t="s">
        <v>82</v>
      </c>
      <c r="E140" s="2">
        <v>32</v>
      </c>
      <c r="F140" s="2">
        <v>633.43</v>
      </c>
    </row>
    <row r="141" spans="3:6" x14ac:dyDescent="0.25">
      <c r="C141" s="2" t="s">
        <v>10811</v>
      </c>
      <c r="D141" s="2" t="s">
        <v>82</v>
      </c>
      <c r="E141" s="2">
        <v>100</v>
      </c>
      <c r="F141" s="2">
        <v>2013.479</v>
      </c>
    </row>
    <row r="142" spans="3:6" x14ac:dyDescent="0.25">
      <c r="C142" s="2" t="s">
        <v>10812</v>
      </c>
      <c r="D142" s="2" t="s">
        <v>82</v>
      </c>
      <c r="E142" s="2">
        <v>100</v>
      </c>
      <c r="F142" s="2">
        <v>2065.72</v>
      </c>
    </row>
    <row r="143" spans="3:6" x14ac:dyDescent="0.25">
      <c r="C143" s="2" t="s">
        <v>10813</v>
      </c>
      <c r="D143" s="2" t="s">
        <v>82</v>
      </c>
      <c r="E143" s="2">
        <v>100</v>
      </c>
      <c r="F143" s="2">
        <v>1960.44</v>
      </c>
    </row>
    <row r="144" spans="3:6" x14ac:dyDescent="0.25">
      <c r="C144" s="2" t="s">
        <v>10814</v>
      </c>
      <c r="D144" s="2" t="s">
        <v>82</v>
      </c>
      <c r="E144" s="2">
        <v>100</v>
      </c>
      <c r="F144" s="2">
        <v>2012.259</v>
      </c>
    </row>
    <row r="145" spans="3:6" x14ac:dyDescent="0.25">
      <c r="C145" s="2" t="s">
        <v>10815</v>
      </c>
      <c r="D145" s="2" t="s">
        <v>82</v>
      </c>
      <c r="E145" s="2">
        <v>100</v>
      </c>
      <c r="F145" s="2">
        <v>2059.13</v>
      </c>
    </row>
    <row r="147" spans="1:7" x14ac:dyDescent="0.25">
      <c r="A147" s="1">
        <v>46116</v>
      </c>
      <c r="B147" s="2" t="s">
        <v>1012</v>
      </c>
      <c r="C147" s="2" t="s">
        <v>10816</v>
      </c>
      <c r="D147" s="2" t="s">
        <v>73</v>
      </c>
      <c r="E147" s="2">
        <v>109</v>
      </c>
      <c r="F147" s="2">
        <v>2290.759</v>
      </c>
      <c r="G147" s="1">
        <v>46115</v>
      </c>
    </row>
    <row r="148" spans="3:6" x14ac:dyDescent="0.25">
      <c r="C148" s="2" t="s">
        <v>10817</v>
      </c>
      <c r="D148" s="2" t="s">
        <v>73</v>
      </c>
      <c r="E148" s="2">
        <v>98</v>
      </c>
      <c r="F148" s="2">
        <v>1942.26</v>
      </c>
    </row>
    <row r="149" spans="3:6" x14ac:dyDescent="0.25">
      <c r="C149" s="2" t="s">
        <v>10818</v>
      </c>
      <c r="D149" s="2" t="s">
        <v>73</v>
      </c>
      <c r="E149" s="2">
        <v>33</v>
      </c>
      <c r="F149" s="2">
        <v>570.46</v>
      </c>
    </row>
    <row r="150" spans="3:6" x14ac:dyDescent="0.25">
      <c r="C150" s="2" t="s">
        <v>10819</v>
      </c>
      <c r="D150" s="2" t="s">
        <v>73</v>
      </c>
      <c r="E150" s="2">
        <v>51</v>
      </c>
      <c r="F150" s="2">
        <v>912.89</v>
      </c>
    </row>
    <row r="151" spans="3:6" x14ac:dyDescent="0.25">
      <c r="C151" s="2" t="s">
        <v>10820</v>
      </c>
      <c r="D151" s="2" t="s">
        <v>73</v>
      </c>
      <c r="E151" s="2">
        <v>68</v>
      </c>
      <c r="F151" s="2">
        <v>1170.879</v>
      </c>
    </row>
    <row r="152" spans="3:6" x14ac:dyDescent="0.25">
      <c r="C152" s="2" t="s">
        <v>10821</v>
      </c>
      <c r="D152" s="2" t="s">
        <v>73</v>
      </c>
      <c r="E152" s="2">
        <v>40</v>
      </c>
      <c r="F152" s="2">
        <v>828.76</v>
      </c>
    </row>
    <row r="154" spans="1:7" x14ac:dyDescent="0.25">
      <c r="A154" s="1">
        <v>46116</v>
      </c>
      <c r="B154" s="2" t="s">
        <v>7</v>
      </c>
      <c r="C154" s="2" t="s">
        <v>10822</v>
      </c>
      <c r="D154" s="2" t="s">
        <v>9</v>
      </c>
      <c r="E154" s="2">
        <v>99</v>
      </c>
      <c r="F154" s="2">
        <v>1998.81</v>
      </c>
      <c r="G154" s="1">
        <v>46117</v>
      </c>
    </row>
    <row r="155" spans="3:6" x14ac:dyDescent="0.25">
      <c r="C155" s="2" t="s">
        <v>10823</v>
      </c>
      <c r="D155" s="2" t="s">
        <v>9</v>
      </c>
      <c r="E155" s="2">
        <v>99</v>
      </c>
      <c r="F155" s="2">
        <v>1822.238</v>
      </c>
    </row>
    <row r="160" spans="1:7" x14ac:dyDescent="0.25">
      <c r="A160" s="1">
        <v>46116</v>
      </c>
      <c r="B160" s="2" t="s">
        <v>10824</v>
      </c>
      <c r="C160" s="2" t="s">
        <v>10825</v>
      </c>
      <c r="D160" s="2" t="s">
        <v>292</v>
      </c>
      <c r="E160" s="2">
        <v>141</v>
      </c>
      <c r="F160" s="2">
        <v>1551.223</v>
      </c>
      <c r="G160" s="1">
        <v>46115</v>
      </c>
    </row>
    <row r="161" spans="3:6" x14ac:dyDescent="0.25">
      <c r="C161" s="2" t="s">
        <v>10826</v>
      </c>
      <c r="D161" s="2" t="s">
        <v>292</v>
      </c>
      <c r="E161" s="2">
        <v>141</v>
      </c>
      <c r="F161" s="2">
        <v>2873.24</v>
      </c>
    </row>
    <row r="162" spans="3:6" x14ac:dyDescent="0.25">
      <c r="C162" s="2" t="s">
        <v>10827</v>
      </c>
      <c r="D162" s="2" t="s">
        <v>292</v>
      </c>
      <c r="E162" s="2">
        <v>117</v>
      </c>
      <c r="F162" s="2">
        <v>2732.28</v>
      </c>
    </row>
    <row r="163" spans="3:6" x14ac:dyDescent="0.25">
      <c r="C163" s="2" t="s">
        <v>10828</v>
      </c>
      <c r="D163" s="2" t="s">
        <v>292</v>
      </c>
      <c r="E163" s="2">
        <v>100</v>
      </c>
      <c r="F163" s="2">
        <v>1998.53</v>
      </c>
    </row>
    <row r="164" spans="3:6" x14ac:dyDescent="0.25">
      <c r="C164" s="2" t="s">
        <v>10829</v>
      </c>
      <c r="D164" s="2" t="s">
        <v>292</v>
      </c>
      <c r="E164" s="2">
        <v>75</v>
      </c>
      <c r="F164" s="2">
        <v>383.08</v>
      </c>
    </row>
    <row r="165" spans="3:6" x14ac:dyDescent="0.25">
      <c r="C165" s="2" t="s">
        <v>10830</v>
      </c>
      <c r="D165" s="2" t="s">
        <v>292</v>
      </c>
      <c r="E165" s="2">
        <v>30</v>
      </c>
      <c r="F165" s="2">
        <v>667.07</v>
      </c>
    </row>
    <row r="166" spans="3:6" x14ac:dyDescent="0.25">
      <c r="C166" s="2" t="s">
        <v>10831</v>
      </c>
      <c r="D166" s="2" t="s">
        <v>292</v>
      </c>
      <c r="E166" s="2">
        <v>59</v>
      </c>
      <c r="F166" s="2">
        <v>1295.8</v>
      </c>
    </row>
    <row r="167" spans="3:6" x14ac:dyDescent="0.25">
      <c r="C167" s="2" t="s">
        <v>10832</v>
      </c>
      <c r="D167" s="2" t="s">
        <v>292</v>
      </c>
      <c r="E167" s="2">
        <v>21</v>
      </c>
      <c r="F167" s="2">
        <v>373.579</v>
      </c>
    </row>
    <row r="168" spans="3:6" x14ac:dyDescent="0.25">
      <c r="C168" s="2" t="s">
        <v>10833</v>
      </c>
      <c r="D168" s="2" t="s">
        <v>292</v>
      </c>
      <c r="E168" s="2">
        <v>13</v>
      </c>
      <c r="F168" s="2">
        <v>202.689</v>
      </c>
    </row>
    <row r="169" spans="3:6" x14ac:dyDescent="0.25">
      <c r="C169" s="2" t="s">
        <v>10834</v>
      </c>
      <c r="D169" s="2" t="s">
        <v>292</v>
      </c>
      <c r="E169" s="2">
        <v>6</v>
      </c>
      <c r="F169" s="2">
        <v>161.52</v>
      </c>
    </row>
    <row r="170" spans="3:6" x14ac:dyDescent="0.25">
      <c r="C170" s="2" t="s">
        <v>10835</v>
      </c>
      <c r="D170" s="2" t="s">
        <v>292</v>
      </c>
      <c r="E170" s="2">
        <v>76</v>
      </c>
      <c r="F170" s="2">
        <v>1554.829</v>
      </c>
    </row>
    <row r="171" spans="3:6" x14ac:dyDescent="0.25">
      <c r="C171" s="2" t="s">
        <v>10836</v>
      </c>
      <c r="D171" s="2" t="s">
        <v>292</v>
      </c>
      <c r="E171" s="2">
        <v>52</v>
      </c>
      <c r="F171" s="2">
        <v>1047.83</v>
      </c>
    </row>
    <row r="172" spans="3:6" x14ac:dyDescent="0.25">
      <c r="C172" s="2" t="s">
        <v>10837</v>
      </c>
      <c r="D172" s="2" t="s">
        <v>292</v>
      </c>
      <c r="E172" s="2">
        <v>20</v>
      </c>
      <c r="F172" s="2">
        <v>107</v>
      </c>
    </row>
    <row r="173" spans="3:6" x14ac:dyDescent="0.25">
      <c r="C173" s="2" t="s">
        <v>10838</v>
      </c>
      <c r="D173" s="2" t="s">
        <v>292</v>
      </c>
      <c r="E173" s="2">
        <v>141</v>
      </c>
      <c r="F173" s="2">
        <v>2782.88</v>
      </c>
    </row>
    <row r="174" spans="3:6" x14ac:dyDescent="0.25">
      <c r="C174" s="2" t="s">
        <v>10839</v>
      </c>
      <c r="D174" s="2" t="s">
        <v>292</v>
      </c>
      <c r="E174" s="2">
        <v>97</v>
      </c>
      <c r="F174" s="2">
        <v>1800.604</v>
      </c>
    </row>
    <row r="175" spans="3:6" x14ac:dyDescent="0.25">
      <c r="C175" s="2" t="s">
        <v>10840</v>
      </c>
      <c r="D175" s="2" t="s">
        <v>292</v>
      </c>
      <c r="E175" s="2">
        <v>123</v>
      </c>
      <c r="F175" s="2">
        <v>2652.989</v>
      </c>
    </row>
    <row r="176" spans="3:6" x14ac:dyDescent="0.25">
      <c r="C176" s="2" t="s">
        <v>10841</v>
      </c>
      <c r="D176" s="2" t="s">
        <v>292</v>
      </c>
      <c r="E176" s="2">
        <v>141</v>
      </c>
      <c r="F176" s="2">
        <v>2955.6</v>
      </c>
    </row>
    <row r="177" spans="3:6" x14ac:dyDescent="0.25">
      <c r="C177" s="2" t="s">
        <v>10842</v>
      </c>
      <c r="D177" s="2" t="s">
        <v>292</v>
      </c>
      <c r="E177" s="2">
        <v>26</v>
      </c>
      <c r="F177" s="2">
        <v>559.92</v>
      </c>
    </row>
    <row r="178" spans="3:6" x14ac:dyDescent="0.25">
      <c r="C178" s="2" t="s">
        <v>10843</v>
      </c>
      <c r="D178" s="2" t="s">
        <v>292</v>
      </c>
      <c r="E178" s="2">
        <v>75</v>
      </c>
      <c r="F178" s="2">
        <v>400.23</v>
      </c>
    </row>
    <row r="179" spans="3:6" x14ac:dyDescent="0.25">
      <c r="C179" s="2" t="s">
        <v>10844</v>
      </c>
      <c r="D179" s="2" t="s">
        <v>292</v>
      </c>
      <c r="E179" s="2">
        <v>10</v>
      </c>
      <c r="F179" s="2">
        <v>197.86</v>
      </c>
    </row>
    <row r="180" spans="3:6" x14ac:dyDescent="0.25">
      <c r="C180" s="2" t="s">
        <v>10845</v>
      </c>
      <c r="D180" s="2" t="s">
        <v>292</v>
      </c>
      <c r="E180" s="2">
        <v>65</v>
      </c>
      <c r="F180" s="2">
        <v>1298.04</v>
      </c>
    </row>
    <row r="181" spans="3:6" x14ac:dyDescent="0.25">
      <c r="C181" s="2" t="s">
        <v>10846</v>
      </c>
      <c r="D181" s="2" t="s">
        <v>292</v>
      </c>
      <c r="E181" s="2">
        <v>94</v>
      </c>
      <c r="F181" s="2">
        <v>1836.468</v>
      </c>
    </row>
    <row r="182" spans="3:6" x14ac:dyDescent="0.25">
      <c r="C182" s="2" t="s">
        <v>10847</v>
      </c>
      <c r="D182" s="2" t="s">
        <v>292</v>
      </c>
      <c r="E182" s="2">
        <v>134</v>
      </c>
      <c r="F182" s="2">
        <v>2691.95</v>
      </c>
    </row>
    <row r="183" spans="3:6" x14ac:dyDescent="0.25">
      <c r="C183" s="2" t="s">
        <v>10848</v>
      </c>
      <c r="D183" s="2" t="s">
        <v>292</v>
      </c>
      <c r="E183" s="2">
        <v>69</v>
      </c>
      <c r="F183" s="2">
        <v>1335.639</v>
      </c>
    </row>
    <row r="184" spans="3:6" x14ac:dyDescent="0.25">
      <c r="C184" s="2" t="s">
        <v>10849</v>
      </c>
      <c r="D184" s="2" t="s">
        <v>292</v>
      </c>
      <c r="E184" s="2">
        <v>80</v>
      </c>
      <c r="F184" s="2">
        <v>1312.248</v>
      </c>
    </row>
    <row r="185" spans="3:6" x14ac:dyDescent="0.25">
      <c r="C185" s="2" t="s">
        <v>10850</v>
      </c>
      <c r="D185" s="2" t="s">
        <v>292</v>
      </c>
      <c r="E185" s="2">
        <v>123</v>
      </c>
      <c r="F185" s="2">
        <v>2405.68</v>
      </c>
    </row>
    <row r="186" spans="3:6" x14ac:dyDescent="0.25">
      <c r="C186" s="2" t="s">
        <v>10851</v>
      </c>
      <c r="D186" s="2" t="s">
        <v>292</v>
      </c>
      <c r="E186" s="2">
        <v>8</v>
      </c>
      <c r="F186" s="2">
        <v>102.94</v>
      </c>
    </row>
    <row r="187" spans="3:6" x14ac:dyDescent="0.25">
      <c r="C187" s="2" t="s">
        <v>10852</v>
      </c>
      <c r="D187" s="2" t="s">
        <v>292</v>
      </c>
      <c r="E187" s="2">
        <v>24</v>
      </c>
      <c r="F187" s="2">
        <v>515.69</v>
      </c>
    </row>
    <row r="188" spans="3:6" x14ac:dyDescent="0.25">
      <c r="C188" s="2" t="s">
        <v>10853</v>
      </c>
      <c r="D188" s="2" t="s">
        <v>292</v>
      </c>
      <c r="E188" s="2">
        <v>20</v>
      </c>
      <c r="F188" s="2">
        <v>400.71</v>
      </c>
    </row>
    <row r="189" spans="3:6" x14ac:dyDescent="0.25">
      <c r="C189" s="2" t="s">
        <v>10854</v>
      </c>
      <c r="D189" s="2" t="s">
        <v>292</v>
      </c>
      <c r="E189" s="2">
        <v>100</v>
      </c>
      <c r="F189" s="2">
        <v>2023.13</v>
      </c>
    </row>
    <row r="190" spans="3:6" x14ac:dyDescent="0.25">
      <c r="C190" s="2" t="s">
        <v>10855</v>
      </c>
      <c r="D190" s="2" t="s">
        <v>292</v>
      </c>
      <c r="E190" s="2">
        <v>100</v>
      </c>
      <c r="F190" s="2">
        <v>2023.26</v>
      </c>
    </row>
    <row r="191" spans="3:6" x14ac:dyDescent="0.25">
      <c r="C191" s="2" t="s">
        <v>10856</v>
      </c>
      <c r="D191" s="2" t="s">
        <v>292</v>
      </c>
      <c r="E191" s="2">
        <v>141</v>
      </c>
      <c r="F191" s="2">
        <v>2988.35</v>
      </c>
    </row>
    <row r="192" spans="3:6" x14ac:dyDescent="0.25">
      <c r="C192" s="2" t="s">
        <v>10857</v>
      </c>
      <c r="D192" s="2" t="s">
        <v>292</v>
      </c>
      <c r="E192" s="2">
        <v>141</v>
      </c>
      <c r="F192" s="2">
        <v>2762.98</v>
      </c>
    </row>
    <row r="193" spans="3:6" x14ac:dyDescent="0.25">
      <c r="C193" s="2" t="s">
        <v>10858</v>
      </c>
      <c r="D193" s="2" t="s">
        <v>292</v>
      </c>
      <c r="E193" s="2">
        <v>55</v>
      </c>
      <c r="F193" s="2">
        <v>1021.189</v>
      </c>
    </row>
    <row r="194" spans="3:6" x14ac:dyDescent="0.25">
      <c r="C194" s="2" t="s">
        <v>10859</v>
      </c>
      <c r="D194" s="2" t="s">
        <v>292</v>
      </c>
      <c r="E194" s="2">
        <v>141</v>
      </c>
      <c r="F194" s="2">
        <v>2901.408</v>
      </c>
    </row>
    <row r="195" spans="3:6" x14ac:dyDescent="0.25">
      <c r="C195" s="2" t="s">
        <v>10860</v>
      </c>
      <c r="D195" s="2" t="s">
        <v>292</v>
      </c>
      <c r="E195" s="2">
        <v>102</v>
      </c>
      <c r="F195" s="2">
        <v>2267.73</v>
      </c>
    </row>
    <row r="196" spans="3:6" x14ac:dyDescent="0.25">
      <c r="C196" s="2" t="s">
        <v>10861</v>
      </c>
      <c r="D196" s="2" t="s">
        <v>292</v>
      </c>
      <c r="E196" s="2">
        <v>47</v>
      </c>
      <c r="F196" s="2">
        <v>920.53</v>
      </c>
    </row>
    <row r="197" spans="3:6" x14ac:dyDescent="0.25">
      <c r="C197" s="2" t="s">
        <v>10862</v>
      </c>
      <c r="D197" s="2" t="s">
        <v>292</v>
      </c>
      <c r="E197" s="2">
        <v>86</v>
      </c>
      <c r="F197" s="2">
        <v>1701.12</v>
      </c>
    </row>
    <row r="198" spans="3:6" x14ac:dyDescent="0.25">
      <c r="C198" s="2" t="s">
        <v>10863</v>
      </c>
      <c r="D198" s="2" t="s">
        <v>292</v>
      </c>
      <c r="E198" s="2">
        <v>31</v>
      </c>
      <c r="F198" s="2">
        <v>632.49</v>
      </c>
    </row>
    <row r="199" spans="3:6" x14ac:dyDescent="0.25">
      <c r="C199" s="2" t="s">
        <v>10864</v>
      </c>
      <c r="D199" s="2" t="s">
        <v>292</v>
      </c>
      <c r="E199" s="2">
        <v>29</v>
      </c>
      <c r="F199" s="2">
        <v>624.82</v>
      </c>
    </row>
    <row r="200" spans="3:6" x14ac:dyDescent="0.25">
      <c r="C200" s="2" t="s">
        <v>10865</v>
      </c>
      <c r="D200" s="2" t="s">
        <v>292</v>
      </c>
      <c r="E200" s="2">
        <v>11</v>
      </c>
      <c r="F200" s="2">
        <v>165.14</v>
      </c>
    </row>
    <row r="201" spans="3:6" x14ac:dyDescent="0.25">
      <c r="C201" s="2" t="s">
        <v>10866</v>
      </c>
      <c r="D201" s="2" t="s">
        <v>292</v>
      </c>
      <c r="E201" s="2">
        <v>63</v>
      </c>
      <c r="F201" s="2">
        <v>1318.01</v>
      </c>
    </row>
    <row r="202" spans="3:6" x14ac:dyDescent="0.25">
      <c r="C202" s="2" t="s">
        <v>10867</v>
      </c>
      <c r="D202" s="2" t="s">
        <v>292</v>
      </c>
      <c r="E202" s="2">
        <v>30</v>
      </c>
      <c r="F202" s="2">
        <v>158.88</v>
      </c>
    </row>
    <row r="203" spans="3:6" x14ac:dyDescent="0.25">
      <c r="C203" s="2" t="s">
        <v>10868</v>
      </c>
      <c r="D203" s="2" t="s">
        <v>292</v>
      </c>
      <c r="E203" s="2">
        <v>55</v>
      </c>
      <c r="F203" s="2">
        <v>745.512</v>
      </c>
    </row>
    <row r="204" spans="3:6" x14ac:dyDescent="0.25">
      <c r="C204" s="2" t="s">
        <v>10869</v>
      </c>
      <c r="D204" s="2" t="s">
        <v>292</v>
      </c>
      <c r="E204" s="2">
        <v>34</v>
      </c>
      <c r="F204" s="2">
        <v>661.57</v>
      </c>
    </row>
    <row r="205" spans="3:6" x14ac:dyDescent="0.25">
      <c r="C205" s="2" t="s">
        <v>10870</v>
      </c>
      <c r="D205" s="2" t="s">
        <v>292</v>
      </c>
      <c r="E205" s="2">
        <v>109</v>
      </c>
      <c r="F205" s="2">
        <v>2164.99</v>
      </c>
    </row>
    <row r="206" spans="3:6" x14ac:dyDescent="0.25">
      <c r="C206" s="2" t="s">
        <v>10871</v>
      </c>
      <c r="D206" s="2" t="s">
        <v>292</v>
      </c>
      <c r="E206" s="2">
        <v>80</v>
      </c>
      <c r="F206" s="2">
        <v>1576.49</v>
      </c>
    </row>
    <row r="207" spans="3:6" x14ac:dyDescent="0.25">
      <c r="C207" s="2" t="s">
        <v>10872</v>
      </c>
      <c r="D207" s="2" t="s">
        <v>292</v>
      </c>
      <c r="E207" s="2">
        <v>32</v>
      </c>
      <c r="F207" s="2">
        <v>662.74</v>
      </c>
    </row>
    <row r="208" spans="3:6" x14ac:dyDescent="0.25">
      <c r="C208" s="2" t="s">
        <v>10873</v>
      </c>
      <c r="D208" s="2" t="s">
        <v>292</v>
      </c>
      <c r="E208" s="2">
        <v>61</v>
      </c>
      <c r="F208" s="2">
        <v>1356.56</v>
      </c>
    </row>
    <row r="209" spans="3:6" x14ac:dyDescent="0.25">
      <c r="C209" s="2" t="s">
        <v>10874</v>
      </c>
      <c r="D209" s="2" t="s">
        <v>292</v>
      </c>
      <c r="E209" s="2">
        <v>141</v>
      </c>
      <c r="F209" s="2">
        <v>2925.88</v>
      </c>
    </row>
    <row r="210" spans="3:6" x14ac:dyDescent="0.25">
      <c r="C210" s="2" t="s">
        <v>10875</v>
      </c>
      <c r="D210" s="2" t="s">
        <v>292</v>
      </c>
      <c r="E210" s="2">
        <v>46</v>
      </c>
      <c r="F210" s="2">
        <v>914.309</v>
      </c>
    </row>
    <row r="211" spans="3:6" x14ac:dyDescent="0.25">
      <c r="C211" s="2" t="s">
        <v>10876</v>
      </c>
      <c r="D211" s="2" t="s">
        <v>292</v>
      </c>
      <c r="E211" s="2">
        <v>54</v>
      </c>
      <c r="F211" s="2">
        <v>1044.72</v>
      </c>
    </row>
    <row r="212" spans="3:6" x14ac:dyDescent="0.25">
      <c r="C212" s="2" t="s">
        <v>10877</v>
      </c>
      <c r="D212" s="2" t="s">
        <v>292</v>
      </c>
      <c r="E212" s="2">
        <v>34</v>
      </c>
      <c r="F212" s="2">
        <v>723.18</v>
      </c>
    </row>
    <row r="213" spans="3:6" x14ac:dyDescent="0.25">
      <c r="C213" s="2" t="s">
        <v>10878</v>
      </c>
      <c r="D213" s="2" t="s">
        <v>292</v>
      </c>
      <c r="E213" s="2">
        <v>41</v>
      </c>
      <c r="F213" s="2">
        <v>794.49</v>
      </c>
    </row>
    <row r="214" spans="3:6" x14ac:dyDescent="0.25">
      <c r="C214" s="2" t="s">
        <v>10879</v>
      </c>
      <c r="D214" s="2" t="s">
        <v>292</v>
      </c>
      <c r="E214" s="2">
        <v>72</v>
      </c>
      <c r="F214" s="2">
        <v>1552.81</v>
      </c>
    </row>
    <row r="215" spans="3:6" x14ac:dyDescent="0.25">
      <c r="C215" s="2" t="s">
        <v>10880</v>
      </c>
      <c r="D215" s="2" t="s">
        <v>292</v>
      </c>
      <c r="E215" s="2">
        <v>35</v>
      </c>
      <c r="F215" s="2">
        <v>566.119</v>
      </c>
    </row>
    <row r="216" spans="3:6" x14ac:dyDescent="0.25">
      <c r="C216" s="2" t="s">
        <v>10881</v>
      </c>
      <c r="D216" s="2" t="s">
        <v>292</v>
      </c>
      <c r="E216" s="2">
        <v>20</v>
      </c>
      <c r="F216" s="2">
        <v>366.72</v>
      </c>
    </row>
    <row r="217" spans="3:6" x14ac:dyDescent="0.25">
      <c r="C217" s="2" t="s">
        <v>10882</v>
      </c>
      <c r="D217" s="2" t="s">
        <v>292</v>
      </c>
      <c r="E217" s="2">
        <v>70</v>
      </c>
      <c r="F217" s="2">
        <v>1399.059</v>
      </c>
    </row>
    <row r="218" spans="3:6" x14ac:dyDescent="0.25">
      <c r="C218" s="2" t="s">
        <v>10883</v>
      </c>
      <c r="D218" s="2" t="s">
        <v>292</v>
      </c>
      <c r="E218" s="2">
        <v>111</v>
      </c>
      <c r="F218" s="2">
        <v>2406.23</v>
      </c>
    </row>
    <row r="219" spans="3:6" x14ac:dyDescent="0.25">
      <c r="C219" s="2" t="s">
        <v>10884</v>
      </c>
      <c r="D219" s="2" t="s">
        <v>292</v>
      </c>
      <c r="E219" s="2">
        <v>80</v>
      </c>
      <c r="F219" s="2">
        <v>1671.829</v>
      </c>
    </row>
    <row r="220" spans="3:6" x14ac:dyDescent="0.25">
      <c r="C220" s="2" t="s">
        <v>10885</v>
      </c>
      <c r="D220" s="2" t="s">
        <v>292</v>
      </c>
      <c r="E220" s="2">
        <v>15</v>
      </c>
      <c r="F220" s="2">
        <v>362.63</v>
      </c>
    </row>
    <row r="221" spans="3:6" x14ac:dyDescent="0.25">
      <c r="C221" s="2" t="s">
        <v>10886</v>
      </c>
      <c r="D221" s="2" t="s">
        <v>292</v>
      </c>
      <c r="E221" s="2">
        <v>141</v>
      </c>
      <c r="F221" s="2">
        <v>2854.57</v>
      </c>
    </row>
    <row r="222" spans="3:6" x14ac:dyDescent="0.25">
      <c r="C222" s="2" t="s">
        <v>10887</v>
      </c>
      <c r="D222" s="2" t="s">
        <v>292</v>
      </c>
      <c r="E222" s="2">
        <v>141</v>
      </c>
      <c r="F222" s="2">
        <v>2881.15</v>
      </c>
    </row>
    <row r="223" spans="3:6" x14ac:dyDescent="0.25">
      <c r="C223" s="2" t="s">
        <v>10888</v>
      </c>
      <c r="D223" s="2" t="s">
        <v>292</v>
      </c>
      <c r="E223" s="2">
        <v>141</v>
      </c>
      <c r="F223" s="2">
        <v>2912.09</v>
      </c>
    </row>
    <row r="225" spans="1:7" x14ac:dyDescent="0.25">
      <c r="A225" s="1">
        <v>46116</v>
      </c>
      <c r="B225" s="2" t="s">
        <v>10889</v>
      </c>
      <c r="C225" s="2" t="s">
        <v>10890</v>
      </c>
      <c r="D225" s="2" t="s">
        <v>82</v>
      </c>
      <c r="E225" s="2">
        <v>89</v>
      </c>
      <c r="F225" s="2">
        <v>2217.365</v>
      </c>
      <c r="G225" s="1">
        <v>46115</v>
      </c>
    </row>
    <row r="226" spans="3:6" x14ac:dyDescent="0.25">
      <c r="C226" s="2" t="s">
        <v>10891</v>
      </c>
      <c r="D226" s="2" t="s">
        <v>82</v>
      </c>
      <c r="E226" s="2">
        <v>104</v>
      </c>
      <c r="F226" s="2">
        <v>1321.201</v>
      </c>
    </row>
    <row r="227" spans="3:6" x14ac:dyDescent="0.25">
      <c r="C227" s="2" t="s">
        <v>10892</v>
      </c>
      <c r="D227" s="2" t="s">
        <v>82</v>
      </c>
      <c r="E227" s="2">
        <v>143</v>
      </c>
      <c r="F227" s="2">
        <v>276.616</v>
      </c>
    </row>
    <row r="228" spans="3:6" x14ac:dyDescent="0.25">
      <c r="C228" s="2" t="s">
        <v>10893</v>
      </c>
      <c r="D228" s="2" t="s">
        <v>82</v>
      </c>
      <c r="E228" s="2">
        <v>143</v>
      </c>
      <c r="F228" s="2">
        <v>768.823</v>
      </c>
    </row>
    <row r="229" spans="3:6" x14ac:dyDescent="0.25">
      <c r="C229" s="2" t="s">
        <v>10894</v>
      </c>
      <c r="D229" s="2" t="s">
        <v>82</v>
      </c>
      <c r="E229" s="2">
        <v>144</v>
      </c>
      <c r="F229" s="2">
        <v>2145.741</v>
      </c>
    </row>
    <row r="230" spans="3:6" x14ac:dyDescent="0.25">
      <c r="C230" s="2" t="s">
        <v>10895</v>
      </c>
      <c r="D230" s="2" t="s">
        <v>82</v>
      </c>
      <c r="E230" s="2">
        <v>141</v>
      </c>
      <c r="F230" s="2">
        <v>2972.54</v>
      </c>
    </row>
    <row r="231" spans="3:6" x14ac:dyDescent="0.25">
      <c r="C231" s="2" t="s">
        <v>10896</v>
      </c>
      <c r="D231" s="2" t="s">
        <v>82</v>
      </c>
      <c r="E231" s="2">
        <v>141</v>
      </c>
      <c r="F231" s="2">
        <v>2783.81</v>
      </c>
    </row>
    <row r="232" spans="3:6" x14ac:dyDescent="0.25">
      <c r="C232" s="2" t="s">
        <v>10897</v>
      </c>
      <c r="D232" s="2" t="s">
        <v>82</v>
      </c>
      <c r="E232" s="2">
        <v>141</v>
      </c>
      <c r="F232" s="2">
        <v>2814.619</v>
      </c>
    </row>
    <row r="233" spans="3:6" x14ac:dyDescent="0.25">
      <c r="C233" s="2" t="s">
        <v>10898</v>
      </c>
      <c r="D233" s="2" t="s">
        <v>82</v>
      </c>
      <c r="E233" s="2">
        <v>141</v>
      </c>
      <c r="F233" s="2">
        <v>2819.23</v>
      </c>
    </row>
    <row r="234" spans="3:6" x14ac:dyDescent="0.25">
      <c r="C234" s="2" t="s">
        <v>10899</v>
      </c>
      <c r="D234" s="2" t="s">
        <v>82</v>
      </c>
      <c r="E234" s="2">
        <v>142</v>
      </c>
      <c r="F234" s="2">
        <f>2734.85+118.26</f>
        <v>2853.11</v>
      </c>
    </row>
    <row r="235" spans="3:6" x14ac:dyDescent="0.25">
      <c r="C235" s="2" t="s">
        <v>10900</v>
      </c>
      <c r="D235" s="2" t="s">
        <v>82</v>
      </c>
      <c r="E235" s="2">
        <v>50</v>
      </c>
      <c r="F235" s="2">
        <f>596.45+412.319</f>
        <v>1008.769</v>
      </c>
    </row>
    <row r="236" spans="3:6" x14ac:dyDescent="0.25">
      <c r="C236" s="2" t="s">
        <v>10901</v>
      </c>
      <c r="D236" s="2" t="s">
        <v>82</v>
      </c>
      <c r="E236" s="2">
        <v>23</v>
      </c>
      <c r="F236" s="2">
        <v>304.85</v>
      </c>
    </row>
    <row r="237" spans="3:6" x14ac:dyDescent="0.25">
      <c r="C237" s="2" t="s">
        <v>10902</v>
      </c>
      <c r="D237" s="2" t="s">
        <v>82</v>
      </c>
      <c r="E237" s="2">
        <v>18</v>
      </c>
      <c r="F237" s="2">
        <f>118.77+311.24</f>
        <v>430.01</v>
      </c>
    </row>
    <row r="238" spans="3:6" x14ac:dyDescent="0.25">
      <c r="C238" s="2" t="s">
        <v>10903</v>
      </c>
      <c r="D238" s="2" t="s">
        <v>82</v>
      </c>
      <c r="E238" s="2">
        <v>24</v>
      </c>
      <c r="F238" s="2">
        <f>104+182.687</f>
        <v>286.687</v>
      </c>
    </row>
    <row r="239" spans="3:6" x14ac:dyDescent="0.25">
      <c r="C239" s="2" t="s">
        <v>10904</v>
      </c>
      <c r="D239" s="2" t="s">
        <v>82</v>
      </c>
      <c r="E239" s="2">
        <v>8</v>
      </c>
      <c r="F239" s="2">
        <f>64.3+60.37</f>
        <v>124.66999999999999</v>
      </c>
    </row>
    <row r="240" spans="3:6" x14ac:dyDescent="0.25">
      <c r="C240" s="2" t="s">
        <v>10905</v>
      </c>
      <c r="D240" s="2" t="s">
        <v>82</v>
      </c>
      <c r="E240" s="2">
        <v>18</v>
      </c>
      <c r="F240" s="2">
        <f>19.75+290.94</f>
        <v>310.69</v>
      </c>
    </row>
    <row r="241" spans="3:6" x14ac:dyDescent="0.25">
      <c r="C241" s="2" t="s">
        <v>10906</v>
      </c>
      <c r="D241" s="2" t="s">
        <v>82</v>
      </c>
      <c r="E241" s="2">
        <v>141</v>
      </c>
      <c r="F241" s="2">
        <v>2790.61</v>
      </c>
    </row>
    <row r="242" spans="3:6" x14ac:dyDescent="0.25">
      <c r="C242" s="2" t="s">
        <v>10907</v>
      </c>
      <c r="D242" s="2" t="s">
        <v>82</v>
      </c>
      <c r="E242" s="2">
        <v>141</v>
      </c>
      <c r="F242" s="2">
        <v>2681.766</v>
      </c>
    </row>
    <row r="243" spans="3:6" x14ac:dyDescent="0.25">
      <c r="C243" s="2" t="s">
        <v>10908</v>
      </c>
      <c r="D243" s="2" t="s">
        <v>82</v>
      </c>
      <c r="E243" s="2">
        <v>141</v>
      </c>
      <c r="F243" s="2">
        <v>2841.37</v>
      </c>
    </row>
    <row r="244" spans="3:6" x14ac:dyDescent="0.25">
      <c r="C244" s="2" t="s">
        <v>10909</v>
      </c>
      <c r="D244" s="2" t="s">
        <v>82</v>
      </c>
      <c r="E244" s="2">
        <v>141</v>
      </c>
      <c r="F244" s="2">
        <v>2773.869</v>
      </c>
    </row>
    <row r="245" spans="3:6" x14ac:dyDescent="0.25">
      <c r="C245" s="2" t="s">
        <v>10910</v>
      </c>
      <c r="D245" s="2" t="s">
        <v>82</v>
      </c>
      <c r="E245" s="2">
        <v>67</v>
      </c>
      <c r="F245" s="2">
        <v>1257.129</v>
      </c>
    </row>
    <row r="246" spans="3:6" x14ac:dyDescent="0.25">
      <c r="C246" s="2" t="s">
        <v>10911</v>
      </c>
      <c r="D246" s="2" t="s">
        <v>82</v>
      </c>
      <c r="E246" s="2">
        <v>36</v>
      </c>
      <c r="F246" s="2">
        <v>716.86</v>
      </c>
    </row>
    <row r="247" spans="3:6" x14ac:dyDescent="0.25">
      <c r="C247" s="2" t="s">
        <v>10912</v>
      </c>
      <c r="D247" s="2" t="s">
        <v>82</v>
      </c>
      <c r="E247" s="2">
        <v>38</v>
      </c>
      <c r="F247" s="2">
        <v>738.51</v>
      </c>
    </row>
    <row r="248" spans="3:6" x14ac:dyDescent="0.25">
      <c r="C248" s="2" t="s">
        <v>10913</v>
      </c>
      <c r="D248" s="2" t="s">
        <v>82</v>
      </c>
      <c r="E248" s="2">
        <v>144</v>
      </c>
      <c r="F248" s="2">
        <v>1480.331</v>
      </c>
    </row>
    <row r="249" spans="3:6" x14ac:dyDescent="0.25">
      <c r="C249" s="2" t="s">
        <v>10914</v>
      </c>
      <c r="D249" s="2" t="s">
        <v>82</v>
      </c>
      <c r="E249" s="2">
        <v>146</v>
      </c>
      <c r="F249" s="2">
        <v>2299.393</v>
      </c>
    </row>
    <row r="250" spans="3:6" x14ac:dyDescent="0.25">
      <c r="C250" s="2" t="s">
        <v>10915</v>
      </c>
      <c r="D250" s="2" t="s">
        <v>82</v>
      </c>
      <c r="E250" s="2">
        <v>37</v>
      </c>
      <c r="F250" s="2">
        <v>767.069</v>
      </c>
    </row>
    <row r="251" spans="3:6" x14ac:dyDescent="0.25">
      <c r="C251" s="2" t="s">
        <v>10916</v>
      </c>
      <c r="D251" s="2" t="s">
        <v>82</v>
      </c>
      <c r="E251" s="2">
        <v>46</v>
      </c>
      <c r="F251" s="2">
        <v>930.17</v>
      </c>
    </row>
    <row r="252" spans="3:6" x14ac:dyDescent="0.25">
      <c r="C252" s="2" t="s">
        <v>10917</v>
      </c>
      <c r="D252" s="2" t="s">
        <v>82</v>
      </c>
      <c r="E252" s="2">
        <v>42</v>
      </c>
      <c r="F252" s="2">
        <v>839.33</v>
      </c>
    </row>
    <row r="253" spans="3:6" x14ac:dyDescent="0.25">
      <c r="C253" s="2" t="s">
        <v>10918</v>
      </c>
      <c r="D253" s="2" t="s">
        <v>82</v>
      </c>
      <c r="E253" s="2">
        <v>56</v>
      </c>
      <c r="F253" s="2">
        <v>1117.63</v>
      </c>
    </row>
    <row r="254" spans="3:6" x14ac:dyDescent="0.25">
      <c r="C254" s="2" t="s">
        <v>10919</v>
      </c>
      <c r="D254" s="2" t="s">
        <v>82</v>
      </c>
      <c r="E254" s="2">
        <v>23</v>
      </c>
      <c r="F254" s="2">
        <v>456.61</v>
      </c>
    </row>
    <row r="255" spans="3:6" x14ac:dyDescent="0.25">
      <c r="C255" s="2" t="s">
        <v>10920</v>
      </c>
      <c r="D255" s="2" t="s">
        <v>82</v>
      </c>
      <c r="E255" s="2">
        <v>102</v>
      </c>
      <c r="F255" s="2">
        <v>2049.39</v>
      </c>
    </row>
    <row r="256" spans="3:6" x14ac:dyDescent="0.25">
      <c r="C256" s="2" t="s">
        <v>10921</v>
      </c>
      <c r="D256" s="2" t="s">
        <v>82</v>
      </c>
      <c r="E256" s="2">
        <v>75</v>
      </c>
      <c r="F256" s="2">
        <v>1483.57</v>
      </c>
    </row>
    <row r="257" spans="3:6" x14ac:dyDescent="0.25">
      <c r="C257" s="2" t="s">
        <v>10922</v>
      </c>
      <c r="D257" s="2" t="s">
        <v>82</v>
      </c>
      <c r="E257" s="2">
        <v>15</v>
      </c>
      <c r="F257" s="2">
        <v>62.72</v>
      </c>
    </row>
    <row r="258" spans="3:6" x14ac:dyDescent="0.25">
      <c r="C258" s="2" t="s">
        <v>10923</v>
      </c>
      <c r="D258" s="2" t="s">
        <v>82</v>
      </c>
      <c r="E258" s="2">
        <v>60</v>
      </c>
      <c r="F258" s="2">
        <v>258.3</v>
      </c>
    </row>
    <row r="259" spans="3:6" x14ac:dyDescent="0.25">
      <c r="C259" s="2" t="s">
        <v>10924</v>
      </c>
      <c r="D259" s="2" t="s">
        <v>82</v>
      </c>
      <c r="E259" s="2">
        <v>141</v>
      </c>
      <c r="F259" s="2">
        <v>2876.37</v>
      </c>
    </row>
    <row r="260" spans="3:6" x14ac:dyDescent="0.25">
      <c r="C260" s="2" t="s">
        <v>10925</v>
      </c>
      <c r="D260" s="2" t="s">
        <v>82</v>
      </c>
      <c r="E260" s="2">
        <v>52</v>
      </c>
      <c r="F260" s="2">
        <v>1031.35</v>
      </c>
    </row>
    <row r="261" spans="3:6" x14ac:dyDescent="0.25">
      <c r="C261" s="2" t="s">
        <v>10926</v>
      </c>
      <c r="D261" s="2" t="s">
        <v>82</v>
      </c>
      <c r="E261" s="2">
        <v>51</v>
      </c>
      <c r="F261" s="2">
        <v>1047.99</v>
      </c>
    </row>
    <row r="262" spans="3:6" x14ac:dyDescent="0.25">
      <c r="C262" s="2" t="s">
        <v>10927</v>
      </c>
      <c r="D262" s="2" t="s">
        <v>82</v>
      </c>
      <c r="E262" s="2">
        <v>38</v>
      </c>
      <c r="F262" s="2">
        <v>668.22</v>
      </c>
    </row>
    <row r="263" spans="3:6" x14ac:dyDescent="0.25">
      <c r="C263" s="2" t="s">
        <v>10928</v>
      </c>
      <c r="D263" s="2" t="s">
        <v>82</v>
      </c>
      <c r="E263" s="2">
        <v>110</v>
      </c>
      <c r="F263" s="2">
        <v>1846.799</v>
      </c>
    </row>
    <row r="264" spans="3:6" x14ac:dyDescent="0.25">
      <c r="C264" s="2" t="s">
        <v>10929</v>
      </c>
      <c r="D264" s="2" t="s">
        <v>82</v>
      </c>
      <c r="E264" s="2">
        <v>21</v>
      </c>
      <c r="F264" s="2">
        <v>306.12</v>
      </c>
    </row>
    <row r="265" spans="3:6" x14ac:dyDescent="0.25">
      <c r="C265" s="2" t="s">
        <v>10930</v>
      </c>
      <c r="D265" s="2" t="s">
        <v>82</v>
      </c>
      <c r="E265" s="2">
        <v>12</v>
      </c>
      <c r="F265" s="2">
        <v>243.27</v>
      </c>
    </row>
    <row r="266" spans="3:6" x14ac:dyDescent="0.25">
      <c r="C266" s="2" t="s">
        <v>10931</v>
      </c>
      <c r="D266" s="2" t="s">
        <v>82</v>
      </c>
      <c r="E266" s="2">
        <v>102</v>
      </c>
      <c r="F266" s="2">
        <v>1997.77</v>
      </c>
    </row>
    <row r="267" spans="3:6" x14ac:dyDescent="0.25">
      <c r="C267" s="2" t="s">
        <v>10932</v>
      </c>
      <c r="D267" s="2" t="s">
        <v>82</v>
      </c>
      <c r="E267" s="2">
        <v>102</v>
      </c>
      <c r="F267" s="2">
        <v>1962.48</v>
      </c>
    </row>
    <row r="268" spans="3:6" x14ac:dyDescent="0.25">
      <c r="C268" s="2" t="s">
        <v>10933</v>
      </c>
      <c r="D268" s="2" t="s">
        <v>82</v>
      </c>
      <c r="E268" s="2">
        <v>60</v>
      </c>
      <c r="F268" s="2">
        <v>1077.538</v>
      </c>
    </row>
    <row r="269" spans="3:6" x14ac:dyDescent="0.25">
      <c r="C269" s="2" t="s">
        <v>10934</v>
      </c>
      <c r="D269" s="2" t="s">
        <v>82</v>
      </c>
      <c r="E269" s="2">
        <v>35</v>
      </c>
      <c r="F269" s="2">
        <v>212.467</v>
      </c>
    </row>
    <row r="270" spans="3:6" x14ac:dyDescent="0.25">
      <c r="C270" s="2" t="s">
        <v>10935</v>
      </c>
      <c r="D270" s="2" t="s">
        <v>82</v>
      </c>
      <c r="E270" s="2">
        <v>102</v>
      </c>
      <c r="F270" s="2">
        <v>2078.19</v>
      </c>
    </row>
    <row r="271" spans="3:6" x14ac:dyDescent="0.25">
      <c r="C271" s="2" t="s">
        <v>10936</v>
      </c>
      <c r="D271" s="2" t="s">
        <v>82</v>
      </c>
      <c r="E271" s="2">
        <v>58</v>
      </c>
      <c r="F271" s="2">
        <v>1194.59</v>
      </c>
    </row>
    <row r="272" spans="3:6" x14ac:dyDescent="0.25">
      <c r="C272" s="2" t="s">
        <v>10937</v>
      </c>
      <c r="D272" s="2" t="s">
        <v>82</v>
      </c>
      <c r="E272" s="2">
        <v>34</v>
      </c>
      <c r="F272" s="2">
        <v>683.99</v>
      </c>
    </row>
    <row r="273" spans="3:6" x14ac:dyDescent="0.25">
      <c r="C273" s="2" t="s">
        <v>10938</v>
      </c>
      <c r="D273" s="2" t="s">
        <v>82</v>
      </c>
      <c r="E273" s="2">
        <v>49</v>
      </c>
      <c r="F273" s="2">
        <v>972.96</v>
      </c>
    </row>
    <row r="274" spans="3:6" x14ac:dyDescent="0.25">
      <c r="C274" s="2" t="s">
        <v>10939</v>
      </c>
      <c r="D274" s="2" t="s">
        <v>82</v>
      </c>
      <c r="E274" s="2">
        <v>37</v>
      </c>
      <c r="F274" s="2">
        <v>669.7</v>
      </c>
    </row>
    <row r="275" spans="3:6" x14ac:dyDescent="0.25">
      <c r="C275" s="2" t="s">
        <v>10940</v>
      </c>
      <c r="D275" s="2" t="s">
        <v>82</v>
      </c>
      <c r="E275" s="2">
        <v>54</v>
      </c>
      <c r="F275" s="2">
        <v>1092.5</v>
      </c>
    </row>
    <row r="276" spans="3:6" x14ac:dyDescent="0.25">
      <c r="C276" s="2" t="s">
        <v>10941</v>
      </c>
      <c r="D276" s="2" t="s">
        <v>82</v>
      </c>
      <c r="E276" s="2">
        <v>50</v>
      </c>
      <c r="F276" s="2">
        <v>1022.91</v>
      </c>
    </row>
    <row r="278" spans="1:7" x14ac:dyDescent="0.25">
      <c r="A278" s="1">
        <v>46116</v>
      </c>
      <c r="B278" s="2" t="s">
        <v>10942</v>
      </c>
      <c r="C278" s="2" t="s">
        <v>10943</v>
      </c>
      <c r="D278" s="2" t="s">
        <v>4334</v>
      </c>
      <c r="E278" s="2">
        <v>122</v>
      </c>
      <c r="F278" s="2">
        <v>2209.28</v>
      </c>
      <c r="G278" s="1">
        <v>46117</v>
      </c>
    </row>
    <row r="280" spans="1:7" x14ac:dyDescent="0.25">
      <c r="A280" s="1">
        <v>46116</v>
      </c>
      <c r="B280" s="2" t="s">
        <v>12</v>
      </c>
      <c r="C280" s="2" t="s">
        <v>10944</v>
      </c>
      <c r="D280" s="2" t="s">
        <v>30</v>
      </c>
      <c r="E280" s="2">
        <v>46</v>
      </c>
      <c r="F280" s="2">
        <v>943.5</v>
      </c>
      <c r="G280" s="1">
        <v>46117</v>
      </c>
    </row>
    <row r="281" spans="3:6" x14ac:dyDescent="0.25">
      <c r="C281" s="2" t="s">
        <v>10945</v>
      </c>
      <c r="D281" s="2" t="s">
        <v>30</v>
      </c>
      <c r="E281" s="2">
        <v>49</v>
      </c>
      <c r="F281" s="2">
        <v>892.82</v>
      </c>
    </row>
    <row r="282" spans="3:6" x14ac:dyDescent="0.25">
      <c r="C282" s="2" t="s">
        <v>10946</v>
      </c>
      <c r="D282" s="2" t="s">
        <v>15</v>
      </c>
      <c r="E282" s="2">
        <v>163</v>
      </c>
      <c r="F282" s="2">
        <v>3121.81</v>
      </c>
    </row>
    <row r="283" spans="3:6" x14ac:dyDescent="0.25">
      <c r="C283" s="2" t="s">
        <v>10947</v>
      </c>
      <c r="D283" s="2" t="s">
        <v>15</v>
      </c>
      <c r="E283" s="2">
        <v>51</v>
      </c>
      <c r="F283" s="2">
        <v>1001.67</v>
      </c>
    </row>
    <row r="284" spans="3:6" x14ac:dyDescent="0.25">
      <c r="C284" s="2" t="s">
        <v>10948</v>
      </c>
      <c r="D284" s="2" t="s">
        <v>30</v>
      </c>
      <c r="E284" s="2">
        <v>163</v>
      </c>
      <c r="F284" s="2">
        <v>3178.94</v>
      </c>
    </row>
    <row r="285" spans="3:6" x14ac:dyDescent="0.25">
      <c r="C285" s="2" t="s">
        <v>10949</v>
      </c>
      <c r="D285" s="2" t="s">
        <v>15</v>
      </c>
      <c r="E285" s="2">
        <v>105</v>
      </c>
      <c r="F285" s="2">
        <v>2088.66</v>
      </c>
    </row>
    <row r="286" spans="3:6" x14ac:dyDescent="0.25">
      <c r="C286" s="2" t="s">
        <v>10950</v>
      </c>
      <c r="D286" s="2" t="s">
        <v>15</v>
      </c>
      <c r="E286" s="2">
        <v>105</v>
      </c>
      <c r="F286" s="2">
        <v>2024.208</v>
      </c>
    </row>
    <row r="287" spans="3:6" x14ac:dyDescent="0.25">
      <c r="C287" s="2" t="s">
        <v>10951</v>
      </c>
      <c r="D287" s="2" t="s">
        <v>15</v>
      </c>
      <c r="E287" s="2">
        <v>120</v>
      </c>
      <c r="F287" s="2">
        <v>2268.969</v>
      </c>
    </row>
    <row r="288" spans="3:6" x14ac:dyDescent="0.25">
      <c r="C288" s="2" t="s">
        <v>10952</v>
      </c>
      <c r="D288" s="2" t="s">
        <v>136</v>
      </c>
      <c r="E288" s="2">
        <v>105</v>
      </c>
      <c r="F288" s="2">
        <v>1926.599</v>
      </c>
    </row>
    <row r="289" spans="3:6" x14ac:dyDescent="0.25">
      <c r="C289" s="2" t="s">
        <v>10953</v>
      </c>
      <c r="D289" s="2" t="s">
        <v>36</v>
      </c>
      <c r="E289" s="2">
        <v>36</v>
      </c>
      <c r="F289" s="2">
        <v>611.35</v>
      </c>
    </row>
    <row r="290" spans="3:6" x14ac:dyDescent="0.25">
      <c r="C290" s="2" t="s">
        <v>10954</v>
      </c>
      <c r="D290" s="2" t="s">
        <v>36</v>
      </c>
      <c r="E290" s="2">
        <v>60</v>
      </c>
      <c r="F290" s="2">
        <v>1071.66</v>
      </c>
    </row>
    <row r="291" spans="3:6" x14ac:dyDescent="0.25">
      <c r="C291" s="2" t="s">
        <v>10955</v>
      </c>
      <c r="D291" s="2" t="s">
        <v>36</v>
      </c>
      <c r="E291" s="2">
        <v>60</v>
      </c>
      <c r="F291" s="2">
        <v>1125.77</v>
      </c>
    </row>
    <row r="292" spans="3:6" x14ac:dyDescent="0.25">
      <c r="C292" s="2" t="s">
        <v>10956</v>
      </c>
      <c r="D292" s="2" t="s">
        <v>30</v>
      </c>
      <c r="E292" s="2">
        <v>134</v>
      </c>
      <c r="F292" s="2">
        <v>2703.76</v>
      </c>
    </row>
    <row r="293" spans="3:6" x14ac:dyDescent="0.25">
      <c r="C293" s="2" t="s">
        <v>10957</v>
      </c>
      <c r="D293" s="2" t="s">
        <v>42</v>
      </c>
      <c r="E293" s="2">
        <v>56</v>
      </c>
      <c r="F293" s="2">
        <v>1071.389</v>
      </c>
    </row>
    <row r="294" spans="3:6" x14ac:dyDescent="0.25">
      <c r="C294" s="2" t="s">
        <v>10958</v>
      </c>
      <c r="D294" s="2" t="s">
        <v>42</v>
      </c>
      <c r="E294" s="2">
        <v>84</v>
      </c>
      <c r="F294" s="2">
        <v>1617.402</v>
      </c>
    </row>
    <row r="295" spans="3:6" x14ac:dyDescent="0.25">
      <c r="C295" s="2" t="s">
        <v>10959</v>
      </c>
      <c r="D295" s="2" t="s">
        <v>36</v>
      </c>
      <c r="E295" s="2">
        <v>16</v>
      </c>
      <c r="F295" s="2">
        <v>308.83</v>
      </c>
    </row>
    <row r="296" spans="3:6" x14ac:dyDescent="0.25">
      <c r="C296" s="2" t="s">
        <v>10960</v>
      </c>
      <c r="D296" s="2" t="s">
        <v>36</v>
      </c>
      <c r="E296" s="2">
        <v>43</v>
      </c>
      <c r="F296" s="2">
        <v>823.638</v>
      </c>
    </row>
    <row r="297" spans="3:6" x14ac:dyDescent="0.25">
      <c r="C297" s="2" t="s">
        <v>10961</v>
      </c>
      <c r="D297" s="2" t="s">
        <v>36</v>
      </c>
      <c r="E297" s="2">
        <v>45</v>
      </c>
      <c r="F297" s="2">
        <v>810.99</v>
      </c>
    </row>
    <row r="298" spans="3:6" x14ac:dyDescent="0.25">
      <c r="C298" s="2" t="s">
        <v>10962</v>
      </c>
      <c r="D298" s="2" t="s">
        <v>36</v>
      </c>
      <c r="E298" s="2">
        <v>45</v>
      </c>
      <c r="F298" s="2">
        <v>885.729</v>
      </c>
    </row>
    <row r="299" spans="3:6" x14ac:dyDescent="0.25">
      <c r="C299" s="2" t="s">
        <v>10963</v>
      </c>
      <c r="D299" s="2" t="s">
        <v>42</v>
      </c>
      <c r="E299" s="2">
        <v>16</v>
      </c>
      <c r="F299" s="2">
        <v>302.08</v>
      </c>
    </row>
    <row r="300" spans="3:6" x14ac:dyDescent="0.25">
      <c r="C300" s="2" t="s">
        <v>10964</v>
      </c>
      <c r="D300" s="2" t="s">
        <v>30</v>
      </c>
      <c r="E300" s="2">
        <v>134</v>
      </c>
      <c r="F300" s="2">
        <v>2690.03</v>
      </c>
    </row>
    <row r="301" spans="3:6" x14ac:dyDescent="0.25">
      <c r="C301" s="2" t="s">
        <v>10965</v>
      </c>
      <c r="D301" s="2" t="s">
        <v>30</v>
      </c>
      <c r="E301" s="2">
        <v>134</v>
      </c>
      <c r="F301" s="2">
        <v>2695.659</v>
      </c>
    </row>
    <row r="302" spans="3:6" x14ac:dyDescent="0.25">
      <c r="C302" s="2" t="s">
        <v>10966</v>
      </c>
      <c r="D302" s="2" t="s">
        <v>26</v>
      </c>
      <c r="E302" s="2">
        <v>156</v>
      </c>
      <c r="F302" s="2">
        <v>2945.149</v>
      </c>
    </row>
    <row r="303" spans="3:6" x14ac:dyDescent="0.25">
      <c r="C303" s="2" t="s">
        <v>10967</v>
      </c>
      <c r="D303" s="2" t="s">
        <v>30</v>
      </c>
      <c r="E303" s="2">
        <v>134</v>
      </c>
      <c r="F303" s="2">
        <v>2679.2</v>
      </c>
    </row>
    <row r="304" spans="3:6" x14ac:dyDescent="0.25">
      <c r="C304" s="2" t="s">
        <v>10968</v>
      </c>
      <c r="D304" s="2" t="s">
        <v>30</v>
      </c>
      <c r="E304" s="2">
        <v>134</v>
      </c>
      <c r="F304" s="2">
        <v>2591.349</v>
      </c>
    </row>
    <row r="305" spans="3:6" x14ac:dyDescent="0.25">
      <c r="C305" s="2" t="s">
        <v>10969</v>
      </c>
      <c r="D305" s="2" t="s">
        <v>30</v>
      </c>
      <c r="E305" s="2">
        <v>134</v>
      </c>
      <c r="F305" s="2">
        <v>2681.22</v>
      </c>
    </row>
    <row r="306" spans="3:6" x14ac:dyDescent="0.25">
      <c r="C306" s="2" t="s">
        <v>10970</v>
      </c>
      <c r="D306" s="2" t="s">
        <v>15</v>
      </c>
      <c r="E306" s="2">
        <v>163</v>
      </c>
      <c r="F306" s="2">
        <v>3017.459</v>
      </c>
    </row>
    <row r="307" spans="3:6" x14ac:dyDescent="0.25">
      <c r="C307" s="2" t="s">
        <v>10971</v>
      </c>
      <c r="D307" s="2" t="s">
        <v>15</v>
      </c>
      <c r="E307" s="2">
        <v>163</v>
      </c>
      <c r="F307" s="2">
        <v>3067.4</v>
      </c>
    </row>
    <row r="308" spans="3:6" x14ac:dyDescent="0.25">
      <c r="C308" s="2" t="s">
        <v>10972</v>
      </c>
      <c r="D308" s="2" t="s">
        <v>15</v>
      </c>
      <c r="E308" s="2">
        <v>163</v>
      </c>
      <c r="F308" s="2">
        <v>3086.296</v>
      </c>
    </row>
    <row r="309" spans="3:6" x14ac:dyDescent="0.25">
      <c r="C309" s="2" t="s">
        <v>10973</v>
      </c>
      <c r="D309" s="2" t="s">
        <v>30</v>
      </c>
      <c r="E309" s="2">
        <v>105</v>
      </c>
      <c r="F309" s="2">
        <v>2085.97</v>
      </c>
    </row>
    <row r="310" spans="3:6" x14ac:dyDescent="0.25">
      <c r="C310" s="2" t="s">
        <v>10974</v>
      </c>
      <c r="D310" s="2" t="s">
        <v>15</v>
      </c>
      <c r="E310" s="2">
        <v>163</v>
      </c>
      <c r="F310" s="2">
        <v>3101.06</v>
      </c>
    </row>
    <row r="311" spans="3:6" x14ac:dyDescent="0.25">
      <c r="C311" s="2" t="s">
        <v>10975</v>
      </c>
      <c r="D311" s="2" t="s">
        <v>30</v>
      </c>
      <c r="E311" s="2">
        <v>134</v>
      </c>
      <c r="F311" s="2">
        <v>2625.829</v>
      </c>
    </row>
    <row r="312" spans="3:4" x14ac:dyDescent="0.25">
      <c r="C312" s="2" t="s">
        <v>10976</v>
      </c>
      <c r="D312" s="2" t="s">
        <v>15</v>
      </c>
    </row>
    <row r="313" spans="3:4" x14ac:dyDescent="0.25">
      <c r="C313" s="2" t="s">
        <v>10977</v>
      </c>
      <c r="D313" s="2" t="s">
        <v>15</v>
      </c>
    </row>
    <row r="314" spans="3:4" x14ac:dyDescent="0.25">
      <c r="C314" s="2" t="s">
        <v>10978</v>
      </c>
      <c r="D314" s="2" t="s">
        <v>15</v>
      </c>
    </row>
    <row r="315" spans="3:4" x14ac:dyDescent="0.25">
      <c r="C315" s="2" t="s">
        <v>10979</v>
      </c>
      <c r="D315" s="2" t="s">
        <v>15</v>
      </c>
    </row>
    <row r="316" spans="3:4" x14ac:dyDescent="0.25">
      <c r="C316" s="2" t="s">
        <v>10980</v>
      </c>
      <c r="D316" s="2" t="s">
        <v>36</v>
      </c>
    </row>
    <row r="318" spans="1:7" x14ac:dyDescent="0.25">
      <c r="A318" s="1">
        <v>46116</v>
      </c>
      <c r="B318" s="2" t="s">
        <v>10981</v>
      </c>
      <c r="C318" s="2" t="s">
        <v>10982</v>
      </c>
      <c r="D318" s="2" t="s">
        <v>15</v>
      </c>
      <c r="E318" s="2">
        <v>93</v>
      </c>
      <c r="F318" s="2">
        <v>1607.09</v>
      </c>
      <c r="G318" s="1">
        <v>46117</v>
      </c>
    </row>
    <row r="319" spans="3:6" x14ac:dyDescent="0.25">
      <c r="C319" s="2" t="s">
        <v>10983</v>
      </c>
      <c r="D319" s="2" t="s">
        <v>53</v>
      </c>
      <c r="E319" s="2">
        <v>15</v>
      </c>
      <c r="F319" s="2">
        <v>207.718</v>
      </c>
    </row>
    <row r="320" spans="3:6" x14ac:dyDescent="0.25">
      <c r="C320" s="2" t="s">
        <v>10984</v>
      </c>
      <c r="D320" s="2" t="s">
        <v>53</v>
      </c>
      <c r="E320" s="2">
        <v>105</v>
      </c>
      <c r="F320" s="2">
        <v>1724.42</v>
      </c>
    </row>
    <row r="321" spans="3:6" x14ac:dyDescent="0.25">
      <c r="C321" s="2" t="s">
        <v>10985</v>
      </c>
      <c r="D321" s="2" t="s">
        <v>30</v>
      </c>
      <c r="E321" s="2">
        <v>105</v>
      </c>
      <c r="F321" s="2">
        <v>2123.329</v>
      </c>
    </row>
    <row r="322" spans="3:6" x14ac:dyDescent="0.25">
      <c r="C322" s="2" t="s">
        <v>10986</v>
      </c>
      <c r="D322" s="2" t="s">
        <v>53</v>
      </c>
      <c r="E322" s="2">
        <v>156</v>
      </c>
      <c r="F322" s="2">
        <v>2589.78</v>
      </c>
    </row>
    <row r="323" spans="3:6" x14ac:dyDescent="0.25">
      <c r="C323" s="2" t="s">
        <v>10987</v>
      </c>
      <c r="D323" s="2" t="s">
        <v>53</v>
      </c>
      <c r="E323" s="2">
        <v>158</v>
      </c>
      <c r="F323" s="2">
        <v>2556.748</v>
      </c>
    </row>
    <row r="324" spans="3:6" x14ac:dyDescent="0.25">
      <c r="C324" s="2" t="s">
        <v>10988</v>
      </c>
      <c r="D324" s="2" t="s">
        <v>30</v>
      </c>
      <c r="E324" s="2">
        <v>159</v>
      </c>
      <c r="F324" s="2">
        <v>2534.527</v>
      </c>
    </row>
    <row r="325" spans="3:6" x14ac:dyDescent="0.25">
      <c r="C325" s="2" t="s">
        <v>10989</v>
      </c>
      <c r="D325" s="2" t="s">
        <v>53</v>
      </c>
      <c r="E325" s="2">
        <v>148</v>
      </c>
      <c r="F325" s="2">
        <v>2571.779</v>
      </c>
    </row>
    <row r="326" spans="3:6" x14ac:dyDescent="0.25">
      <c r="C326" s="2" t="s">
        <v>10990</v>
      </c>
      <c r="D326" s="2" t="s">
        <v>53</v>
      </c>
      <c r="E326" s="2">
        <v>105</v>
      </c>
      <c r="F326" s="2">
        <v>1786.398</v>
      </c>
    </row>
    <row r="327" spans="3:6" x14ac:dyDescent="0.25">
      <c r="C327" s="2" t="s">
        <v>10991</v>
      </c>
      <c r="D327" s="2" t="s">
        <v>30</v>
      </c>
      <c r="E327" s="2">
        <v>105</v>
      </c>
      <c r="F327" s="2">
        <v>1851.739</v>
      </c>
    </row>
    <row r="328" spans="3:6" x14ac:dyDescent="0.25">
      <c r="C328" s="2" t="s">
        <v>10992</v>
      </c>
      <c r="D328" s="2" t="s">
        <v>53</v>
      </c>
      <c r="E328" s="2">
        <v>156</v>
      </c>
      <c r="F328" s="2">
        <v>3124.139</v>
      </c>
    </row>
    <row r="329" spans="3:6" x14ac:dyDescent="0.25">
      <c r="C329" s="2" t="s">
        <v>10993</v>
      </c>
      <c r="D329" s="2" t="s">
        <v>53</v>
      </c>
      <c r="E329" s="2">
        <v>156</v>
      </c>
      <c r="F329" s="2">
        <v>3077.059</v>
      </c>
    </row>
    <row r="331" spans="1:7" x14ac:dyDescent="0.25">
      <c r="A331" s="1">
        <v>46117</v>
      </c>
      <c r="B331" s="2" t="s">
        <v>363</v>
      </c>
      <c r="C331" s="2" t="s">
        <v>10994</v>
      </c>
      <c r="D331" s="2" t="s">
        <v>73</v>
      </c>
      <c r="E331" s="2">
        <v>113</v>
      </c>
      <c r="F331" s="2">
        <v>2347.529</v>
      </c>
      <c r="G331" s="1">
        <v>46117</v>
      </c>
    </row>
    <row r="332" spans="3:5" x14ac:dyDescent="0.25">
      <c r="C332" s="2" t="s">
        <v>10995</v>
      </c>
      <c r="D332" s="2" t="s">
        <v>73</v>
      </c>
      <c r="E332" s="2">
        <v>8</v>
      </c>
    </row>
    <row r="333" spans="3:6" x14ac:dyDescent="0.25">
      <c r="C333" s="2" t="s">
        <v>10996</v>
      </c>
      <c r="D333" s="2" t="s">
        <v>73</v>
      </c>
      <c r="E333" s="2">
        <v>33</v>
      </c>
      <c r="F333" s="2">
        <v>587.04</v>
      </c>
    </row>
    <row r="334" spans="3:6" x14ac:dyDescent="0.25">
      <c r="C334" s="2" t="s">
        <v>10997</v>
      </c>
      <c r="D334" s="2" t="s">
        <v>73</v>
      </c>
      <c r="E334" s="2">
        <v>43</v>
      </c>
      <c r="F334" s="2">
        <v>803.409</v>
      </c>
    </row>
    <row r="335" spans="3:6" x14ac:dyDescent="0.25">
      <c r="C335" s="2" t="s">
        <v>10998</v>
      </c>
      <c r="D335" s="2" t="s">
        <v>73</v>
      </c>
      <c r="E335" s="2">
        <v>25</v>
      </c>
      <c r="F335" s="2">
        <v>440.49</v>
      </c>
    </row>
    <row r="336" spans="3:6" x14ac:dyDescent="0.25">
      <c r="C336" s="2" t="s">
        <v>10999</v>
      </c>
      <c r="D336" s="2" t="s">
        <v>73</v>
      </c>
      <c r="E336" s="2">
        <v>87</v>
      </c>
      <c r="F336" s="2">
        <v>1551.579</v>
      </c>
    </row>
    <row r="337" spans="3:6" x14ac:dyDescent="0.25">
      <c r="C337" s="2" t="s">
        <v>11000</v>
      </c>
      <c r="D337" s="2" t="s">
        <v>73</v>
      </c>
      <c r="E337" s="2">
        <v>14</v>
      </c>
      <c r="F337" s="2">
        <v>212.88</v>
      </c>
    </row>
    <row r="338" spans="3:6" x14ac:dyDescent="0.25">
      <c r="C338" s="2" t="s">
        <v>11001</v>
      </c>
      <c r="D338" s="2" t="s">
        <v>73</v>
      </c>
      <c r="E338" s="2">
        <v>54</v>
      </c>
      <c r="F338" s="2">
        <v>1119.6</v>
      </c>
    </row>
    <row r="339" spans="3:6" x14ac:dyDescent="0.25">
      <c r="C339" s="2" t="s">
        <v>11002</v>
      </c>
      <c r="D339" s="2" t="s">
        <v>73</v>
      </c>
      <c r="E339" s="2">
        <v>18</v>
      </c>
      <c r="F339" s="2">
        <v>309.57</v>
      </c>
    </row>
    <row r="341" spans="1:7" x14ac:dyDescent="0.25">
      <c r="A341" s="1">
        <v>46117</v>
      </c>
      <c r="B341" s="2" t="s">
        <v>71</v>
      </c>
      <c r="C341" s="2" t="s">
        <v>11003</v>
      </c>
      <c r="D341" s="2" t="s">
        <v>73</v>
      </c>
      <c r="E341" s="2">
        <v>33</v>
      </c>
      <c r="F341" s="2">
        <v>589.53</v>
      </c>
      <c r="G341" s="1">
        <v>46115</v>
      </c>
    </row>
    <row r="342" spans="3:6" x14ac:dyDescent="0.25">
      <c r="C342" s="2" t="s">
        <v>11004</v>
      </c>
      <c r="D342" s="2" t="s">
        <v>73</v>
      </c>
      <c r="E342" s="2">
        <v>63</v>
      </c>
      <c r="F342" s="2">
        <v>1191.71</v>
      </c>
    </row>
    <row r="343" spans="3:6" x14ac:dyDescent="0.25">
      <c r="C343" s="2" t="s">
        <v>11005</v>
      </c>
      <c r="D343" s="2" t="s">
        <v>73</v>
      </c>
      <c r="E343" s="2">
        <v>101</v>
      </c>
      <c r="F343" s="2">
        <v>1854.199</v>
      </c>
    </row>
    <row r="344" spans="3:6" x14ac:dyDescent="0.25">
      <c r="C344" s="2" t="s">
        <v>11006</v>
      </c>
      <c r="D344" s="2" t="s">
        <v>73</v>
      </c>
      <c r="E344" s="2">
        <v>68</v>
      </c>
      <c r="F344" s="2">
        <v>1185.76</v>
      </c>
    </row>
    <row r="345" spans="3:6" x14ac:dyDescent="0.25">
      <c r="C345" s="2" t="s">
        <v>11007</v>
      </c>
      <c r="D345" s="2" t="s">
        <v>73</v>
      </c>
      <c r="E345" s="2">
        <v>38</v>
      </c>
      <c r="F345" s="2">
        <v>657.449</v>
      </c>
    </row>
    <row r="347" spans="1:7" x14ac:dyDescent="0.25">
      <c r="A347" s="1">
        <v>46117</v>
      </c>
      <c r="B347" s="2" t="s">
        <v>11008</v>
      </c>
      <c r="C347" s="2" t="s">
        <v>11009</v>
      </c>
      <c r="D347" s="2" t="s">
        <v>178</v>
      </c>
      <c r="E347" s="2">
        <v>246</v>
      </c>
      <c r="F347" s="2">
        <v>4952.11</v>
      </c>
      <c r="G347" s="1">
        <v>46117</v>
      </c>
    </row>
    <row r="348" spans="3:6" x14ac:dyDescent="0.25">
      <c r="C348" s="2" t="s">
        <v>11010</v>
      </c>
      <c r="D348" s="2" t="s">
        <v>178</v>
      </c>
      <c r="E348" s="2">
        <v>246</v>
      </c>
      <c r="F348" s="2">
        <v>4900.74</v>
      </c>
    </row>
    <row r="349" spans="3:6" x14ac:dyDescent="0.25">
      <c r="C349" s="2" t="s">
        <v>11011</v>
      </c>
      <c r="D349" s="2" t="s">
        <v>178</v>
      </c>
      <c r="E349" s="2">
        <v>338</v>
      </c>
      <c r="F349" s="2">
        <v>6806.89</v>
      </c>
    </row>
    <row r="350" spans="3:6" x14ac:dyDescent="0.25">
      <c r="C350" s="2" t="s">
        <v>11012</v>
      </c>
      <c r="D350" s="2" t="s">
        <v>178</v>
      </c>
      <c r="E350" s="2">
        <v>102</v>
      </c>
      <c r="F350" s="2">
        <v>1925.789</v>
      </c>
    </row>
    <row r="351" spans="3:6" x14ac:dyDescent="0.25">
      <c r="C351" s="2" t="s">
        <v>11013</v>
      </c>
      <c r="D351" s="2" t="s">
        <v>178</v>
      </c>
      <c r="E351" s="2">
        <v>45</v>
      </c>
      <c r="F351" s="2">
        <v>190.698</v>
      </c>
    </row>
    <row r="352" spans="3:6" x14ac:dyDescent="0.25">
      <c r="C352" s="2" t="s">
        <v>11014</v>
      </c>
      <c r="D352" s="2" t="s">
        <v>178</v>
      </c>
      <c r="E352" s="2">
        <v>141</v>
      </c>
      <c r="F352" s="2">
        <v>2711.76</v>
      </c>
    </row>
    <row r="353" spans="3:6" x14ac:dyDescent="0.25">
      <c r="C353" s="2" t="s">
        <v>11015</v>
      </c>
      <c r="D353" s="2" t="s">
        <v>178</v>
      </c>
      <c r="E353" s="2">
        <v>141</v>
      </c>
      <c r="F353" s="2">
        <v>2711.759</v>
      </c>
    </row>
    <row r="354" spans="3:6" x14ac:dyDescent="0.25">
      <c r="C354" s="2" t="s">
        <v>11016</v>
      </c>
      <c r="D354" s="2" t="s">
        <v>178</v>
      </c>
      <c r="E354" s="2">
        <v>141</v>
      </c>
      <c r="F354" s="2">
        <v>2843.09</v>
      </c>
    </row>
    <row r="355" spans="3:6" x14ac:dyDescent="0.25">
      <c r="C355" s="2" t="s">
        <v>11017</v>
      </c>
      <c r="D355" s="2" t="s">
        <v>178</v>
      </c>
      <c r="E355" s="2">
        <v>243</v>
      </c>
      <c r="F355" s="2">
        <v>4821.15</v>
      </c>
    </row>
    <row r="356" spans="3:6" x14ac:dyDescent="0.25">
      <c r="C356" s="2" t="s">
        <v>11018</v>
      </c>
      <c r="D356" s="2" t="s">
        <v>178</v>
      </c>
      <c r="E356" s="2">
        <v>102</v>
      </c>
      <c r="F356" s="2">
        <v>2092.94</v>
      </c>
    </row>
    <row r="357" spans="3:6" x14ac:dyDescent="0.25">
      <c r="C357" s="2" t="s">
        <v>11019</v>
      </c>
      <c r="D357" s="2" t="s">
        <v>178</v>
      </c>
      <c r="E357" s="2">
        <v>70</v>
      </c>
      <c r="F357" s="2">
        <v>1275.71</v>
      </c>
    </row>
    <row r="358" spans="3:6" x14ac:dyDescent="0.25">
      <c r="C358" s="2" t="s">
        <v>11020</v>
      </c>
      <c r="D358" s="2" t="s">
        <v>178</v>
      </c>
      <c r="E358" s="2">
        <v>5</v>
      </c>
      <c r="F358" s="2">
        <v>94.97</v>
      </c>
    </row>
    <row r="359" spans="3:6" x14ac:dyDescent="0.25">
      <c r="C359" s="2" t="s">
        <v>11021</v>
      </c>
      <c r="D359" s="2" t="s">
        <v>178</v>
      </c>
      <c r="E359" s="2">
        <v>15</v>
      </c>
      <c r="F359" s="2">
        <v>63.029</v>
      </c>
    </row>
    <row r="360" spans="3:6" x14ac:dyDescent="0.25">
      <c r="C360" s="2" t="s">
        <v>11022</v>
      </c>
      <c r="D360" s="2" t="s">
        <v>178</v>
      </c>
      <c r="E360" s="2">
        <v>102</v>
      </c>
      <c r="F360" s="2">
        <v>2107.71</v>
      </c>
    </row>
    <row r="361" spans="3:6" x14ac:dyDescent="0.25">
      <c r="C361" s="2" t="s">
        <v>11023</v>
      </c>
      <c r="D361" s="2" t="s">
        <v>178</v>
      </c>
      <c r="E361" s="2">
        <v>60</v>
      </c>
      <c r="F361" s="2">
        <v>253.749</v>
      </c>
    </row>
    <row r="362" spans="3:6" x14ac:dyDescent="0.25">
      <c r="C362" s="2" t="s">
        <v>11024</v>
      </c>
      <c r="D362" s="2" t="s">
        <v>178</v>
      </c>
      <c r="E362" s="2">
        <v>141</v>
      </c>
      <c r="F362" s="2">
        <v>2879.97</v>
      </c>
    </row>
    <row r="363" spans="3:6" x14ac:dyDescent="0.25">
      <c r="C363" s="2" t="s">
        <v>11025</v>
      </c>
      <c r="D363" s="2" t="s">
        <v>178</v>
      </c>
      <c r="E363" s="2">
        <v>282</v>
      </c>
      <c r="F363" s="2">
        <v>5716.24</v>
      </c>
    </row>
    <row r="364" spans="3:6" x14ac:dyDescent="0.25">
      <c r="C364" s="2" t="s">
        <v>11026</v>
      </c>
      <c r="D364" s="2" t="s">
        <v>178</v>
      </c>
      <c r="E364" s="2">
        <v>75</v>
      </c>
      <c r="F364" s="2">
        <v>317.148</v>
      </c>
    </row>
    <row r="365" spans="3:6" x14ac:dyDescent="0.25">
      <c r="C365" s="2" t="s">
        <v>11027</v>
      </c>
      <c r="D365" s="2" t="s">
        <v>178</v>
      </c>
      <c r="E365" s="2">
        <v>282</v>
      </c>
      <c r="F365" s="2">
        <v>5618.89</v>
      </c>
    </row>
    <row r="366" spans="3:6" x14ac:dyDescent="0.25">
      <c r="C366" s="2" t="s">
        <v>11028</v>
      </c>
      <c r="D366" s="2" t="s">
        <v>178</v>
      </c>
      <c r="E366" s="2">
        <v>60</v>
      </c>
      <c r="F366" s="2">
        <v>260.48</v>
      </c>
    </row>
    <row r="367" spans="3:6" x14ac:dyDescent="0.25">
      <c r="C367" s="2" t="s">
        <v>11029</v>
      </c>
      <c r="D367" s="2" t="s">
        <v>178</v>
      </c>
      <c r="E367" s="2">
        <v>282</v>
      </c>
      <c r="F367" s="2">
        <v>5640.37</v>
      </c>
    </row>
    <row r="368" spans="3:6" x14ac:dyDescent="0.25">
      <c r="C368" s="2" t="s">
        <v>11030</v>
      </c>
      <c r="D368" s="2" t="s">
        <v>178</v>
      </c>
      <c r="E368" s="2">
        <v>59</v>
      </c>
      <c r="F368" s="2">
        <v>1133.799</v>
      </c>
    </row>
    <row r="369" spans="3:6" x14ac:dyDescent="0.25">
      <c r="C369" s="2" t="s">
        <v>11031</v>
      </c>
      <c r="D369" s="2" t="s">
        <v>178</v>
      </c>
      <c r="E369" s="2">
        <v>82</v>
      </c>
      <c r="F369" s="2">
        <v>1642.56</v>
      </c>
    </row>
    <row r="370" spans="3:6" x14ac:dyDescent="0.25">
      <c r="C370" s="2" t="s">
        <v>11032</v>
      </c>
      <c r="D370" s="2" t="s">
        <v>178</v>
      </c>
      <c r="E370" s="2">
        <v>141</v>
      </c>
      <c r="F370" s="2">
        <v>2943.918</v>
      </c>
    </row>
    <row r="371" spans="3:6" x14ac:dyDescent="0.25">
      <c r="C371" s="2" t="s">
        <v>11033</v>
      </c>
      <c r="D371" s="2" t="s">
        <v>178</v>
      </c>
      <c r="E371" s="2">
        <v>141</v>
      </c>
      <c r="F371" s="2">
        <v>2901.44</v>
      </c>
    </row>
    <row r="372" spans="3:6" x14ac:dyDescent="0.25">
      <c r="C372" s="2" t="s">
        <v>11034</v>
      </c>
      <c r="D372" s="2" t="s">
        <v>178</v>
      </c>
      <c r="E372" s="2">
        <v>141</v>
      </c>
      <c r="F372" s="2">
        <v>2645.88</v>
      </c>
    </row>
    <row r="373" spans="3:6" x14ac:dyDescent="0.25">
      <c r="C373" s="2" t="s">
        <v>11035</v>
      </c>
      <c r="D373" s="2" t="s">
        <v>178</v>
      </c>
      <c r="E373" s="2">
        <v>45</v>
      </c>
      <c r="F373" s="2">
        <v>982.22</v>
      </c>
    </row>
    <row r="374" spans="3:6" x14ac:dyDescent="0.25">
      <c r="C374" s="2" t="s">
        <v>11036</v>
      </c>
      <c r="D374" s="2" t="s">
        <v>178</v>
      </c>
      <c r="E374" s="2">
        <v>95</v>
      </c>
      <c r="F374" s="2">
        <v>1601.14</v>
      </c>
    </row>
    <row r="376" spans="1:7" x14ac:dyDescent="0.25">
      <c r="A376" s="1">
        <v>46117</v>
      </c>
      <c r="B376" s="2" t="s">
        <v>7</v>
      </c>
      <c r="C376" s="2" t="s">
        <v>11037</v>
      </c>
      <c r="D376" s="2" t="s">
        <v>9</v>
      </c>
      <c r="E376" s="2">
        <v>70</v>
      </c>
      <c r="F376" s="2">
        <v>1415.29</v>
      </c>
      <c r="G376" s="1">
        <v>46117</v>
      </c>
    </row>
    <row r="377" spans="3:6" x14ac:dyDescent="0.25">
      <c r="C377" s="2" t="s">
        <v>11038</v>
      </c>
      <c r="D377" s="2" t="s">
        <v>9</v>
      </c>
      <c r="E377" s="2">
        <v>71</v>
      </c>
      <c r="F377" s="2">
        <v>1462.87</v>
      </c>
    </row>
    <row r="379" spans="1:7" x14ac:dyDescent="0.25">
      <c r="A379" s="1">
        <v>46117</v>
      </c>
      <c r="B379" s="2" t="s">
        <v>7683</v>
      </c>
      <c r="C379" s="2" t="s">
        <v>11039</v>
      </c>
      <c r="D379" s="2" t="s">
        <v>9</v>
      </c>
      <c r="E379" s="2">
        <v>90</v>
      </c>
      <c r="F379" s="2">
        <v>1861.1</v>
      </c>
      <c r="G379" s="1">
        <v>46117</v>
      </c>
    </row>
    <row r="380" spans="3:6" x14ac:dyDescent="0.25">
      <c r="C380" s="2" t="s">
        <v>11040</v>
      </c>
      <c r="D380" s="2" t="s">
        <v>9</v>
      </c>
      <c r="E380" s="2">
        <v>142</v>
      </c>
      <c r="F380" s="2">
        <v>2687.551</v>
      </c>
    </row>
    <row r="381" spans="3:6" x14ac:dyDescent="0.25">
      <c r="C381" s="2" t="s">
        <v>11041</v>
      </c>
      <c r="D381" s="2" t="s">
        <v>9</v>
      </c>
      <c r="E381" s="2">
        <v>156</v>
      </c>
      <c r="F381" s="2">
        <v>3166.42</v>
      </c>
    </row>
    <row r="383" spans="1:7" x14ac:dyDescent="0.25">
      <c r="A383" s="1">
        <v>46117</v>
      </c>
      <c r="B383" s="2" t="s">
        <v>4580</v>
      </c>
      <c r="C383" s="2" t="s">
        <v>11042</v>
      </c>
      <c r="D383" s="2" t="s">
        <v>292</v>
      </c>
      <c r="E383" s="2">
        <v>153</v>
      </c>
      <c r="F383" s="2">
        <v>3135.48</v>
      </c>
      <c r="G383" s="1">
        <v>46117</v>
      </c>
    </row>
    <row r="385" spans="1:7" x14ac:dyDescent="0.25">
      <c r="A385" s="1">
        <v>46117</v>
      </c>
      <c r="B385" s="2" t="s">
        <v>7875</v>
      </c>
      <c r="C385" s="2" t="s">
        <v>11043</v>
      </c>
      <c r="D385" s="2" t="s">
        <v>59</v>
      </c>
      <c r="E385" s="2">
        <v>102</v>
      </c>
      <c r="F385" s="2">
        <v>1929.6</v>
      </c>
      <c r="G385" s="1">
        <v>46117</v>
      </c>
    </row>
    <row r="386" spans="3:6" x14ac:dyDescent="0.25">
      <c r="C386" s="2" t="s">
        <v>11044</v>
      </c>
      <c r="D386" s="2" t="s">
        <v>59</v>
      </c>
      <c r="E386" s="2">
        <v>102</v>
      </c>
      <c r="F386" s="2">
        <v>1985.769</v>
      </c>
    </row>
    <row r="387" spans="3:6" x14ac:dyDescent="0.25">
      <c r="C387" s="2" t="s">
        <v>11045</v>
      </c>
      <c r="D387" s="2" t="s">
        <v>59</v>
      </c>
      <c r="E387" s="2">
        <v>149</v>
      </c>
      <c r="F387" s="2">
        <v>2709.728</v>
      </c>
    </row>
    <row r="388" spans="3:6" x14ac:dyDescent="0.25">
      <c r="C388" s="2" t="s">
        <v>11046</v>
      </c>
      <c r="D388" s="2" t="s">
        <v>59</v>
      </c>
      <c r="E388" s="2">
        <v>102</v>
      </c>
      <c r="F388" s="2">
        <v>1920.449</v>
      </c>
    </row>
    <row r="389" spans="3:6" x14ac:dyDescent="0.25">
      <c r="C389" s="2" t="s">
        <v>11047</v>
      </c>
      <c r="D389" s="2" t="s">
        <v>59</v>
      </c>
      <c r="E389" s="2">
        <v>102</v>
      </c>
      <c r="F389" s="2">
        <v>1873.349</v>
      </c>
    </row>
    <row r="390" spans="3:6" x14ac:dyDescent="0.25">
      <c r="C390" s="2" t="s">
        <v>11048</v>
      </c>
      <c r="D390" s="2" t="s">
        <v>59</v>
      </c>
      <c r="E390" s="2">
        <v>149</v>
      </c>
      <c r="F390" s="2">
        <v>2785.139</v>
      </c>
    </row>
    <row r="391" spans="3:6" x14ac:dyDescent="0.25">
      <c r="C391" s="2" t="s">
        <v>11049</v>
      </c>
      <c r="D391" s="2" t="s">
        <v>59</v>
      </c>
      <c r="E391" s="2">
        <v>149</v>
      </c>
      <c r="F391" s="2">
        <v>2632.149</v>
      </c>
    </row>
    <row r="392" spans="3:6" x14ac:dyDescent="0.25">
      <c r="C392" s="2" t="s">
        <v>11050</v>
      </c>
      <c r="D392" s="2" t="s">
        <v>59</v>
      </c>
      <c r="E392" s="2">
        <v>149</v>
      </c>
      <c r="F392" s="2">
        <v>2496.95</v>
      </c>
    </row>
    <row r="393" spans="3:6" x14ac:dyDescent="0.25">
      <c r="C393" s="2" t="s">
        <v>11051</v>
      </c>
      <c r="D393" s="2" t="s">
        <v>59</v>
      </c>
      <c r="E393" s="2">
        <v>149</v>
      </c>
      <c r="F393" s="2">
        <v>2762.66</v>
      </c>
    </row>
    <row r="394" spans="3:6" x14ac:dyDescent="0.25">
      <c r="C394" s="2" t="s">
        <v>11052</v>
      </c>
      <c r="D394" s="2" t="s">
        <v>59</v>
      </c>
      <c r="E394" s="2">
        <v>149</v>
      </c>
      <c r="F394" s="2">
        <v>2777.839</v>
      </c>
    </row>
    <row r="395" spans="3:6" x14ac:dyDescent="0.25">
      <c r="C395" s="2" t="s">
        <v>11053</v>
      </c>
      <c r="D395" s="2" t="s">
        <v>59</v>
      </c>
      <c r="E395" s="2">
        <v>330</v>
      </c>
      <c r="F395" s="2">
        <v>6225.31</v>
      </c>
    </row>
    <row r="396" spans="3:6" x14ac:dyDescent="0.25">
      <c r="C396" s="2" t="s">
        <v>11054</v>
      </c>
      <c r="D396" s="2" t="s">
        <v>59</v>
      </c>
      <c r="E396" s="2">
        <v>242</v>
      </c>
      <c r="F396" s="2">
        <v>4544.817</v>
      </c>
    </row>
    <row r="397" spans="3:6" x14ac:dyDescent="0.25">
      <c r="C397" s="2" t="s">
        <v>11055</v>
      </c>
      <c r="D397" s="2" t="s">
        <v>59</v>
      </c>
      <c r="E397" s="2">
        <v>240</v>
      </c>
      <c r="F397" s="2">
        <v>4595.289</v>
      </c>
    </row>
    <row r="398" spans="3:6" x14ac:dyDescent="0.25">
      <c r="C398" s="2" t="s">
        <v>11056</v>
      </c>
      <c r="D398" s="2" t="s">
        <v>59</v>
      </c>
      <c r="E398" s="2">
        <v>320</v>
      </c>
      <c r="F398" s="2">
        <v>6213.186</v>
      </c>
    </row>
    <row r="399" spans="3:6" x14ac:dyDescent="0.25">
      <c r="C399" s="2" t="s">
        <v>11057</v>
      </c>
      <c r="D399" s="2" t="s">
        <v>59</v>
      </c>
      <c r="E399" s="2">
        <v>198</v>
      </c>
      <c r="F399" s="2">
        <v>3387.374</v>
      </c>
    </row>
    <row r="400" spans="3:6" x14ac:dyDescent="0.25">
      <c r="C400" s="2" t="s">
        <v>11058</v>
      </c>
      <c r="D400" s="2" t="s">
        <v>59</v>
      </c>
      <c r="E400" s="2">
        <v>240</v>
      </c>
      <c r="F400" s="2">
        <v>4689.41</v>
      </c>
    </row>
    <row r="401" spans="3:6" x14ac:dyDescent="0.25">
      <c r="C401" s="2" t="s">
        <v>11059</v>
      </c>
      <c r="D401" s="2" t="s">
        <v>59</v>
      </c>
      <c r="E401" s="2">
        <v>126</v>
      </c>
      <c r="F401" s="2">
        <v>2297.654</v>
      </c>
    </row>
    <row r="402" spans="3:6" x14ac:dyDescent="0.25">
      <c r="C402" s="2" t="s">
        <v>11060</v>
      </c>
      <c r="D402" s="2" t="s">
        <v>59</v>
      </c>
      <c r="E402" s="2">
        <v>365</v>
      </c>
      <c r="F402" s="2">
        <v>6754.098</v>
      </c>
    </row>
    <row r="403" spans="3:6" x14ac:dyDescent="0.25">
      <c r="C403" s="2" t="s">
        <v>11061</v>
      </c>
      <c r="D403" s="2" t="s">
        <v>59</v>
      </c>
      <c r="E403" s="2">
        <v>142</v>
      </c>
      <c r="F403" s="2">
        <v>2391.837</v>
      </c>
    </row>
    <row r="404" spans="3:6" x14ac:dyDescent="0.25">
      <c r="C404" s="2" t="s">
        <v>11062</v>
      </c>
      <c r="D404" s="2" t="s">
        <v>59</v>
      </c>
      <c r="E404" s="2">
        <v>240</v>
      </c>
      <c r="F404" s="2">
        <v>4660.8</v>
      </c>
    </row>
    <row r="405" spans="3:6" x14ac:dyDescent="0.25">
      <c r="C405" s="2" t="s">
        <v>11063</v>
      </c>
      <c r="D405" s="2" t="s">
        <v>59</v>
      </c>
      <c r="E405" s="2">
        <v>190</v>
      </c>
      <c r="F405" s="2">
        <v>3648.29</v>
      </c>
    </row>
    <row r="406" spans="3:6" x14ac:dyDescent="0.25">
      <c r="C406" s="2" t="s">
        <v>11064</v>
      </c>
      <c r="D406" s="2" t="s">
        <v>59</v>
      </c>
      <c r="E406" s="2">
        <v>440</v>
      </c>
      <c r="F406" s="2">
        <v>8199.578</v>
      </c>
    </row>
    <row r="407" spans="3:6" x14ac:dyDescent="0.25">
      <c r="C407" s="2" t="s">
        <v>11065</v>
      </c>
      <c r="D407" s="2" t="s">
        <v>59</v>
      </c>
      <c r="E407" s="2">
        <v>240</v>
      </c>
      <c r="F407" s="2">
        <v>4617.079</v>
      </c>
    </row>
    <row r="409" spans="1:7" x14ac:dyDescent="0.25">
      <c r="A409" s="1">
        <v>46118</v>
      </c>
      <c r="B409" s="2" t="s">
        <v>1012</v>
      </c>
      <c r="C409" s="2" t="s">
        <v>11066</v>
      </c>
      <c r="D409" s="2" t="s">
        <v>82</v>
      </c>
      <c r="E409" s="2">
        <v>121</v>
      </c>
      <c r="F409" s="2">
        <v>2537.83</v>
      </c>
      <c r="G409" s="1">
        <v>46117</v>
      </c>
    </row>
    <row r="410" spans="3:6" x14ac:dyDescent="0.25">
      <c r="C410" s="2" t="s">
        <v>11067</v>
      </c>
      <c r="D410" s="2" t="s">
        <v>82</v>
      </c>
      <c r="E410" s="2">
        <v>121</v>
      </c>
      <c r="F410" s="2">
        <v>2530.68</v>
      </c>
    </row>
    <row r="411" spans="3:6" x14ac:dyDescent="0.25">
      <c r="C411" s="2" t="s">
        <v>11068</v>
      </c>
      <c r="D411" s="2" t="s">
        <v>82</v>
      </c>
      <c r="E411" s="2">
        <v>141</v>
      </c>
      <c r="F411" s="2">
        <v>2951.419</v>
      </c>
    </row>
    <row r="412" spans="3:6" x14ac:dyDescent="0.25">
      <c r="C412" s="2" t="s">
        <v>11069</v>
      </c>
      <c r="D412" s="2" t="s">
        <v>82</v>
      </c>
      <c r="E412" s="2">
        <v>100</v>
      </c>
      <c r="F412" s="2">
        <v>1971.06</v>
      </c>
    </row>
    <row r="413" spans="3:6" x14ac:dyDescent="0.25">
      <c r="C413" s="2" t="s">
        <v>11070</v>
      </c>
      <c r="D413" s="2" t="s">
        <v>82</v>
      </c>
      <c r="E413" s="2">
        <v>100</v>
      </c>
      <c r="F413" s="2">
        <v>2045.44</v>
      </c>
    </row>
    <row r="414" spans="3:6" x14ac:dyDescent="0.25">
      <c r="C414" s="2" t="s">
        <v>11071</v>
      </c>
      <c r="D414" s="2" t="s">
        <v>82</v>
      </c>
      <c r="E414" s="2">
        <v>57</v>
      </c>
      <c r="F414" s="2">
        <v>1216.84</v>
      </c>
    </row>
    <row r="415" spans="3:6" x14ac:dyDescent="0.25">
      <c r="C415" s="2" t="s">
        <v>11072</v>
      </c>
      <c r="D415" s="2" t="s">
        <v>82</v>
      </c>
      <c r="E415" s="2">
        <v>43</v>
      </c>
      <c r="F415" s="2">
        <v>839.46</v>
      </c>
    </row>
    <row r="416" spans="3:6" x14ac:dyDescent="0.25">
      <c r="C416" s="2" t="s">
        <v>11073</v>
      </c>
      <c r="D416" s="2" t="s">
        <v>82</v>
      </c>
      <c r="E416" s="2">
        <v>36</v>
      </c>
      <c r="F416" s="2">
        <v>721.29</v>
      </c>
    </row>
    <row r="417" spans="3:6" x14ac:dyDescent="0.25">
      <c r="C417" s="2" t="s">
        <v>11074</v>
      </c>
      <c r="D417" s="2" t="s">
        <v>82</v>
      </c>
      <c r="E417" s="2">
        <v>105</v>
      </c>
      <c r="F417" s="2">
        <v>2119.7</v>
      </c>
    </row>
    <row r="418" spans="3:6" x14ac:dyDescent="0.25">
      <c r="C418" s="2" t="s">
        <v>11075</v>
      </c>
      <c r="D418" s="2" t="s">
        <v>82</v>
      </c>
      <c r="E418" s="2">
        <v>100</v>
      </c>
      <c r="F418" s="2">
        <v>2059.94</v>
      </c>
    </row>
    <row r="419" spans="3:6" x14ac:dyDescent="0.25">
      <c r="C419" s="2" t="s">
        <v>11076</v>
      </c>
      <c r="D419" s="2" t="s">
        <v>82</v>
      </c>
      <c r="E419" s="2">
        <v>100</v>
      </c>
      <c r="F419" s="2">
        <v>2038.63</v>
      </c>
    </row>
    <row r="420" spans="3:6" x14ac:dyDescent="0.25">
      <c r="C420" s="2" t="s">
        <v>11077</v>
      </c>
      <c r="D420" s="2" t="s">
        <v>82</v>
      </c>
      <c r="E420" s="2">
        <v>40</v>
      </c>
      <c r="F420" s="2">
        <v>763.539</v>
      </c>
    </row>
    <row r="421" spans="3:6" x14ac:dyDescent="0.25">
      <c r="C421" s="2" t="s">
        <v>11078</v>
      </c>
      <c r="D421" s="2" t="s">
        <v>82</v>
      </c>
      <c r="E421" s="2">
        <v>59</v>
      </c>
      <c r="F421" s="2">
        <v>1145.06</v>
      </c>
    </row>
    <row r="422" spans="3:6" x14ac:dyDescent="0.25">
      <c r="C422" s="2" t="s">
        <v>11079</v>
      </c>
      <c r="D422" s="2" t="s">
        <v>82</v>
      </c>
      <c r="E422" s="2">
        <v>42</v>
      </c>
      <c r="F422" s="2">
        <v>893.83</v>
      </c>
    </row>
    <row r="423" spans="3:6" x14ac:dyDescent="0.25">
      <c r="C423" s="2" t="s">
        <v>11080</v>
      </c>
      <c r="D423" s="2" t="s">
        <v>82</v>
      </c>
      <c r="E423" s="2">
        <v>119</v>
      </c>
      <c r="F423" s="2">
        <v>2491.81</v>
      </c>
    </row>
    <row r="424" spans="3:6" x14ac:dyDescent="0.25">
      <c r="C424" s="2" t="s">
        <v>11081</v>
      </c>
      <c r="D424" s="2" t="s">
        <v>82</v>
      </c>
      <c r="E424" s="2">
        <v>21</v>
      </c>
      <c r="F424" s="2">
        <v>367.89</v>
      </c>
    </row>
    <row r="425" spans="3:6" x14ac:dyDescent="0.25">
      <c r="C425" s="2" t="s">
        <v>11082</v>
      </c>
      <c r="D425" s="2" t="s">
        <v>82</v>
      </c>
      <c r="E425" s="2">
        <v>85</v>
      </c>
      <c r="F425" s="2">
        <v>1744.6</v>
      </c>
    </row>
    <row r="426" spans="3:6" x14ac:dyDescent="0.25">
      <c r="C426" s="2" t="s">
        <v>11083</v>
      </c>
      <c r="D426" s="2" t="s">
        <v>82</v>
      </c>
      <c r="E426" s="2">
        <v>56</v>
      </c>
      <c r="F426" s="2">
        <v>1186.66</v>
      </c>
    </row>
    <row r="427" spans="3:6" x14ac:dyDescent="0.25">
      <c r="C427" s="2" t="s">
        <v>11084</v>
      </c>
      <c r="D427" s="2" t="s">
        <v>82</v>
      </c>
      <c r="E427" s="2">
        <v>141</v>
      </c>
      <c r="F427" s="2">
        <v>2813.32</v>
      </c>
    </row>
    <row r="428" spans="3:6" x14ac:dyDescent="0.25">
      <c r="C428" s="2" t="s">
        <v>11085</v>
      </c>
      <c r="D428" s="2" t="s">
        <v>82</v>
      </c>
      <c r="E428" s="2">
        <v>18</v>
      </c>
      <c r="F428" s="2">
        <v>352.85</v>
      </c>
    </row>
    <row r="429" spans="3:6" x14ac:dyDescent="0.25">
      <c r="C429" s="2" t="s">
        <v>11086</v>
      </c>
      <c r="D429" s="2" t="s">
        <v>82</v>
      </c>
      <c r="E429" s="2">
        <v>8</v>
      </c>
      <c r="F429" s="2">
        <v>154.35</v>
      </c>
    </row>
    <row r="430" spans="3:6" x14ac:dyDescent="0.25">
      <c r="C430" s="2" t="s">
        <v>11087</v>
      </c>
      <c r="D430" s="2" t="s">
        <v>82</v>
      </c>
      <c r="E430" s="2">
        <v>15</v>
      </c>
      <c r="F430" s="2">
        <v>281.06</v>
      </c>
    </row>
    <row r="431" spans="3:6" x14ac:dyDescent="0.25">
      <c r="C431" s="2" t="s">
        <v>11088</v>
      </c>
      <c r="D431" s="2" t="s">
        <v>82</v>
      </c>
      <c r="E431" s="2">
        <v>40</v>
      </c>
      <c r="F431" s="2">
        <v>832.55</v>
      </c>
    </row>
    <row r="432" spans="3:6" x14ac:dyDescent="0.25">
      <c r="C432" s="2" t="s">
        <v>11089</v>
      </c>
      <c r="D432" s="2" t="s">
        <v>82</v>
      </c>
      <c r="E432" s="2">
        <v>46</v>
      </c>
      <c r="F432" s="2">
        <v>952.87</v>
      </c>
    </row>
    <row r="433" spans="3:6" x14ac:dyDescent="0.25">
      <c r="C433" s="2" t="s">
        <v>11090</v>
      </c>
      <c r="D433" s="2" t="s">
        <v>82</v>
      </c>
      <c r="E433" s="2">
        <v>14</v>
      </c>
      <c r="F433" s="2">
        <v>283.63</v>
      </c>
    </row>
    <row r="434" spans="3:6" x14ac:dyDescent="0.25">
      <c r="C434" s="2" t="s">
        <v>11091</v>
      </c>
      <c r="D434" s="2" t="s">
        <v>82</v>
      </c>
      <c r="E434" s="2">
        <v>37</v>
      </c>
      <c r="F434" s="2">
        <v>751.62</v>
      </c>
    </row>
    <row r="435" spans="3:6" x14ac:dyDescent="0.25">
      <c r="C435" s="2" t="s">
        <v>11092</v>
      </c>
      <c r="D435" s="2" t="s">
        <v>82</v>
      </c>
      <c r="E435" s="2">
        <v>104</v>
      </c>
      <c r="F435" s="2">
        <v>2115.2</v>
      </c>
    </row>
    <row r="436" spans="3:6" x14ac:dyDescent="0.25">
      <c r="C436" s="2" t="s">
        <v>11093</v>
      </c>
      <c r="D436" s="2" t="s">
        <v>82</v>
      </c>
      <c r="E436" s="2">
        <v>84</v>
      </c>
      <c r="F436" s="2">
        <v>1690.52</v>
      </c>
    </row>
    <row r="437" spans="3:6" x14ac:dyDescent="0.25">
      <c r="C437" s="2" t="s">
        <v>11094</v>
      </c>
      <c r="D437" s="2" t="s">
        <v>82</v>
      </c>
      <c r="E437" s="2">
        <v>57</v>
      </c>
      <c r="F437" s="2">
        <v>1164.66</v>
      </c>
    </row>
    <row r="439" spans="1:7" x14ac:dyDescent="0.25">
      <c r="A439" s="1">
        <v>46118</v>
      </c>
      <c r="B439" s="2" t="s">
        <v>7</v>
      </c>
      <c r="C439" s="2" t="s">
        <v>11095</v>
      </c>
      <c r="D439" s="2" t="s">
        <v>9</v>
      </c>
      <c r="E439" s="2">
        <v>99</v>
      </c>
      <c r="F439" s="2">
        <v>1805.388</v>
      </c>
      <c r="G439" s="1">
        <v>46117</v>
      </c>
    </row>
    <row r="440" spans="3:6" x14ac:dyDescent="0.25">
      <c r="C440" s="2" t="s">
        <v>11096</v>
      </c>
      <c r="D440" s="2" t="s">
        <v>9</v>
      </c>
      <c r="E440" s="2">
        <v>99</v>
      </c>
      <c r="F440" s="2">
        <v>1715.362</v>
      </c>
    </row>
    <row r="442" spans="1:7" x14ac:dyDescent="0.25">
      <c r="A442" s="1">
        <v>46118</v>
      </c>
      <c r="B442" s="2" t="s">
        <v>11097</v>
      </c>
      <c r="C442" s="2" t="s">
        <v>11098</v>
      </c>
      <c r="D442" s="2" t="s">
        <v>82</v>
      </c>
      <c r="E442" s="2">
        <v>73</v>
      </c>
      <c r="F442" s="2">
        <v>1995.344</v>
      </c>
      <c r="G442" s="1">
        <v>46117</v>
      </c>
    </row>
    <row r="443" spans="3:6" x14ac:dyDescent="0.25">
      <c r="C443" s="2" t="s">
        <v>11099</v>
      </c>
      <c r="D443" s="2" t="s">
        <v>82</v>
      </c>
      <c r="E443" s="2">
        <v>73</v>
      </c>
      <c r="F443" s="2">
        <v>1940.578</v>
      </c>
    </row>
    <row r="444" spans="3:6" x14ac:dyDescent="0.25">
      <c r="C444" s="2" t="s">
        <v>11100</v>
      </c>
      <c r="D444" s="2" t="s">
        <v>82</v>
      </c>
      <c r="E444" s="2">
        <v>73</v>
      </c>
      <c r="F444" s="2">
        <v>1593.854</v>
      </c>
    </row>
    <row r="445" spans="3:6" x14ac:dyDescent="0.25">
      <c r="C445" s="2" t="s">
        <v>11101</v>
      </c>
      <c r="D445" s="2" t="s">
        <v>82</v>
      </c>
      <c r="E445" s="2">
        <v>73</v>
      </c>
      <c r="F445" s="2">
        <v>1414.689</v>
      </c>
    </row>
    <row r="446" spans="3:6" x14ac:dyDescent="0.25">
      <c r="C446" s="2" t="s">
        <v>11102</v>
      </c>
      <c r="D446" s="2" t="s">
        <v>82</v>
      </c>
      <c r="E446" s="2">
        <v>70</v>
      </c>
      <c r="F446" s="2">
        <v>1430.9</v>
      </c>
    </row>
    <row r="447" spans="3:6" x14ac:dyDescent="0.25">
      <c r="C447" s="2" t="s">
        <v>11103</v>
      </c>
      <c r="D447" s="2" t="s">
        <v>82</v>
      </c>
      <c r="E447" s="2">
        <v>40</v>
      </c>
      <c r="F447" s="2">
        <v>839.02</v>
      </c>
    </row>
    <row r="448" spans="3:6" x14ac:dyDescent="0.25">
      <c r="C448" s="2" t="s">
        <v>11104</v>
      </c>
      <c r="D448" s="2" t="s">
        <v>82</v>
      </c>
      <c r="E448" s="2">
        <v>24</v>
      </c>
      <c r="F448" s="2">
        <v>500.22</v>
      </c>
    </row>
    <row r="449" spans="3:6" x14ac:dyDescent="0.25">
      <c r="C449" s="2" t="s">
        <v>11105</v>
      </c>
      <c r="D449" s="2" t="s">
        <v>82</v>
      </c>
      <c r="E449" s="2">
        <v>104</v>
      </c>
      <c r="F449" s="2">
        <v>2030.869</v>
      </c>
    </row>
    <row r="450" spans="3:6" x14ac:dyDescent="0.25">
      <c r="C450" s="2" t="s">
        <v>11106</v>
      </c>
      <c r="D450" s="2" t="s">
        <v>82</v>
      </c>
      <c r="E450" s="2">
        <v>83</v>
      </c>
      <c r="F450" s="2">
        <v>1776.86</v>
      </c>
    </row>
    <row r="451" spans="3:6" x14ac:dyDescent="0.25">
      <c r="C451" s="2" t="s">
        <v>11107</v>
      </c>
      <c r="D451" s="2" t="s">
        <v>82</v>
      </c>
      <c r="E451" s="2">
        <v>97</v>
      </c>
      <c r="F451" s="2">
        <v>2050.569</v>
      </c>
    </row>
    <row r="452" spans="3:6" x14ac:dyDescent="0.25">
      <c r="C452" s="2" t="s">
        <v>11108</v>
      </c>
      <c r="D452" s="2" t="s">
        <v>82</v>
      </c>
      <c r="E452" s="2">
        <v>123</v>
      </c>
      <c r="F452" s="2">
        <v>1851.848</v>
      </c>
    </row>
    <row r="453" spans="3:6" x14ac:dyDescent="0.25">
      <c r="C453" s="2" t="s">
        <v>11109</v>
      </c>
      <c r="D453" s="2" t="s">
        <v>82</v>
      </c>
      <c r="E453" s="2">
        <v>43</v>
      </c>
      <c r="F453" s="2">
        <v>854.62</v>
      </c>
    </row>
    <row r="454" spans="3:6" x14ac:dyDescent="0.25">
      <c r="C454" s="2" t="s">
        <v>11110</v>
      </c>
      <c r="D454" s="2" t="s">
        <v>82</v>
      </c>
      <c r="E454" s="2">
        <v>38</v>
      </c>
      <c r="F454" s="2">
        <v>779.81</v>
      </c>
    </row>
    <row r="455" spans="3:6" x14ac:dyDescent="0.25">
      <c r="C455" s="2" t="s">
        <v>11111</v>
      </c>
      <c r="D455" s="2" t="s">
        <v>82</v>
      </c>
      <c r="E455" s="2">
        <v>30</v>
      </c>
      <c r="F455" s="2">
        <v>624.71</v>
      </c>
    </row>
    <row r="456" spans="3:6" x14ac:dyDescent="0.25">
      <c r="C456" s="2" t="s">
        <v>11112</v>
      </c>
      <c r="D456" s="2" t="s">
        <v>82</v>
      </c>
      <c r="E456" s="2">
        <v>30</v>
      </c>
      <c r="F456" s="2">
        <v>614.62</v>
      </c>
    </row>
    <row r="457" spans="3:6" x14ac:dyDescent="0.25">
      <c r="C457" s="2" t="s">
        <v>11113</v>
      </c>
      <c r="D457" s="2" t="s">
        <v>82</v>
      </c>
      <c r="E457" s="2">
        <v>39</v>
      </c>
      <c r="F457" s="2">
        <v>772.25</v>
      </c>
    </row>
    <row r="458" spans="3:6" x14ac:dyDescent="0.25">
      <c r="C458" s="2" t="s">
        <v>11114</v>
      </c>
      <c r="D458" s="2" t="s">
        <v>82</v>
      </c>
      <c r="E458" s="2">
        <v>36</v>
      </c>
      <c r="F458" s="2">
        <v>753.07</v>
      </c>
    </row>
    <row r="459" spans="3:6" x14ac:dyDescent="0.25">
      <c r="C459" s="2" t="s">
        <v>11115</v>
      </c>
      <c r="D459" s="2" t="s">
        <v>82</v>
      </c>
      <c r="E459" s="2">
        <v>66</v>
      </c>
      <c r="F459" s="2">
        <v>1366.64</v>
      </c>
    </row>
    <row r="460" spans="3:6" x14ac:dyDescent="0.25">
      <c r="C460" s="2" t="s">
        <v>11116</v>
      </c>
      <c r="D460" s="2" t="s">
        <v>82</v>
      </c>
      <c r="E460" s="2">
        <v>63</v>
      </c>
      <c r="F460" s="2">
        <v>1285.77</v>
      </c>
    </row>
    <row r="461" spans="3:6" x14ac:dyDescent="0.25">
      <c r="C461" s="2" t="s">
        <v>11117</v>
      </c>
      <c r="D461" s="2" t="s">
        <v>82</v>
      </c>
      <c r="E461" s="2">
        <v>36</v>
      </c>
      <c r="F461" s="2">
        <v>715.82</v>
      </c>
    </row>
    <row r="462" spans="3:6" x14ac:dyDescent="0.25">
      <c r="C462" s="2" t="s">
        <v>11118</v>
      </c>
      <c r="D462" s="2" t="s">
        <v>82</v>
      </c>
      <c r="E462" s="2">
        <v>42</v>
      </c>
      <c r="F462" s="2">
        <v>832.72</v>
      </c>
    </row>
    <row r="463" spans="3:6" x14ac:dyDescent="0.25">
      <c r="C463" s="2" t="s">
        <v>11119</v>
      </c>
      <c r="D463" s="2" t="s">
        <v>82</v>
      </c>
      <c r="E463" s="2">
        <v>96</v>
      </c>
      <c r="F463" s="2">
        <v>1949.44</v>
      </c>
    </row>
    <row r="464" spans="3:6" x14ac:dyDescent="0.25">
      <c r="C464" s="2" t="s">
        <v>11120</v>
      </c>
      <c r="D464" s="2" t="s">
        <v>82</v>
      </c>
      <c r="E464" s="2">
        <v>46</v>
      </c>
      <c r="F464" s="2">
        <v>914.01</v>
      </c>
    </row>
    <row r="465" spans="3:6" x14ac:dyDescent="0.25">
      <c r="C465" s="2" t="s">
        <v>11121</v>
      </c>
      <c r="D465" s="2" t="s">
        <v>82</v>
      </c>
      <c r="E465" s="2">
        <v>60</v>
      </c>
      <c r="F465" s="2">
        <v>626.618</v>
      </c>
    </row>
    <row r="466" spans="3:6" x14ac:dyDescent="0.25">
      <c r="C466" s="2" t="s">
        <v>11122</v>
      </c>
      <c r="D466" s="2" t="s">
        <v>82</v>
      </c>
      <c r="E466" s="2">
        <v>60</v>
      </c>
      <c r="F466" s="2">
        <v>1148.03</v>
      </c>
    </row>
    <row r="467" spans="3:6" x14ac:dyDescent="0.25">
      <c r="C467" s="2" t="s">
        <v>11123</v>
      </c>
      <c r="D467" s="2" t="s">
        <v>82</v>
      </c>
      <c r="E467" s="2">
        <v>103</v>
      </c>
      <c r="F467" s="2">
        <v>2028.77</v>
      </c>
    </row>
    <row r="468" spans="3:6" x14ac:dyDescent="0.25">
      <c r="C468" s="2" t="s">
        <v>11124</v>
      </c>
      <c r="D468" s="2" t="s">
        <v>82</v>
      </c>
      <c r="E468" s="2">
        <v>38</v>
      </c>
      <c r="F468" s="2">
        <v>758.45</v>
      </c>
    </row>
    <row r="469" spans="3:6" x14ac:dyDescent="0.25">
      <c r="C469" s="2" t="s">
        <v>11125</v>
      </c>
      <c r="D469" s="2" t="s">
        <v>82</v>
      </c>
      <c r="E469" s="2">
        <v>74</v>
      </c>
      <c r="F469" s="2">
        <v>1486.4</v>
      </c>
    </row>
    <row r="470" spans="3:6" x14ac:dyDescent="0.25">
      <c r="C470" s="2" t="s">
        <v>11126</v>
      </c>
      <c r="D470" s="2" t="s">
        <v>82</v>
      </c>
      <c r="E470" s="2">
        <v>67</v>
      </c>
      <c r="F470" s="2">
        <v>1282.37</v>
      </c>
    </row>
    <row r="471" spans="3:6" x14ac:dyDescent="0.25">
      <c r="C471" s="2" t="s">
        <v>11127</v>
      </c>
      <c r="D471" s="2" t="s">
        <v>82</v>
      </c>
      <c r="E471" s="2">
        <v>141</v>
      </c>
      <c r="F471" s="2">
        <v>2789.89</v>
      </c>
    </row>
    <row r="472" spans="3:6" x14ac:dyDescent="0.25">
      <c r="C472" s="2" t="s">
        <v>11128</v>
      </c>
      <c r="D472" s="2" t="s">
        <v>82</v>
      </c>
      <c r="E472" s="2">
        <v>141</v>
      </c>
      <c r="F472" s="2">
        <v>2839.11</v>
      </c>
    </row>
    <row r="473" spans="3:6" x14ac:dyDescent="0.25">
      <c r="C473" s="2" t="s">
        <v>11129</v>
      </c>
      <c r="D473" s="2" t="s">
        <v>82</v>
      </c>
      <c r="E473" s="2">
        <v>133</v>
      </c>
      <c r="F473" s="2">
        <v>2598.57</v>
      </c>
    </row>
    <row r="474" spans="3:6" x14ac:dyDescent="0.25">
      <c r="C474" s="2" t="s">
        <v>11130</v>
      </c>
      <c r="D474" s="2" t="s">
        <v>82</v>
      </c>
      <c r="E474" s="2">
        <v>141</v>
      </c>
      <c r="F474" s="2">
        <v>2822.949</v>
      </c>
    </row>
    <row r="475" spans="3:6" x14ac:dyDescent="0.25">
      <c r="C475" s="2" t="s">
        <v>11131</v>
      </c>
      <c r="D475" s="2" t="s">
        <v>82</v>
      </c>
      <c r="E475" s="2">
        <v>42</v>
      </c>
      <c r="F475" s="2">
        <v>859.86</v>
      </c>
    </row>
    <row r="476" spans="3:6" x14ac:dyDescent="0.25">
      <c r="C476" s="2" t="s">
        <v>11132</v>
      </c>
      <c r="D476" s="2" t="s">
        <v>82</v>
      </c>
      <c r="E476" s="2">
        <v>99</v>
      </c>
      <c r="F476" s="2">
        <v>1993.24</v>
      </c>
    </row>
    <row r="477" spans="3:6" x14ac:dyDescent="0.25">
      <c r="C477" s="2" t="s">
        <v>11133</v>
      </c>
      <c r="D477" s="2" t="s">
        <v>82</v>
      </c>
      <c r="E477" s="2">
        <f>96+5</f>
        <v>101</v>
      </c>
      <c r="F477" s="2">
        <f>1918.569+98.3</f>
        <v>2016.869</v>
      </c>
    </row>
    <row r="478" spans="3:6" x14ac:dyDescent="0.25">
      <c r="C478" s="2" t="s">
        <v>11134</v>
      </c>
      <c r="D478" s="2" t="s">
        <v>82</v>
      </c>
      <c r="E478" s="2">
        <v>40</v>
      </c>
      <c r="F478" s="2">
        <v>821.08</v>
      </c>
    </row>
    <row r="479" spans="3:6" x14ac:dyDescent="0.25">
      <c r="C479" s="2" t="s">
        <v>11135</v>
      </c>
      <c r="D479" s="2" t="s">
        <v>82</v>
      </c>
      <c r="E479" s="2">
        <v>100</v>
      </c>
      <c r="F479" s="2">
        <v>1874.19</v>
      </c>
    </row>
    <row r="480" spans="3:6" x14ac:dyDescent="0.25">
      <c r="C480" s="2" t="s">
        <v>11136</v>
      </c>
      <c r="D480" s="2" t="s">
        <v>82</v>
      </c>
      <c r="E480" s="2">
        <v>41</v>
      </c>
      <c r="F480" s="2">
        <v>823.91</v>
      </c>
    </row>
    <row r="481" spans="3:6" x14ac:dyDescent="0.25">
      <c r="C481" s="2" t="s">
        <v>11137</v>
      </c>
      <c r="D481" s="2" t="s">
        <v>82</v>
      </c>
      <c r="E481" s="2">
        <v>68</v>
      </c>
      <c r="F481" s="2">
        <v>1341.299</v>
      </c>
    </row>
    <row r="482" spans="3:6" x14ac:dyDescent="0.25">
      <c r="C482" s="2" t="s">
        <v>11138</v>
      </c>
      <c r="D482" s="2" t="s">
        <v>82</v>
      </c>
      <c r="E482" s="2">
        <v>34</v>
      </c>
      <c r="F482" s="2">
        <v>703.82</v>
      </c>
    </row>
    <row r="483" spans="3:6" x14ac:dyDescent="0.25">
      <c r="C483" s="2" t="s">
        <v>11139</v>
      </c>
      <c r="D483" s="2" t="s">
        <v>82</v>
      </c>
      <c r="E483" s="2">
        <v>102</v>
      </c>
      <c r="F483" s="2">
        <v>1945.87</v>
      </c>
    </row>
    <row r="484" spans="3:6" x14ac:dyDescent="0.25">
      <c r="C484" s="2" t="s">
        <v>11140</v>
      </c>
      <c r="D484" s="2" t="s">
        <v>82</v>
      </c>
      <c r="E484" s="2">
        <v>103</v>
      </c>
      <c r="F484" s="2">
        <v>1937.52</v>
      </c>
    </row>
    <row r="485" spans="3:6" x14ac:dyDescent="0.25">
      <c r="C485" s="2" t="s">
        <v>11141</v>
      </c>
      <c r="D485" s="2" t="s">
        <v>82</v>
      </c>
      <c r="E485" s="2">
        <v>102</v>
      </c>
      <c r="F485" s="2">
        <v>2119.07</v>
      </c>
    </row>
    <row r="486" spans="3:6" x14ac:dyDescent="0.25">
      <c r="C486" s="2" t="s">
        <v>11142</v>
      </c>
      <c r="D486" s="2" t="s">
        <v>82</v>
      </c>
      <c r="E486" s="2">
        <v>102</v>
      </c>
      <c r="F486" s="2">
        <v>2010.31</v>
      </c>
    </row>
    <row r="487" spans="3:6" x14ac:dyDescent="0.25">
      <c r="C487" s="2" t="s">
        <v>11143</v>
      </c>
      <c r="D487" s="2" t="s">
        <v>82</v>
      </c>
      <c r="E487" s="2">
        <v>30</v>
      </c>
      <c r="F487" s="2">
        <v>563.01</v>
      </c>
    </row>
    <row r="488" spans="3:6" x14ac:dyDescent="0.25">
      <c r="C488" s="2" t="s">
        <v>11144</v>
      </c>
      <c r="D488" s="2" t="s">
        <v>82</v>
      </c>
      <c r="E488" s="2">
        <v>20</v>
      </c>
      <c r="F488" s="2">
        <v>390.33</v>
      </c>
    </row>
    <row r="489" spans="3:6" x14ac:dyDescent="0.25">
      <c r="C489" s="2" t="s">
        <v>11145</v>
      </c>
      <c r="D489" s="2" t="s">
        <v>82</v>
      </c>
      <c r="E489" s="2">
        <v>52</v>
      </c>
      <c r="F489" s="2">
        <v>1117.179</v>
      </c>
    </row>
    <row r="490" spans="3:6" x14ac:dyDescent="0.25">
      <c r="C490" s="2" t="s">
        <v>11146</v>
      </c>
      <c r="D490" s="2" t="s">
        <v>82</v>
      </c>
      <c r="E490" s="2">
        <v>15</v>
      </c>
      <c r="F490" s="2">
        <v>286.31</v>
      </c>
    </row>
    <row r="491" spans="3:6" x14ac:dyDescent="0.25">
      <c r="C491" s="2" t="s">
        <v>11147</v>
      </c>
      <c r="D491" s="2" t="s">
        <v>82</v>
      </c>
      <c r="E491" s="2">
        <v>45</v>
      </c>
      <c r="F491" s="2">
        <v>854.76</v>
      </c>
    </row>
    <row r="492" spans="3:6" x14ac:dyDescent="0.25">
      <c r="C492" s="2" t="s">
        <v>11148</v>
      </c>
      <c r="D492" s="2" t="s">
        <v>82</v>
      </c>
      <c r="E492" s="2">
        <v>27</v>
      </c>
      <c r="F492" s="2">
        <v>579.13</v>
      </c>
    </row>
    <row r="493" spans="3:6" x14ac:dyDescent="0.25">
      <c r="C493" s="2" t="s">
        <v>11149</v>
      </c>
      <c r="D493" s="2" t="s">
        <v>82</v>
      </c>
      <c r="E493" s="2">
        <v>15</v>
      </c>
      <c r="F493" s="2">
        <v>290.2</v>
      </c>
    </row>
    <row r="494" spans="3:6" x14ac:dyDescent="0.25">
      <c r="C494" s="2" t="s">
        <v>11150</v>
      </c>
      <c r="D494" s="2" t="s">
        <v>82</v>
      </c>
      <c r="E494" s="2">
        <v>65</v>
      </c>
      <c r="F494" s="2">
        <v>1318.45</v>
      </c>
    </row>
    <row r="495" spans="3:6" x14ac:dyDescent="0.25">
      <c r="C495" s="2" t="s">
        <v>11151</v>
      </c>
      <c r="D495" s="2" t="s">
        <v>82</v>
      </c>
      <c r="E495" s="2">
        <v>10</v>
      </c>
      <c r="F495" s="2">
        <v>201.9</v>
      </c>
    </row>
    <row r="496" spans="3:6" x14ac:dyDescent="0.25">
      <c r="C496" s="2" t="s">
        <v>11152</v>
      </c>
      <c r="D496" s="2" t="s">
        <v>82</v>
      </c>
      <c r="E496" s="2">
        <v>150</v>
      </c>
      <c r="F496" s="2">
        <v>633.65</v>
      </c>
    </row>
    <row r="498" spans="1:7" x14ac:dyDescent="0.25">
      <c r="A498" s="1">
        <v>46118</v>
      </c>
      <c r="B498" s="2" t="s">
        <v>176</v>
      </c>
      <c r="C498" s="2" t="s">
        <v>11153</v>
      </c>
      <c r="D498" s="2" t="s">
        <v>178</v>
      </c>
      <c r="E498" s="2">
        <v>70</v>
      </c>
      <c r="F498" s="2">
        <v>1329.71</v>
      </c>
      <c r="G498" s="1">
        <v>46117</v>
      </c>
    </row>
    <row r="499" spans="3:6" x14ac:dyDescent="0.25">
      <c r="C499" s="2" t="s">
        <v>11154</v>
      </c>
      <c r="D499" s="2" t="s">
        <v>178</v>
      </c>
      <c r="E499" s="2">
        <v>204</v>
      </c>
      <c r="F499" s="2">
        <v>4133.329</v>
      </c>
    </row>
    <row r="500" spans="3:6" x14ac:dyDescent="0.25">
      <c r="C500" s="2" t="s">
        <v>11155</v>
      </c>
      <c r="D500" s="2" t="s">
        <v>178</v>
      </c>
      <c r="E500" s="2">
        <v>246</v>
      </c>
      <c r="F500" s="2">
        <v>4889.119</v>
      </c>
    </row>
    <row r="501" spans="3:6" x14ac:dyDescent="0.25">
      <c r="C501" s="2" t="s">
        <v>11156</v>
      </c>
      <c r="D501" s="2" t="s">
        <v>178</v>
      </c>
      <c r="E501" s="2">
        <v>246</v>
      </c>
      <c r="F501" s="2">
        <v>5049.618</v>
      </c>
    </row>
    <row r="502" spans="3:6" x14ac:dyDescent="0.25">
      <c r="C502" s="2" t="s">
        <v>11157</v>
      </c>
      <c r="D502" s="2" t="s">
        <v>178</v>
      </c>
      <c r="E502" s="2">
        <v>282</v>
      </c>
      <c r="F502" s="2">
        <v>5764.17</v>
      </c>
    </row>
    <row r="503" spans="3:6" x14ac:dyDescent="0.25">
      <c r="C503" s="2" t="s">
        <v>11158</v>
      </c>
      <c r="D503" s="2" t="s">
        <v>178</v>
      </c>
      <c r="E503" s="2">
        <v>282</v>
      </c>
      <c r="F503" s="2">
        <v>5618.299</v>
      </c>
    </row>
    <row r="504" spans="3:6" x14ac:dyDescent="0.25">
      <c r="C504" s="2" t="s">
        <v>11159</v>
      </c>
      <c r="D504" s="2" t="s">
        <v>178</v>
      </c>
      <c r="E504" s="2">
        <v>236</v>
      </c>
      <c r="F504" s="2">
        <v>4809.19</v>
      </c>
    </row>
    <row r="505" spans="3:6" x14ac:dyDescent="0.25">
      <c r="C505" s="2" t="s">
        <v>11160</v>
      </c>
      <c r="D505" s="2" t="s">
        <v>178</v>
      </c>
      <c r="E505" s="2">
        <v>141</v>
      </c>
      <c r="F505" s="2">
        <v>2971.57</v>
      </c>
    </row>
    <row r="506" spans="3:6" x14ac:dyDescent="0.25">
      <c r="C506" s="2" t="s">
        <v>11161</v>
      </c>
      <c r="D506" s="2" t="s">
        <v>178</v>
      </c>
      <c r="E506" s="2">
        <v>204</v>
      </c>
      <c r="F506" s="2">
        <v>4066.18</v>
      </c>
    </row>
    <row r="507" spans="3:6" x14ac:dyDescent="0.25">
      <c r="C507" s="2" t="s">
        <v>11162</v>
      </c>
      <c r="D507" s="2" t="s">
        <v>178</v>
      </c>
      <c r="E507" s="2">
        <v>72</v>
      </c>
      <c r="F507" s="2">
        <v>1262.63</v>
      </c>
    </row>
    <row r="508" spans="3:6" x14ac:dyDescent="0.25">
      <c r="C508" s="2" t="s">
        <v>11163</v>
      </c>
      <c r="D508" s="2" t="s">
        <v>178</v>
      </c>
      <c r="E508" s="2">
        <v>4</v>
      </c>
      <c r="F508" s="2">
        <v>28.11</v>
      </c>
    </row>
    <row r="509" spans="3:6" x14ac:dyDescent="0.25">
      <c r="C509" s="2" t="s">
        <v>11164</v>
      </c>
      <c r="D509" s="2" t="s">
        <v>178</v>
      </c>
      <c r="E509" s="2">
        <v>209</v>
      </c>
      <c r="F509" s="2">
        <v>4242.41</v>
      </c>
    </row>
    <row r="510" spans="3:6" x14ac:dyDescent="0.25">
      <c r="C510" s="2" t="s">
        <v>11165</v>
      </c>
      <c r="D510" s="2" t="s">
        <v>178</v>
      </c>
      <c r="E510" s="2">
        <v>73</v>
      </c>
      <c r="F510" s="2">
        <v>1477.93</v>
      </c>
    </row>
    <row r="511" spans="3:6" x14ac:dyDescent="0.25">
      <c r="C511" s="2" t="s">
        <v>11166</v>
      </c>
      <c r="D511" s="2" t="s">
        <v>178</v>
      </c>
      <c r="E511" s="2">
        <v>282</v>
      </c>
      <c r="F511" s="2">
        <v>5694.079</v>
      </c>
    </row>
    <row r="512" spans="3:6" x14ac:dyDescent="0.25">
      <c r="C512" s="2" t="s">
        <v>11167</v>
      </c>
      <c r="D512" s="2" t="s">
        <v>178</v>
      </c>
      <c r="E512" s="2">
        <v>205</v>
      </c>
      <c r="F512" s="2">
        <v>4176.849</v>
      </c>
    </row>
    <row r="513" spans="3:6" x14ac:dyDescent="0.25">
      <c r="C513" s="2" t="s">
        <v>11168</v>
      </c>
      <c r="D513" s="2" t="s">
        <v>178</v>
      </c>
      <c r="E513" s="2">
        <v>77</v>
      </c>
      <c r="F513" s="2">
        <v>1665.92</v>
      </c>
    </row>
    <row r="514" spans="3:6" x14ac:dyDescent="0.25">
      <c r="C514" s="2" t="s">
        <v>11169</v>
      </c>
      <c r="D514" s="2" t="s">
        <v>178</v>
      </c>
      <c r="E514" s="2">
        <v>141</v>
      </c>
      <c r="F514" s="2">
        <v>2878.58</v>
      </c>
    </row>
    <row r="515" spans="3:6" x14ac:dyDescent="0.25">
      <c r="C515" s="2" t="s">
        <v>11170</v>
      </c>
      <c r="D515" s="2" t="s">
        <v>178</v>
      </c>
      <c r="E515" s="2">
        <v>104</v>
      </c>
      <c r="F515" s="2">
        <v>1833.439</v>
      </c>
    </row>
    <row r="516" spans="3:6" x14ac:dyDescent="0.25">
      <c r="C516" s="2" t="s">
        <v>11171</v>
      </c>
      <c r="D516" s="2" t="s">
        <v>178</v>
      </c>
      <c r="E516" s="2">
        <v>35</v>
      </c>
      <c r="F516" s="2">
        <v>716.54</v>
      </c>
    </row>
    <row r="517" spans="3:6" x14ac:dyDescent="0.25">
      <c r="C517" s="2" t="s">
        <v>11172</v>
      </c>
      <c r="D517" s="2" t="s">
        <v>178</v>
      </c>
      <c r="E517" s="2">
        <v>102</v>
      </c>
      <c r="F517" s="2">
        <v>2055.529</v>
      </c>
    </row>
    <row r="518" spans="3:6" x14ac:dyDescent="0.25">
      <c r="C518" s="2" t="s">
        <v>11173</v>
      </c>
      <c r="D518" s="2" t="s">
        <v>178</v>
      </c>
      <c r="E518" s="2">
        <v>36</v>
      </c>
      <c r="F518" s="2">
        <v>701.8</v>
      </c>
    </row>
    <row r="519" spans="3:6" x14ac:dyDescent="0.25">
      <c r="C519" s="2" t="s">
        <v>11174</v>
      </c>
      <c r="D519" s="2" t="s">
        <v>178</v>
      </c>
      <c r="E519" s="2">
        <v>105</v>
      </c>
      <c r="F519" s="2">
        <v>2019.199</v>
      </c>
    </row>
    <row r="520" spans="3:6" x14ac:dyDescent="0.25">
      <c r="C520" s="2" t="s">
        <v>11175</v>
      </c>
      <c r="D520" s="2" t="s">
        <v>178</v>
      </c>
      <c r="E520" s="2">
        <v>104</v>
      </c>
      <c r="F520" s="2">
        <v>1997.65</v>
      </c>
    </row>
    <row r="521" spans="3:6" x14ac:dyDescent="0.25">
      <c r="C521" s="2" t="s">
        <v>11176</v>
      </c>
      <c r="D521" s="2" t="s">
        <v>178</v>
      </c>
      <c r="E521" s="2">
        <v>37</v>
      </c>
      <c r="F521" s="2">
        <v>674.2</v>
      </c>
    </row>
    <row r="522" spans="3:6" x14ac:dyDescent="0.25">
      <c r="C522" s="2" t="s">
        <v>11177</v>
      </c>
      <c r="D522" s="2" t="s">
        <v>178</v>
      </c>
      <c r="E522" s="2">
        <v>60</v>
      </c>
      <c r="F522" s="2">
        <v>256.248</v>
      </c>
    </row>
    <row r="523" spans="3:6" x14ac:dyDescent="0.25">
      <c r="C523" s="2" t="s">
        <v>11178</v>
      </c>
      <c r="D523" s="2" t="s">
        <v>178</v>
      </c>
      <c r="E523" s="2">
        <v>60</v>
      </c>
      <c r="F523" s="2">
        <v>256.61</v>
      </c>
    </row>
    <row r="524" spans="3:6" x14ac:dyDescent="0.25">
      <c r="C524" s="2" t="s">
        <v>11179</v>
      </c>
      <c r="D524" s="2" t="s">
        <v>178</v>
      </c>
      <c r="E524" s="2">
        <v>60</v>
      </c>
      <c r="F524" s="2">
        <v>259.279</v>
      </c>
    </row>
    <row r="525" spans="3:6" x14ac:dyDescent="0.25">
      <c r="C525" s="2" t="s">
        <v>11180</v>
      </c>
      <c r="D525" s="2" t="s">
        <v>178</v>
      </c>
      <c r="E525" s="2">
        <v>60</v>
      </c>
      <c r="F525" s="2">
        <v>252.25</v>
      </c>
    </row>
    <row r="527" spans="1:7" x14ac:dyDescent="0.25">
      <c r="A527" s="1">
        <v>46118</v>
      </c>
      <c r="B527" s="2" t="s">
        <v>11181</v>
      </c>
      <c r="C527" s="2" t="s">
        <v>11182</v>
      </c>
      <c r="D527" s="2" t="s">
        <v>11183</v>
      </c>
      <c r="E527" s="2">
        <v>100</v>
      </c>
      <c r="F527" s="2">
        <v>1991.81</v>
      </c>
      <c r="G527" s="1">
        <v>46117</v>
      </c>
    </row>
    <row r="529" spans="1:7" x14ac:dyDescent="0.25">
      <c r="A529" s="1">
        <v>46118</v>
      </c>
      <c r="B529" s="2" t="s">
        <v>10942</v>
      </c>
      <c r="C529" s="2" t="s">
        <v>11184</v>
      </c>
      <c r="D529" s="2" t="s">
        <v>4334</v>
      </c>
      <c r="E529" s="2">
        <v>84</v>
      </c>
      <c r="F529" s="2">
        <v>1389.85</v>
      </c>
      <c r="G529" s="1">
        <v>46117</v>
      </c>
    </row>
    <row r="531" spans="1:7" x14ac:dyDescent="0.25">
      <c r="A531" s="1">
        <v>46118</v>
      </c>
      <c r="B531" s="2" t="s">
        <v>128</v>
      </c>
      <c r="C531" s="2" t="s">
        <v>11185</v>
      </c>
      <c r="D531" s="2" t="s">
        <v>30</v>
      </c>
      <c r="E531" s="2">
        <v>17</v>
      </c>
      <c r="F531" s="2">
        <v>341.039</v>
      </c>
      <c r="G531" s="1">
        <v>46118</v>
      </c>
    </row>
    <row r="532" spans="3:6" x14ac:dyDescent="0.25">
      <c r="C532" s="2" t="s">
        <v>11186</v>
      </c>
      <c r="D532" s="2" t="s">
        <v>36</v>
      </c>
      <c r="E532" s="2">
        <v>35</v>
      </c>
      <c r="F532" s="2">
        <v>615.83</v>
      </c>
    </row>
    <row r="533" spans="3:6" x14ac:dyDescent="0.25">
      <c r="C533" s="2" t="s">
        <v>11187</v>
      </c>
      <c r="D533" s="2" t="s">
        <v>36</v>
      </c>
      <c r="E533" s="2">
        <v>12</v>
      </c>
      <c r="F533" s="2">
        <v>222.49</v>
      </c>
    </row>
    <row r="534" spans="3:6" x14ac:dyDescent="0.25">
      <c r="C534" s="2" t="s">
        <v>11188</v>
      </c>
      <c r="D534" s="2" t="s">
        <v>36</v>
      </c>
      <c r="E534" s="2">
        <v>80</v>
      </c>
      <c r="F534" s="2">
        <v>1545.18</v>
      </c>
    </row>
    <row r="535" spans="3:6" x14ac:dyDescent="0.25">
      <c r="C535" s="2" t="s">
        <v>11189</v>
      </c>
      <c r="D535" s="2" t="s">
        <v>36</v>
      </c>
      <c r="E535" s="2">
        <v>29</v>
      </c>
      <c r="F535" s="2">
        <v>551.21</v>
      </c>
    </row>
    <row r="536" spans="3:6" x14ac:dyDescent="0.25">
      <c r="C536" s="2" t="s">
        <v>11190</v>
      </c>
      <c r="D536" s="2" t="s">
        <v>30</v>
      </c>
      <c r="E536" s="2">
        <v>19</v>
      </c>
      <c r="F536" s="2">
        <v>328.53</v>
      </c>
    </row>
    <row r="537" spans="3:6" x14ac:dyDescent="0.25">
      <c r="C537" s="2" t="s">
        <v>11191</v>
      </c>
      <c r="D537" s="2" t="s">
        <v>42</v>
      </c>
      <c r="E537" s="2">
        <v>62</v>
      </c>
      <c r="F537" s="2">
        <v>1140.705</v>
      </c>
    </row>
    <row r="538" spans="3:6" x14ac:dyDescent="0.25">
      <c r="C538" s="2" t="s">
        <v>11192</v>
      </c>
      <c r="D538" s="2" t="s">
        <v>42</v>
      </c>
      <c r="E538" s="2">
        <v>70</v>
      </c>
      <c r="F538" s="2">
        <v>1306.49</v>
      </c>
    </row>
    <row r="539" spans="3:6" x14ac:dyDescent="0.25">
      <c r="C539" s="2" t="s">
        <v>11193</v>
      </c>
      <c r="D539" s="2" t="s">
        <v>42</v>
      </c>
      <c r="E539" s="2">
        <v>24</v>
      </c>
      <c r="F539" s="2">
        <v>483.77</v>
      </c>
    </row>
    <row r="540" spans="3:6" x14ac:dyDescent="0.25">
      <c r="C540" s="2" t="s">
        <v>11194</v>
      </c>
      <c r="D540" s="2" t="s">
        <v>15</v>
      </c>
      <c r="E540" s="2">
        <v>156</v>
      </c>
      <c r="F540" s="2">
        <v>2976.414</v>
      </c>
    </row>
    <row r="541" spans="3:6" x14ac:dyDescent="0.25">
      <c r="C541" s="2" t="s">
        <v>11195</v>
      </c>
      <c r="D541" s="2" t="s">
        <v>15</v>
      </c>
      <c r="E541" s="2">
        <v>87</v>
      </c>
      <c r="F541" s="2">
        <v>1636.88</v>
      </c>
    </row>
    <row r="542" spans="3:6" x14ac:dyDescent="0.25">
      <c r="C542" s="2" t="s">
        <v>11196</v>
      </c>
      <c r="D542" s="2" t="s">
        <v>42</v>
      </c>
      <c r="E542" s="2">
        <v>56</v>
      </c>
      <c r="F542" s="2">
        <v>1082.27</v>
      </c>
    </row>
    <row r="543" spans="3:6" x14ac:dyDescent="0.25">
      <c r="C543" s="2" t="s">
        <v>11197</v>
      </c>
      <c r="D543" s="2" t="s">
        <v>42</v>
      </c>
      <c r="E543" s="2">
        <v>100</v>
      </c>
      <c r="F543" s="2">
        <v>1939.638</v>
      </c>
    </row>
    <row r="544" spans="3:6" x14ac:dyDescent="0.25">
      <c r="C544" s="2" t="s">
        <v>11198</v>
      </c>
      <c r="D544" s="2" t="s">
        <v>30</v>
      </c>
      <c r="E544" s="2">
        <v>134</v>
      </c>
      <c r="F544" s="2">
        <v>2758.28</v>
      </c>
    </row>
    <row r="545" spans="3:6" x14ac:dyDescent="0.25">
      <c r="C545" s="2" t="s">
        <v>11199</v>
      </c>
      <c r="D545" s="2" t="s">
        <v>30</v>
      </c>
      <c r="E545" s="2">
        <v>134</v>
      </c>
      <c r="F545" s="2">
        <v>2720.808</v>
      </c>
    </row>
    <row r="546" spans="3:6" x14ac:dyDescent="0.25">
      <c r="C546" s="2" t="s">
        <v>11200</v>
      </c>
      <c r="D546" s="2" t="s">
        <v>30</v>
      </c>
      <c r="E546" s="2">
        <v>134</v>
      </c>
      <c r="F546" s="2">
        <v>2620.848</v>
      </c>
    </row>
    <row r="547" spans="3:6" x14ac:dyDescent="0.25">
      <c r="C547" s="2" t="s">
        <v>11201</v>
      </c>
      <c r="D547" s="2" t="s">
        <v>30</v>
      </c>
      <c r="E547" s="2">
        <v>134</v>
      </c>
      <c r="F547" s="2">
        <v>2650.09</v>
      </c>
    </row>
    <row r="548" spans="3:6" x14ac:dyDescent="0.25">
      <c r="C548" s="2" t="s">
        <v>11202</v>
      </c>
      <c r="D548" s="2" t="s">
        <v>30</v>
      </c>
      <c r="E548" s="2">
        <v>134</v>
      </c>
      <c r="F548" s="2">
        <v>2726.95</v>
      </c>
    </row>
    <row r="549" spans="3:6" x14ac:dyDescent="0.25">
      <c r="C549" s="2" t="s">
        <v>11203</v>
      </c>
      <c r="D549" s="2" t="s">
        <v>30</v>
      </c>
      <c r="E549" s="2">
        <v>134</v>
      </c>
      <c r="F549" s="2">
        <v>2712.29</v>
      </c>
    </row>
    <row r="550" spans="3:6" x14ac:dyDescent="0.25">
      <c r="C550" s="2" t="s">
        <v>11204</v>
      </c>
      <c r="D550" s="2" t="s">
        <v>15</v>
      </c>
      <c r="E550" s="2">
        <v>18</v>
      </c>
      <c r="F550" s="2">
        <v>352</v>
      </c>
    </row>
    <row r="551" spans="3:6" x14ac:dyDescent="0.25">
      <c r="C551" s="2" t="s">
        <v>11205</v>
      </c>
      <c r="D551" s="2" t="s">
        <v>15</v>
      </c>
      <c r="E551" s="2">
        <v>105</v>
      </c>
      <c r="F551" s="2">
        <v>800</v>
      </c>
    </row>
    <row r="552" spans="3:6" x14ac:dyDescent="0.25">
      <c r="C552" s="2" t="s">
        <v>11206</v>
      </c>
      <c r="D552" s="2" t="s">
        <v>15</v>
      </c>
      <c r="E552" s="2">
        <v>105</v>
      </c>
      <c r="F552" s="2">
        <v>800</v>
      </c>
    </row>
    <row r="554" spans="1:7" x14ac:dyDescent="0.25">
      <c r="A554" s="1">
        <v>46118</v>
      </c>
      <c r="B554" s="2" t="s">
        <v>11207</v>
      </c>
      <c r="C554" s="2" t="s">
        <v>11208</v>
      </c>
      <c r="D554" s="2" t="s">
        <v>30</v>
      </c>
      <c r="E554" s="2">
        <v>105</v>
      </c>
      <c r="F554" s="2">
        <v>1859.95</v>
      </c>
      <c r="G554" s="1">
        <v>46118</v>
      </c>
    </row>
    <row r="555" spans="3:6" x14ac:dyDescent="0.25">
      <c r="C555" s="2" t="s">
        <v>11209</v>
      </c>
      <c r="D555" s="2" t="s">
        <v>15</v>
      </c>
      <c r="E555" s="2">
        <v>107</v>
      </c>
      <c r="F555" s="2">
        <v>1730.389</v>
      </c>
    </row>
    <row r="556" spans="3:6" x14ac:dyDescent="0.25">
      <c r="C556" s="2" t="s">
        <v>11210</v>
      </c>
      <c r="D556" s="2" t="s">
        <v>15</v>
      </c>
      <c r="E556" s="2">
        <v>105</v>
      </c>
      <c r="F556" s="2">
        <v>2026.13</v>
      </c>
    </row>
    <row r="557" spans="3:6" x14ac:dyDescent="0.25">
      <c r="C557" s="2" t="s">
        <v>11211</v>
      </c>
      <c r="D557" s="2" t="s">
        <v>15</v>
      </c>
      <c r="E557" s="2">
        <v>105</v>
      </c>
      <c r="F557" s="2">
        <v>1862.378</v>
      </c>
    </row>
    <row r="558" spans="3:6" x14ac:dyDescent="0.25">
      <c r="C558" s="2" t="s">
        <v>11212</v>
      </c>
      <c r="D558" s="2" t="s">
        <v>30</v>
      </c>
      <c r="E558" s="2">
        <v>105</v>
      </c>
      <c r="F558" s="2">
        <v>1896.399</v>
      </c>
    </row>
    <row r="559" spans="3:6" x14ac:dyDescent="0.25">
      <c r="C559" s="2" t="s">
        <v>11213</v>
      </c>
      <c r="D559" s="2" t="s">
        <v>26</v>
      </c>
      <c r="E559" s="2">
        <v>156</v>
      </c>
      <c r="F559" s="2">
        <v>2688.479</v>
      </c>
    </row>
    <row r="560" spans="3:6" x14ac:dyDescent="0.25">
      <c r="C560" s="2" t="s">
        <v>11214</v>
      </c>
      <c r="D560" s="2" t="s">
        <v>53</v>
      </c>
      <c r="E560" s="2">
        <v>156</v>
      </c>
      <c r="F560" s="2">
        <v>3061.509</v>
      </c>
    </row>
    <row r="562" spans="1:7" x14ac:dyDescent="0.25">
      <c r="A562" s="1">
        <v>46118</v>
      </c>
      <c r="B562" s="2" t="s">
        <v>1626</v>
      </c>
      <c r="C562" s="2" t="s">
        <v>11215</v>
      </c>
      <c r="D562" s="2" t="s">
        <v>59</v>
      </c>
      <c r="E562" s="2">
        <v>149</v>
      </c>
      <c r="F562" s="2">
        <v>2808.669</v>
      </c>
      <c r="G562" s="1">
        <v>46118</v>
      </c>
    </row>
    <row r="563" spans="3:6" x14ac:dyDescent="0.25">
      <c r="C563" s="2" t="s">
        <v>11216</v>
      </c>
      <c r="D563" s="2" t="s">
        <v>59</v>
      </c>
      <c r="E563" s="2">
        <v>102</v>
      </c>
      <c r="F563" s="2">
        <v>2015.1</v>
      </c>
    </row>
    <row r="564" spans="3:6" x14ac:dyDescent="0.25">
      <c r="C564" s="2" t="s">
        <v>11217</v>
      </c>
      <c r="D564" s="2" t="s">
        <v>59</v>
      </c>
      <c r="E564" s="2">
        <v>102</v>
      </c>
      <c r="F564" s="2">
        <v>1860.529</v>
      </c>
    </row>
    <row r="565" spans="3:6" x14ac:dyDescent="0.25">
      <c r="C565" s="2" t="s">
        <v>11218</v>
      </c>
      <c r="D565" s="2" t="s">
        <v>59</v>
      </c>
      <c r="E565" s="2">
        <v>102</v>
      </c>
      <c r="F565" s="2">
        <v>1976.619</v>
      </c>
    </row>
    <row r="566" spans="3:6" x14ac:dyDescent="0.25">
      <c r="C566" s="2" t="s">
        <v>11219</v>
      </c>
      <c r="D566" s="2" t="s">
        <v>59</v>
      </c>
      <c r="E566" s="2">
        <v>149</v>
      </c>
      <c r="F566" s="2">
        <v>2783.448</v>
      </c>
    </row>
    <row r="567" spans="3:6" x14ac:dyDescent="0.25">
      <c r="C567" s="2" t="s">
        <v>11220</v>
      </c>
      <c r="D567" s="2" t="s">
        <v>59</v>
      </c>
      <c r="E567" s="2">
        <v>102</v>
      </c>
      <c r="F567" s="2">
        <v>1972.79</v>
      </c>
    </row>
    <row r="568" spans="3:6" x14ac:dyDescent="0.25">
      <c r="C568" s="2" t="s">
        <v>11221</v>
      </c>
      <c r="D568" s="2" t="s">
        <v>59</v>
      </c>
      <c r="E568" s="2">
        <v>149</v>
      </c>
      <c r="F568" s="2">
        <v>2855.25</v>
      </c>
    </row>
    <row r="569" spans="3:6" x14ac:dyDescent="0.25">
      <c r="C569" s="2" t="s">
        <v>11222</v>
      </c>
      <c r="D569" s="2" t="s">
        <v>59</v>
      </c>
      <c r="E569" s="2">
        <v>149</v>
      </c>
      <c r="F569" s="2">
        <v>2745.919</v>
      </c>
    </row>
    <row r="570" spans="3:6" x14ac:dyDescent="0.25">
      <c r="C570" s="2" t="s">
        <v>11223</v>
      </c>
      <c r="D570" s="2" t="s">
        <v>59</v>
      </c>
      <c r="E570" s="2">
        <v>144</v>
      </c>
      <c r="F570" s="2">
        <v>2304.879</v>
      </c>
    </row>
    <row r="571" spans="3:6" x14ac:dyDescent="0.25">
      <c r="C571" s="2" t="s">
        <v>11224</v>
      </c>
      <c r="D571" s="2" t="s">
        <v>59</v>
      </c>
      <c r="E571" s="2">
        <v>97</v>
      </c>
      <c r="F571" s="2">
        <v>2391.38</v>
      </c>
    </row>
    <row r="572" spans="3:6" x14ac:dyDescent="0.25">
      <c r="C572" s="2" t="s">
        <v>11225</v>
      </c>
      <c r="D572" s="2" t="s">
        <v>59</v>
      </c>
      <c r="E572" s="2">
        <v>71</v>
      </c>
      <c r="F572" s="2">
        <v>1462.362</v>
      </c>
    </row>
    <row r="573" spans="3:6" x14ac:dyDescent="0.25">
      <c r="C573" s="2" t="s">
        <v>11226</v>
      </c>
      <c r="D573" s="2" t="s">
        <v>59</v>
      </c>
      <c r="E573" s="2">
        <v>102</v>
      </c>
      <c r="F573" s="2">
        <v>1962.94</v>
      </c>
    </row>
    <row r="575" spans="1:7" x14ac:dyDescent="0.25">
      <c r="A575" s="1">
        <v>46119</v>
      </c>
      <c r="B575" s="2" t="s">
        <v>1400</v>
      </c>
      <c r="C575" s="2" t="s">
        <v>11227</v>
      </c>
      <c r="D575" s="2" t="s">
        <v>73</v>
      </c>
      <c r="E575" s="2">
        <v>81</v>
      </c>
      <c r="F575" s="2">
        <v>1606.68</v>
      </c>
      <c r="G575" s="1">
        <v>46118</v>
      </c>
    </row>
    <row r="576" spans="3:6" x14ac:dyDescent="0.25">
      <c r="C576" s="2" t="s">
        <v>11228</v>
      </c>
      <c r="D576" s="2" t="s">
        <v>73</v>
      </c>
      <c r="E576" s="2">
        <v>20</v>
      </c>
      <c r="F576" s="2">
        <v>373.31</v>
      </c>
    </row>
    <row r="577" spans="3:6" x14ac:dyDescent="0.25">
      <c r="C577" s="2" t="s">
        <v>11229</v>
      </c>
      <c r="D577" s="2" t="s">
        <v>73</v>
      </c>
      <c r="E577" s="2">
        <v>20</v>
      </c>
      <c r="F577" s="2">
        <v>373.38</v>
      </c>
    </row>
    <row r="578" spans="3:6" x14ac:dyDescent="0.25">
      <c r="C578" s="2" t="s">
        <v>11230</v>
      </c>
      <c r="D578" s="2" t="s">
        <v>73</v>
      </c>
      <c r="E578" s="2">
        <v>6</v>
      </c>
      <c r="F578" s="2">
        <v>106.92</v>
      </c>
    </row>
    <row r="579" spans="3:6" x14ac:dyDescent="0.25">
      <c r="C579" s="2" t="s">
        <v>11231</v>
      </c>
      <c r="D579" s="2" t="s">
        <v>73</v>
      </c>
      <c r="E579" s="2">
        <v>75</v>
      </c>
      <c r="F579" s="2">
        <v>1315.17</v>
      </c>
    </row>
    <row r="580" spans="3:6" x14ac:dyDescent="0.25">
      <c r="C580" s="2" t="s">
        <v>11232</v>
      </c>
      <c r="D580" s="2" t="s">
        <v>73</v>
      </c>
      <c r="E580" s="2">
        <v>20</v>
      </c>
      <c r="F580" s="2">
        <v>354.38</v>
      </c>
    </row>
    <row r="581" spans="3:6" x14ac:dyDescent="0.25">
      <c r="C581" s="2" t="s">
        <v>11233</v>
      </c>
      <c r="D581" s="2" t="s">
        <v>73</v>
      </c>
      <c r="E581" s="2">
        <v>61</v>
      </c>
      <c r="F581" s="2">
        <v>1253.03</v>
      </c>
    </row>
    <row r="582" spans="3:6" x14ac:dyDescent="0.25">
      <c r="C582" s="2" t="s">
        <v>11234</v>
      </c>
      <c r="D582" s="2" t="s">
        <v>73</v>
      </c>
      <c r="E582" s="2">
        <v>96</v>
      </c>
      <c r="F582" s="2">
        <v>1733.63</v>
      </c>
    </row>
    <row r="583" spans="3:6" x14ac:dyDescent="0.25">
      <c r="C583" s="2" t="s">
        <v>11235</v>
      </c>
      <c r="D583" s="2" t="s">
        <v>73</v>
      </c>
      <c r="E583" s="2">
        <v>21</v>
      </c>
      <c r="F583" s="2">
        <v>350.949</v>
      </c>
    </row>
    <row r="584" spans="3:6" x14ac:dyDescent="0.25">
      <c r="C584" s="2" t="s">
        <v>11236</v>
      </c>
      <c r="D584" s="2" t="s">
        <v>73</v>
      </c>
      <c r="E584" s="2">
        <v>25</v>
      </c>
      <c r="F584" s="2">
        <v>455.01</v>
      </c>
    </row>
    <row r="586" spans="1:7" x14ac:dyDescent="0.25">
      <c r="A586" s="1">
        <v>46119</v>
      </c>
      <c r="B586" s="2" t="s">
        <v>1012</v>
      </c>
      <c r="C586" s="2" t="s">
        <v>11237</v>
      </c>
      <c r="D586" s="2" t="s">
        <v>82</v>
      </c>
      <c r="E586" s="2">
        <v>121</v>
      </c>
      <c r="F586" s="2">
        <v>2426.83</v>
      </c>
      <c r="G586" s="1">
        <v>46118</v>
      </c>
    </row>
    <row r="587" spans="3:6" x14ac:dyDescent="0.25">
      <c r="C587" s="2" t="s">
        <v>11238</v>
      </c>
      <c r="D587" s="2" t="s">
        <v>82</v>
      </c>
      <c r="E587" s="2">
        <v>121</v>
      </c>
      <c r="F587" s="2">
        <v>2419.52</v>
      </c>
    </row>
    <row r="588" spans="3:6" x14ac:dyDescent="0.25">
      <c r="C588" s="2" t="s">
        <v>11239</v>
      </c>
      <c r="D588" s="2" t="s">
        <v>82</v>
      </c>
      <c r="E588" s="2">
        <v>141</v>
      </c>
      <c r="F588" s="2">
        <v>2913.68</v>
      </c>
    </row>
    <row r="589" spans="3:6" x14ac:dyDescent="0.25">
      <c r="C589" s="2" t="s">
        <v>11240</v>
      </c>
      <c r="D589" s="2" t="s">
        <v>82</v>
      </c>
      <c r="E589" s="2">
        <v>141</v>
      </c>
      <c r="F589" s="2">
        <v>2919.09</v>
      </c>
    </row>
    <row r="590" spans="3:6" x14ac:dyDescent="0.25">
      <c r="C590" s="2" t="s">
        <v>11241</v>
      </c>
      <c r="D590" s="2" t="s">
        <v>82</v>
      </c>
      <c r="E590" s="2">
        <v>71</v>
      </c>
      <c r="F590" s="2">
        <v>1463.3</v>
      </c>
    </row>
    <row r="591" spans="3:6" x14ac:dyDescent="0.25">
      <c r="C591" s="2" t="s">
        <v>11242</v>
      </c>
      <c r="D591" s="2" t="s">
        <v>82</v>
      </c>
      <c r="E591" s="2">
        <v>41</v>
      </c>
      <c r="F591" s="2">
        <v>825.37</v>
      </c>
    </row>
    <row r="592" spans="3:6" x14ac:dyDescent="0.25">
      <c r="C592" s="2" t="s">
        <v>11243</v>
      </c>
      <c r="D592" s="2" t="s">
        <v>82</v>
      </c>
      <c r="E592" s="2">
        <v>29</v>
      </c>
      <c r="F592" s="2">
        <v>583.599</v>
      </c>
    </row>
    <row r="593" spans="3:6" x14ac:dyDescent="0.25">
      <c r="C593" s="2" t="s">
        <v>11244</v>
      </c>
      <c r="D593" s="2" t="s">
        <v>82</v>
      </c>
      <c r="E593" s="2">
        <v>69</v>
      </c>
      <c r="F593" s="2">
        <v>1430.39</v>
      </c>
    </row>
    <row r="594" spans="3:6" x14ac:dyDescent="0.25">
      <c r="C594" s="2" t="s">
        <v>11245</v>
      </c>
      <c r="D594" s="2" t="s">
        <v>82</v>
      </c>
      <c r="E594" s="2">
        <v>42</v>
      </c>
      <c r="F594" s="2">
        <v>885.08</v>
      </c>
    </row>
    <row r="595" spans="3:6" x14ac:dyDescent="0.25">
      <c r="C595" s="2" t="s">
        <v>11246</v>
      </c>
      <c r="D595" s="2" t="s">
        <v>82</v>
      </c>
      <c r="E595" s="2">
        <v>30</v>
      </c>
      <c r="F595" s="2">
        <v>590.89</v>
      </c>
    </row>
    <row r="596" spans="3:6" x14ac:dyDescent="0.25">
      <c r="C596" s="2" t="s">
        <v>11247</v>
      </c>
      <c r="D596" s="2" t="s">
        <v>82</v>
      </c>
      <c r="E596" s="2">
        <v>100</v>
      </c>
      <c r="F596" s="2">
        <v>1675.509</v>
      </c>
    </row>
    <row r="597" spans="3:6" x14ac:dyDescent="0.25">
      <c r="C597" s="2" t="s">
        <v>11248</v>
      </c>
      <c r="D597" s="2" t="s">
        <v>82</v>
      </c>
      <c r="E597" s="2">
        <v>42</v>
      </c>
      <c r="F597" s="2">
        <v>860.39</v>
      </c>
    </row>
    <row r="598" spans="3:6" x14ac:dyDescent="0.25">
      <c r="C598" s="2" t="s">
        <v>11249</v>
      </c>
      <c r="D598" s="2" t="s">
        <v>82</v>
      </c>
      <c r="E598" s="2">
        <v>42</v>
      </c>
      <c r="F598" s="2">
        <v>867.53</v>
      </c>
    </row>
    <row r="599" spans="3:6" x14ac:dyDescent="0.25">
      <c r="C599" s="2" t="s">
        <v>11250</v>
      </c>
      <c r="D599" s="2" t="s">
        <v>82</v>
      </c>
      <c r="E599" s="2">
        <v>32</v>
      </c>
      <c r="F599" s="2">
        <v>633.88</v>
      </c>
    </row>
    <row r="600" spans="3:6" x14ac:dyDescent="0.25">
      <c r="C600" s="2" t="s">
        <v>11251</v>
      </c>
      <c r="D600" s="2" t="s">
        <v>82</v>
      </c>
      <c r="E600" s="2">
        <v>25</v>
      </c>
      <c r="F600" s="2">
        <v>478.11</v>
      </c>
    </row>
    <row r="601" spans="3:6" x14ac:dyDescent="0.25">
      <c r="C601" s="2" t="s">
        <v>11252</v>
      </c>
      <c r="D601" s="2" t="s">
        <v>82</v>
      </c>
      <c r="E601" s="2">
        <v>141</v>
      </c>
      <c r="F601" s="2">
        <v>2820.789</v>
      </c>
    </row>
    <row r="602" spans="3:6" x14ac:dyDescent="0.25">
      <c r="C602" s="2" t="s">
        <v>11253</v>
      </c>
      <c r="D602" s="2" t="s">
        <v>82</v>
      </c>
      <c r="E602" s="2">
        <v>49</v>
      </c>
      <c r="F602" s="2">
        <v>978.01</v>
      </c>
    </row>
    <row r="603" spans="3:6" x14ac:dyDescent="0.25">
      <c r="C603" s="2" t="s">
        <v>11254</v>
      </c>
      <c r="D603" s="2" t="s">
        <v>82</v>
      </c>
      <c r="E603" s="2">
        <v>21</v>
      </c>
      <c r="F603" s="2">
        <v>416.03</v>
      </c>
    </row>
    <row r="604" spans="3:6" x14ac:dyDescent="0.25">
      <c r="C604" s="2" t="s">
        <v>11255</v>
      </c>
      <c r="D604" s="2" t="s">
        <v>82</v>
      </c>
      <c r="E604" s="2">
        <v>41</v>
      </c>
      <c r="F604" s="2">
        <v>838.71</v>
      </c>
    </row>
    <row r="605" spans="3:6" x14ac:dyDescent="0.25">
      <c r="C605" s="2" t="s">
        <v>11256</v>
      </c>
      <c r="D605" s="2" t="s">
        <v>82</v>
      </c>
      <c r="E605" s="2">
        <v>30</v>
      </c>
      <c r="F605" s="2">
        <v>607.97</v>
      </c>
    </row>
    <row r="606" spans="3:6" x14ac:dyDescent="0.25">
      <c r="C606" s="2" t="s">
        <v>11257</v>
      </c>
      <c r="D606" s="2" t="s">
        <v>82</v>
      </c>
      <c r="E606" s="2">
        <v>141</v>
      </c>
      <c r="F606" s="2">
        <v>2816.31</v>
      </c>
    </row>
    <row r="607" spans="3:6" x14ac:dyDescent="0.25">
      <c r="C607" s="2" t="s">
        <v>11258</v>
      </c>
      <c r="D607" s="2" t="s">
        <v>82</v>
      </c>
      <c r="E607" s="2">
        <v>141</v>
      </c>
      <c r="F607" s="2">
        <v>2951.11</v>
      </c>
    </row>
    <row r="608" spans="3:6" x14ac:dyDescent="0.25">
      <c r="C608" s="2" t="s">
        <v>11259</v>
      </c>
      <c r="D608" s="2" t="s">
        <v>82</v>
      </c>
      <c r="E608" s="2">
        <v>100</v>
      </c>
      <c r="F608" s="2">
        <v>2004.05</v>
      </c>
    </row>
    <row r="609" spans="3:6" x14ac:dyDescent="0.25">
      <c r="C609" s="2" t="s">
        <v>11260</v>
      </c>
      <c r="D609" s="2" t="s">
        <v>82</v>
      </c>
      <c r="E609" s="2">
        <v>100</v>
      </c>
      <c r="F609" s="2">
        <v>2036.31</v>
      </c>
    </row>
    <row r="610" spans="3:6" x14ac:dyDescent="0.25">
      <c r="C610" s="2" t="s">
        <v>11261</v>
      </c>
      <c r="D610" s="2" t="s">
        <v>82</v>
      </c>
      <c r="E610" s="2">
        <v>100</v>
      </c>
      <c r="F610" s="2">
        <v>2077.84</v>
      </c>
    </row>
    <row r="611" spans="3:6" x14ac:dyDescent="0.25">
      <c r="C611" s="2" t="s">
        <v>11262</v>
      </c>
      <c r="D611" s="2" t="s">
        <v>82</v>
      </c>
      <c r="E611" s="2">
        <v>100</v>
      </c>
      <c r="F611" s="2">
        <v>2067.99</v>
      </c>
    </row>
    <row r="613" spans="1:7" x14ac:dyDescent="0.25">
      <c r="A613" s="1">
        <v>46119</v>
      </c>
      <c r="B613" s="2" t="s">
        <v>7</v>
      </c>
      <c r="C613" s="2" t="s">
        <v>11263</v>
      </c>
      <c r="D613" s="2" t="s">
        <v>9</v>
      </c>
      <c r="E613" s="2">
        <v>99</v>
      </c>
      <c r="F613" s="2">
        <v>2049.79</v>
      </c>
      <c r="G613" s="1">
        <v>46118</v>
      </c>
    </row>
    <row r="614" spans="3:6" x14ac:dyDescent="0.25">
      <c r="C614" s="2" t="s">
        <v>11264</v>
      </c>
      <c r="D614" s="2" t="s">
        <v>9</v>
      </c>
      <c r="E614" s="2">
        <v>99</v>
      </c>
      <c r="F614" s="2">
        <v>1607.768</v>
      </c>
    </row>
    <row r="616" spans="1:7" x14ac:dyDescent="0.25">
      <c r="A616" s="1">
        <v>46119</v>
      </c>
      <c r="B616" s="2" t="s">
        <v>1299</v>
      </c>
      <c r="C616" s="2" t="s">
        <v>11265</v>
      </c>
      <c r="D616" s="2" t="s">
        <v>15</v>
      </c>
      <c r="E616" s="2">
        <v>134</v>
      </c>
      <c r="F616" s="2">
        <v>2682.52</v>
      </c>
      <c r="G616" s="1">
        <v>46118</v>
      </c>
    </row>
    <row r="617" spans="3:6" x14ac:dyDescent="0.25">
      <c r="C617" s="2" t="s">
        <v>11266</v>
      </c>
      <c r="D617" s="2" t="s">
        <v>15</v>
      </c>
      <c r="E617" s="2">
        <v>134</v>
      </c>
      <c r="F617" s="2">
        <v>2639.93</v>
      </c>
    </row>
    <row r="618" spans="3:6" x14ac:dyDescent="0.25">
      <c r="C618" s="2" t="s">
        <v>11267</v>
      </c>
      <c r="D618" s="2" t="s">
        <v>15</v>
      </c>
      <c r="E618" s="2">
        <v>134</v>
      </c>
      <c r="F618" s="2">
        <v>2643.536</v>
      </c>
    </row>
    <row r="619" spans="3:6" x14ac:dyDescent="0.25">
      <c r="C619" s="2" t="s">
        <v>11268</v>
      </c>
      <c r="D619" s="2" t="s">
        <v>15</v>
      </c>
      <c r="E619" s="2">
        <v>134</v>
      </c>
      <c r="F619" s="2">
        <v>2613.478</v>
      </c>
    </row>
    <row r="620" spans="3:6" x14ac:dyDescent="0.25">
      <c r="C620" s="2" t="s">
        <v>11269</v>
      </c>
      <c r="D620" s="2" t="s">
        <v>15</v>
      </c>
      <c r="E620" s="2">
        <v>134</v>
      </c>
      <c r="F620" s="2">
        <v>2717.977</v>
      </c>
    </row>
    <row r="621" spans="3:6" x14ac:dyDescent="0.25">
      <c r="C621" s="2" t="s">
        <v>11270</v>
      </c>
      <c r="D621" s="2" t="s">
        <v>15</v>
      </c>
      <c r="E621" s="2">
        <v>163</v>
      </c>
      <c r="F621" s="2">
        <v>3052.07</v>
      </c>
    </row>
    <row r="622" spans="3:6" x14ac:dyDescent="0.25">
      <c r="C622" s="2" t="s">
        <v>11271</v>
      </c>
      <c r="D622" s="2" t="s">
        <v>15</v>
      </c>
      <c r="E622" s="2">
        <v>163</v>
      </c>
      <c r="F622" s="2">
        <v>3049.976</v>
      </c>
    </row>
    <row r="623" spans="3:6" x14ac:dyDescent="0.25">
      <c r="C623" s="2" t="s">
        <v>11272</v>
      </c>
      <c r="D623" s="2" t="s">
        <v>15</v>
      </c>
      <c r="E623" s="2">
        <v>163</v>
      </c>
      <c r="F623" s="2">
        <v>3067.5</v>
      </c>
    </row>
    <row r="624" spans="3:6" x14ac:dyDescent="0.25">
      <c r="C624" s="2" t="s">
        <v>11273</v>
      </c>
      <c r="D624" s="2" t="s">
        <v>15</v>
      </c>
      <c r="E624" s="2">
        <v>163</v>
      </c>
      <c r="F624" s="2">
        <v>3199.786</v>
      </c>
    </row>
    <row r="625" spans="3:6" x14ac:dyDescent="0.25">
      <c r="C625" s="2" t="s">
        <v>11274</v>
      </c>
      <c r="D625" s="2" t="s">
        <v>15</v>
      </c>
      <c r="E625" s="2">
        <v>105</v>
      </c>
      <c r="F625" s="2">
        <v>1949.71</v>
      </c>
    </row>
    <row r="626" spans="3:6" x14ac:dyDescent="0.25">
      <c r="C626" s="2" t="s">
        <v>11275</v>
      </c>
      <c r="D626" s="2" t="s">
        <v>15</v>
      </c>
      <c r="E626" s="2">
        <v>105</v>
      </c>
      <c r="F626" s="2">
        <v>2090.54</v>
      </c>
    </row>
    <row r="627" spans="3:4" x14ac:dyDescent="0.25">
      <c r="C627" s="2" t="s">
        <v>11276</v>
      </c>
      <c r="D627" s="2" t="s">
        <v>15</v>
      </c>
    </row>
    <row r="628" spans="3:4" x14ac:dyDescent="0.25">
      <c r="C628" s="2" t="s">
        <v>11277</v>
      </c>
      <c r="D628" s="2" t="s">
        <v>15</v>
      </c>
    </row>
    <row r="629" spans="3:4" x14ac:dyDescent="0.25">
      <c r="C629" s="2" t="s">
        <v>11278</v>
      </c>
      <c r="D629" s="2" t="s">
        <v>15</v>
      </c>
    </row>
    <row r="630" spans="3:6" x14ac:dyDescent="0.25">
      <c r="C630" s="2" t="s">
        <v>11279</v>
      </c>
      <c r="D630" s="2" t="s">
        <v>15</v>
      </c>
      <c r="E630" s="2">
        <v>163</v>
      </c>
      <c r="F630" s="2">
        <v>3112.425</v>
      </c>
    </row>
    <row r="631" spans="3:6" x14ac:dyDescent="0.25">
      <c r="C631" s="2" t="s">
        <v>11280</v>
      </c>
      <c r="D631" s="2" t="s">
        <v>15</v>
      </c>
      <c r="E631" s="2">
        <v>163</v>
      </c>
      <c r="F631" s="2">
        <v>3065.176</v>
      </c>
    </row>
    <row r="632" spans="3:6" x14ac:dyDescent="0.25">
      <c r="C632" s="2" t="s">
        <v>11281</v>
      </c>
      <c r="D632" s="2" t="s">
        <v>15</v>
      </c>
      <c r="E632" s="2">
        <v>36</v>
      </c>
      <c r="F632" s="2">
        <v>711.92</v>
      </c>
    </row>
    <row r="633" spans="3:6" x14ac:dyDescent="0.25">
      <c r="C633" s="2" t="s">
        <v>11282</v>
      </c>
      <c r="D633" s="2" t="s">
        <v>26</v>
      </c>
      <c r="E633" s="2">
        <v>156</v>
      </c>
      <c r="F633" s="2">
        <v>2890.666</v>
      </c>
    </row>
    <row r="634" spans="3:6" x14ac:dyDescent="0.25">
      <c r="C634" s="2" t="s">
        <v>11283</v>
      </c>
      <c r="D634" s="2" t="s">
        <v>26</v>
      </c>
      <c r="E634" s="2">
        <v>156</v>
      </c>
      <c r="F634" s="2">
        <v>3061.635</v>
      </c>
    </row>
    <row r="635" spans="3:6" x14ac:dyDescent="0.25">
      <c r="C635" s="2" t="s">
        <v>11284</v>
      </c>
      <c r="D635" s="2" t="s">
        <v>36</v>
      </c>
      <c r="E635" s="2">
        <v>80</v>
      </c>
      <c r="F635" s="2">
        <v>1508.42</v>
      </c>
    </row>
    <row r="636" spans="3:6" x14ac:dyDescent="0.25">
      <c r="C636" s="2" t="s">
        <v>11285</v>
      </c>
      <c r="D636" s="2" t="s">
        <v>36</v>
      </c>
      <c r="E636" s="2">
        <v>76</v>
      </c>
      <c r="F636" s="2">
        <v>1404.26</v>
      </c>
    </row>
    <row r="637" spans="3:6" x14ac:dyDescent="0.25">
      <c r="C637" s="2" t="s">
        <v>11286</v>
      </c>
      <c r="D637" s="2" t="s">
        <v>36</v>
      </c>
      <c r="E637" s="2">
        <v>36</v>
      </c>
      <c r="F637" s="2">
        <v>682.26</v>
      </c>
    </row>
    <row r="638" spans="3:6" x14ac:dyDescent="0.25">
      <c r="C638" s="2" t="s">
        <v>11287</v>
      </c>
      <c r="D638" s="2" t="s">
        <v>36</v>
      </c>
      <c r="E638" s="2">
        <v>60</v>
      </c>
      <c r="F638" s="2">
        <v>1094.04</v>
      </c>
    </row>
    <row r="639" spans="3:6" x14ac:dyDescent="0.25">
      <c r="C639" s="2" t="s">
        <v>11288</v>
      </c>
      <c r="D639" s="2" t="s">
        <v>36</v>
      </c>
      <c r="E639" s="2">
        <v>60</v>
      </c>
      <c r="F639" s="2">
        <v>1105.56</v>
      </c>
    </row>
    <row r="640" spans="3:6" x14ac:dyDescent="0.25">
      <c r="C640" s="2" t="s">
        <v>11289</v>
      </c>
      <c r="D640" s="2" t="s">
        <v>36</v>
      </c>
      <c r="E640" s="2">
        <v>60</v>
      </c>
      <c r="F640" s="2">
        <v>1068</v>
      </c>
    </row>
    <row r="641" spans="3:6" x14ac:dyDescent="0.25">
      <c r="C641" s="2" t="s">
        <v>11290</v>
      </c>
      <c r="D641" s="2" t="s">
        <v>36</v>
      </c>
      <c r="E641" s="2">
        <v>43</v>
      </c>
      <c r="F641" s="2">
        <v>768.61</v>
      </c>
    </row>
    <row r="642" spans="3:6" x14ac:dyDescent="0.25">
      <c r="C642" s="2" t="s">
        <v>11291</v>
      </c>
      <c r="D642" s="2" t="s">
        <v>136</v>
      </c>
      <c r="E642" s="2">
        <v>105</v>
      </c>
      <c r="F642" s="2">
        <v>1931.8</v>
      </c>
    </row>
    <row r="644" spans="1:7" x14ac:dyDescent="0.25">
      <c r="A644" s="1">
        <v>46119</v>
      </c>
      <c r="B644" s="2" t="s">
        <v>11292</v>
      </c>
      <c r="C644" s="2" t="s">
        <v>11293</v>
      </c>
      <c r="D644" s="2" t="s">
        <v>30</v>
      </c>
      <c r="E644" s="2">
        <v>156</v>
      </c>
      <c r="F644" s="2">
        <v>2930.737</v>
      </c>
      <c r="G644" s="1">
        <v>46118</v>
      </c>
    </row>
    <row r="645" spans="3:6" x14ac:dyDescent="0.25">
      <c r="C645" s="2" t="s">
        <v>11294</v>
      </c>
      <c r="D645" s="2" t="s">
        <v>53</v>
      </c>
      <c r="E645" s="2">
        <v>156</v>
      </c>
      <c r="F645" s="2">
        <v>2883.497</v>
      </c>
    </row>
    <row r="646" spans="3:6" x14ac:dyDescent="0.25">
      <c r="C646" s="2" t="s">
        <v>11295</v>
      </c>
      <c r="D646" s="2" t="s">
        <v>26</v>
      </c>
      <c r="E646" s="2">
        <v>105</v>
      </c>
      <c r="F646" s="2">
        <v>1785.13</v>
      </c>
    </row>
    <row r="647" spans="3:6" x14ac:dyDescent="0.25">
      <c r="C647" s="2" t="s">
        <v>11296</v>
      </c>
      <c r="D647" s="2" t="s">
        <v>53</v>
      </c>
      <c r="E647" s="2">
        <v>156</v>
      </c>
      <c r="F647" s="2">
        <v>3083.388</v>
      </c>
    </row>
    <row r="648" spans="3:6" x14ac:dyDescent="0.25">
      <c r="C648" s="2" t="s">
        <v>11297</v>
      </c>
      <c r="D648" s="2" t="s">
        <v>26</v>
      </c>
      <c r="E648" s="2">
        <v>134</v>
      </c>
      <c r="F648" s="2">
        <v>2330.719</v>
      </c>
    </row>
    <row r="650" spans="1:7" x14ac:dyDescent="0.25">
      <c r="A650" s="1">
        <v>46119</v>
      </c>
      <c r="B650" s="2" t="s">
        <v>7875</v>
      </c>
      <c r="C650" s="2" t="s">
        <v>11298</v>
      </c>
      <c r="D650" s="2" t="s">
        <v>59</v>
      </c>
      <c r="E650" s="2">
        <v>149</v>
      </c>
      <c r="F650" s="2">
        <v>2742.61</v>
      </c>
      <c r="G650" s="1">
        <v>46117</v>
      </c>
    </row>
    <row r="651" spans="3:6" x14ac:dyDescent="0.25">
      <c r="C651" s="2" t="s">
        <v>11299</v>
      </c>
      <c r="D651" s="2" t="s">
        <v>59</v>
      </c>
      <c r="E651" s="2">
        <v>83</v>
      </c>
      <c r="F651" s="2">
        <v>1516.15</v>
      </c>
    </row>
    <row r="652" spans="3:6" x14ac:dyDescent="0.25">
      <c r="C652" s="2" t="s">
        <v>11300</v>
      </c>
      <c r="D652" s="2" t="s">
        <v>59</v>
      </c>
      <c r="E652" s="2">
        <v>66</v>
      </c>
      <c r="F652" s="2">
        <v>1289.1</v>
      </c>
    </row>
    <row r="653" spans="3:6" x14ac:dyDescent="0.25">
      <c r="C653" s="2" t="s">
        <v>11301</v>
      </c>
      <c r="D653" s="2" t="s">
        <v>59</v>
      </c>
      <c r="E653" s="2">
        <v>141</v>
      </c>
      <c r="F653" s="2">
        <v>3107.901</v>
      </c>
    </row>
    <row r="654" spans="3:6" x14ac:dyDescent="0.25">
      <c r="C654" s="2" t="s">
        <v>11302</v>
      </c>
      <c r="D654" s="2" t="s">
        <v>59</v>
      </c>
      <c r="E654" s="2">
        <v>149</v>
      </c>
      <c r="F654" s="2">
        <v>2821.9</v>
      </c>
    </row>
    <row r="655" spans="3:6" x14ac:dyDescent="0.25">
      <c r="C655" s="2" t="s">
        <v>11303</v>
      </c>
      <c r="D655" s="2" t="s">
        <v>59</v>
      </c>
      <c r="E655" s="2">
        <v>102</v>
      </c>
      <c r="F655" s="2">
        <v>1972.759</v>
      </c>
    </row>
    <row r="656" spans="3:6" x14ac:dyDescent="0.25">
      <c r="C656" s="2" t="s">
        <v>11304</v>
      </c>
      <c r="D656" s="2" t="s">
        <v>59</v>
      </c>
      <c r="E656" s="2">
        <v>149</v>
      </c>
      <c r="F656" s="2">
        <v>2717.67</v>
      </c>
    </row>
    <row r="657" spans="3:6" x14ac:dyDescent="0.25">
      <c r="C657" s="2" t="s">
        <v>11305</v>
      </c>
      <c r="D657" s="2" t="s">
        <v>59</v>
      </c>
      <c r="E657" s="2">
        <v>149</v>
      </c>
      <c r="F657" s="2">
        <v>2744.339</v>
      </c>
    </row>
    <row r="658" spans="3:6" x14ac:dyDescent="0.25">
      <c r="C658" s="2" t="s">
        <v>11306</v>
      </c>
      <c r="D658" s="2" t="s">
        <v>59</v>
      </c>
      <c r="E658" s="2">
        <v>102</v>
      </c>
      <c r="F658" s="2">
        <v>1927.47</v>
      </c>
    </row>
    <row r="659" spans="3:6" x14ac:dyDescent="0.25">
      <c r="C659" s="2" t="s">
        <v>11307</v>
      </c>
      <c r="D659" s="2" t="s">
        <v>59</v>
      </c>
      <c r="E659" s="2">
        <v>149</v>
      </c>
      <c r="F659" s="2">
        <v>2704.688</v>
      </c>
    </row>
    <row r="660" spans="3:6" x14ac:dyDescent="0.25">
      <c r="C660" s="2" t="s">
        <v>11308</v>
      </c>
      <c r="D660" s="2" t="s">
        <v>59</v>
      </c>
      <c r="E660" s="2">
        <v>102</v>
      </c>
      <c r="F660" s="2">
        <v>1976.16</v>
      </c>
    </row>
    <row r="661" spans="3:6" x14ac:dyDescent="0.25">
      <c r="C661" s="2" t="s">
        <v>11309</v>
      </c>
      <c r="D661" s="2" t="s">
        <v>59</v>
      </c>
      <c r="E661" s="2">
        <v>102</v>
      </c>
      <c r="F661" s="2">
        <v>1989.66</v>
      </c>
    </row>
    <row r="663" spans="1:7" x14ac:dyDescent="0.25">
      <c r="A663" s="1">
        <v>46120</v>
      </c>
      <c r="B663" s="2" t="s">
        <v>427</v>
      </c>
      <c r="C663" s="2" t="s">
        <v>11310</v>
      </c>
      <c r="D663" s="2" t="s">
        <v>59</v>
      </c>
      <c r="E663" s="2">
        <v>142</v>
      </c>
      <c r="F663" s="2">
        <v>2697.329</v>
      </c>
      <c r="G663" s="1">
        <v>46119</v>
      </c>
    </row>
    <row r="664" spans="3:6" x14ac:dyDescent="0.25">
      <c r="C664" s="2" t="s">
        <v>11311</v>
      </c>
      <c r="D664" s="2" t="s">
        <v>59</v>
      </c>
      <c r="E664" s="2">
        <v>142</v>
      </c>
      <c r="F664" s="2">
        <v>3557.08</v>
      </c>
    </row>
    <row r="665" spans="3:6" x14ac:dyDescent="0.25">
      <c r="C665" s="2" t="s">
        <v>11312</v>
      </c>
      <c r="D665" s="2" t="s">
        <v>59</v>
      </c>
      <c r="E665" s="2">
        <v>149</v>
      </c>
      <c r="F665" s="2">
        <v>2742.61</v>
      </c>
    </row>
    <row r="666" spans="3:6" x14ac:dyDescent="0.25">
      <c r="C666" s="2" t="s">
        <v>11313</v>
      </c>
      <c r="D666" s="2" t="s">
        <v>59</v>
      </c>
      <c r="E666" s="2">
        <v>142</v>
      </c>
      <c r="F666" s="2">
        <v>0</v>
      </c>
    </row>
    <row r="667" spans="3:6" x14ac:dyDescent="0.25">
      <c r="C667" s="2" t="s">
        <v>11314</v>
      </c>
      <c r="D667" s="2" t="s">
        <v>59</v>
      </c>
      <c r="E667" s="2">
        <v>102</v>
      </c>
      <c r="F667" s="2">
        <v>1972.759</v>
      </c>
    </row>
    <row r="668" spans="3:6" x14ac:dyDescent="0.25">
      <c r="C668" s="2" t="s">
        <v>11315</v>
      </c>
      <c r="D668" s="2" t="s">
        <v>59</v>
      </c>
      <c r="E668" s="2">
        <v>66</v>
      </c>
      <c r="F668" s="2">
        <v>1289.1</v>
      </c>
    </row>
    <row r="669" spans="3:6" x14ac:dyDescent="0.25">
      <c r="C669" s="2" t="s">
        <v>11316</v>
      </c>
      <c r="D669" s="2" t="s">
        <v>59</v>
      </c>
      <c r="E669" s="2">
        <v>149</v>
      </c>
      <c r="F669" s="2">
        <v>2821.9</v>
      </c>
    </row>
    <row r="670" spans="3:6" x14ac:dyDescent="0.25">
      <c r="C670" s="2" t="s">
        <v>11317</v>
      </c>
      <c r="D670" s="2" t="s">
        <v>59</v>
      </c>
      <c r="E670" s="2">
        <v>102</v>
      </c>
      <c r="F670" s="2">
        <v>1976.16</v>
      </c>
    </row>
    <row r="671" spans="3:6" x14ac:dyDescent="0.25">
      <c r="C671" s="2" t="s">
        <v>11318</v>
      </c>
      <c r="D671" s="2" t="s">
        <v>59</v>
      </c>
      <c r="E671" s="2">
        <v>142</v>
      </c>
      <c r="F671" s="2">
        <v>2449.669</v>
      </c>
    </row>
    <row r="672" spans="3:6" x14ac:dyDescent="0.25">
      <c r="C672" s="2" t="s">
        <v>11319</v>
      </c>
      <c r="D672" s="2" t="s">
        <v>59</v>
      </c>
      <c r="E672" s="2">
        <v>142</v>
      </c>
      <c r="F672" s="2">
        <v>0</v>
      </c>
    </row>
    <row r="673" spans="3:6" x14ac:dyDescent="0.25">
      <c r="C673" s="2" t="s">
        <v>11320</v>
      </c>
      <c r="D673" s="2" t="s">
        <v>59</v>
      </c>
      <c r="E673" s="2">
        <v>142</v>
      </c>
      <c r="F673" s="2">
        <v>3081.269</v>
      </c>
    </row>
    <row r="674" spans="3:6" x14ac:dyDescent="0.25">
      <c r="C674" s="2" t="s">
        <v>11321</v>
      </c>
      <c r="D674" s="2" t="s">
        <v>59</v>
      </c>
      <c r="E674" s="2">
        <v>102</v>
      </c>
      <c r="F674" s="2">
        <v>1989.66</v>
      </c>
    </row>
    <row r="676" spans="1:7" x14ac:dyDescent="0.25">
      <c r="A676" s="1">
        <v>46120</v>
      </c>
      <c r="B676" s="2" t="s">
        <v>10735</v>
      </c>
      <c r="C676" s="2" t="s">
        <v>11322</v>
      </c>
      <c r="D676" s="2" t="s">
        <v>178</v>
      </c>
      <c r="E676" s="2">
        <v>63</v>
      </c>
      <c r="F676" s="2">
        <v>1275.61</v>
      </c>
      <c r="G676" s="1">
        <v>46119</v>
      </c>
    </row>
    <row r="677" spans="3:6" x14ac:dyDescent="0.25">
      <c r="C677" s="2" t="s">
        <v>11323</v>
      </c>
      <c r="D677" s="2" t="s">
        <v>178</v>
      </c>
      <c r="E677" s="2">
        <v>141</v>
      </c>
      <c r="F677" s="2">
        <v>2874.39</v>
      </c>
    </row>
    <row r="678" spans="3:6" x14ac:dyDescent="0.25">
      <c r="C678" s="2" t="s">
        <v>11324</v>
      </c>
      <c r="D678" s="2" t="s">
        <v>178</v>
      </c>
      <c r="E678" s="2">
        <v>236</v>
      </c>
      <c r="F678" s="2">
        <v>4753.01</v>
      </c>
    </row>
    <row r="679" spans="3:6" x14ac:dyDescent="0.25">
      <c r="C679" s="2" t="s">
        <v>11325</v>
      </c>
      <c r="D679" s="2" t="s">
        <v>178</v>
      </c>
      <c r="E679" s="2">
        <v>282</v>
      </c>
      <c r="F679" s="2">
        <v>5758.96</v>
      </c>
    </row>
    <row r="680" spans="3:6" x14ac:dyDescent="0.25">
      <c r="C680" s="2" t="s">
        <v>11326</v>
      </c>
      <c r="D680" s="2" t="s">
        <v>178</v>
      </c>
      <c r="E680" s="2">
        <v>15</v>
      </c>
      <c r="F680" s="2" t="s">
        <v>4167</v>
      </c>
    </row>
    <row r="681" spans="3:6" x14ac:dyDescent="0.25">
      <c r="C681" s="2" t="s">
        <v>11327</v>
      </c>
      <c r="D681" s="2" t="s">
        <v>178</v>
      </c>
      <c r="E681" s="2">
        <v>15</v>
      </c>
      <c r="F681" s="2" t="s">
        <v>4167</v>
      </c>
    </row>
    <row r="682" spans="3:6" x14ac:dyDescent="0.25">
      <c r="C682" s="2" t="s">
        <v>11328</v>
      </c>
      <c r="D682" s="2" t="s">
        <v>178</v>
      </c>
      <c r="E682" s="2">
        <v>264</v>
      </c>
      <c r="F682" s="2">
        <v>5343.29</v>
      </c>
    </row>
    <row r="683" spans="3:6" x14ac:dyDescent="0.25">
      <c r="C683" s="2" t="s">
        <v>11329</v>
      </c>
      <c r="D683" s="2" t="s">
        <v>178</v>
      </c>
      <c r="E683" s="2">
        <v>264</v>
      </c>
      <c r="F683" s="2">
        <v>5399.8</v>
      </c>
    </row>
    <row r="684" spans="3:6" x14ac:dyDescent="0.25">
      <c r="C684" s="2" t="s">
        <v>11330</v>
      </c>
      <c r="D684" s="2" t="s">
        <v>178</v>
      </c>
      <c r="E684" s="2">
        <v>80</v>
      </c>
      <c r="F684" s="2">
        <v>340.335</v>
      </c>
    </row>
    <row r="685" spans="3:6" x14ac:dyDescent="0.25">
      <c r="C685" s="2" t="s">
        <v>11331</v>
      </c>
      <c r="D685" s="2" t="s">
        <v>178</v>
      </c>
      <c r="E685" s="2">
        <v>123</v>
      </c>
      <c r="F685" s="2">
        <v>2325.74</v>
      </c>
    </row>
    <row r="686" spans="3:6" x14ac:dyDescent="0.25">
      <c r="C686" s="2" t="s">
        <v>11332</v>
      </c>
      <c r="D686" s="2" t="s">
        <v>178</v>
      </c>
      <c r="E686" s="2">
        <v>102</v>
      </c>
      <c r="F686" s="2">
        <v>1981.01</v>
      </c>
    </row>
    <row r="687" spans="3:6" x14ac:dyDescent="0.25">
      <c r="C687" s="2" t="s">
        <v>11333</v>
      </c>
      <c r="D687" s="2" t="s">
        <v>178</v>
      </c>
      <c r="E687" s="2">
        <v>170</v>
      </c>
      <c r="F687" s="2">
        <v>3487.34</v>
      </c>
    </row>
    <row r="688" spans="3:6" x14ac:dyDescent="0.25">
      <c r="C688" s="2" t="s">
        <v>11334</v>
      </c>
      <c r="D688" s="2" t="s">
        <v>178</v>
      </c>
      <c r="E688" s="2">
        <v>34</v>
      </c>
      <c r="F688" s="2">
        <v>642.49</v>
      </c>
    </row>
    <row r="689" spans="3:6" x14ac:dyDescent="0.25">
      <c r="C689" s="2" t="s">
        <v>11335</v>
      </c>
      <c r="D689" s="2" t="s">
        <v>178</v>
      </c>
      <c r="E689" s="2">
        <v>75</v>
      </c>
      <c r="F689" s="2">
        <v>1236.239</v>
      </c>
    </row>
    <row r="690" spans="3:6" x14ac:dyDescent="0.25">
      <c r="C690" s="2" t="s">
        <v>11336</v>
      </c>
      <c r="D690" s="2" t="s">
        <v>178</v>
      </c>
      <c r="E690" s="2">
        <v>141</v>
      </c>
      <c r="F690" s="2">
        <v>2835.89</v>
      </c>
    </row>
    <row r="691" spans="3:6" x14ac:dyDescent="0.25">
      <c r="C691" s="2" t="s">
        <v>11337</v>
      </c>
      <c r="D691" s="2" t="s">
        <v>178</v>
      </c>
      <c r="E691" s="2">
        <v>141</v>
      </c>
      <c r="F691" s="2">
        <v>2966.859</v>
      </c>
    </row>
    <row r="692" spans="3:6" x14ac:dyDescent="0.25">
      <c r="C692" s="2" t="s">
        <v>11338</v>
      </c>
      <c r="D692" s="2" t="s">
        <v>178</v>
      </c>
      <c r="E692" s="2">
        <v>141</v>
      </c>
      <c r="F692" s="2">
        <v>2597.278</v>
      </c>
    </row>
    <row r="693" spans="3:6" x14ac:dyDescent="0.25">
      <c r="C693" s="2" t="s">
        <v>11339</v>
      </c>
      <c r="D693" s="2" t="s">
        <v>178</v>
      </c>
      <c r="E693" s="2">
        <v>101</v>
      </c>
      <c r="F693" s="2">
        <v>1759.277</v>
      </c>
    </row>
    <row r="694" spans="3:6" x14ac:dyDescent="0.25">
      <c r="C694" s="2" t="s">
        <v>11340</v>
      </c>
      <c r="D694" s="2" t="s">
        <v>178</v>
      </c>
      <c r="E694" s="2">
        <v>54</v>
      </c>
      <c r="F694" s="2">
        <v>226.1</v>
      </c>
    </row>
    <row r="695" spans="3:6" x14ac:dyDescent="0.25">
      <c r="C695" s="2" t="s">
        <v>11341</v>
      </c>
      <c r="D695" s="2" t="s">
        <v>178</v>
      </c>
      <c r="E695" s="2">
        <v>141</v>
      </c>
      <c r="F695" s="2">
        <v>2860.88</v>
      </c>
    </row>
    <row r="696" spans="3:6" x14ac:dyDescent="0.25">
      <c r="C696" s="2" t="s">
        <v>11342</v>
      </c>
      <c r="D696" s="2" t="s">
        <v>178</v>
      </c>
      <c r="E696" s="2">
        <v>282</v>
      </c>
      <c r="F696" s="2">
        <v>5811.56</v>
      </c>
    </row>
    <row r="697" spans="3:6" x14ac:dyDescent="0.25">
      <c r="C697" s="2" t="s">
        <v>11343</v>
      </c>
      <c r="D697" s="2" t="s">
        <v>178</v>
      </c>
      <c r="E697" s="2">
        <v>282</v>
      </c>
      <c r="F697" s="2">
        <v>5679.269</v>
      </c>
    </row>
    <row r="698" spans="3:6" x14ac:dyDescent="0.25">
      <c r="C698" s="2" t="s">
        <v>11344</v>
      </c>
      <c r="D698" s="2" t="s">
        <v>178</v>
      </c>
      <c r="E698" s="2">
        <v>123</v>
      </c>
      <c r="F698" s="2">
        <v>2517.93</v>
      </c>
    </row>
    <row r="699" spans="3:6" x14ac:dyDescent="0.25">
      <c r="C699" s="2" t="s">
        <v>11345</v>
      </c>
      <c r="D699" s="2" t="s">
        <v>178</v>
      </c>
      <c r="E699" s="2">
        <v>142</v>
      </c>
      <c r="F699" s="2">
        <v>2896.43</v>
      </c>
    </row>
    <row r="700" spans="3:6" x14ac:dyDescent="0.25">
      <c r="C700" s="2" t="s">
        <v>11346</v>
      </c>
      <c r="D700" s="2" t="s">
        <v>178</v>
      </c>
      <c r="E700" s="2">
        <v>141</v>
      </c>
      <c r="F700" s="2">
        <v>2702.35</v>
      </c>
    </row>
    <row r="701" spans="3:6" x14ac:dyDescent="0.25">
      <c r="C701" s="2" t="s">
        <v>11347</v>
      </c>
      <c r="D701" s="2" t="s">
        <v>178</v>
      </c>
      <c r="E701" s="2">
        <v>114</v>
      </c>
      <c r="F701" s="2">
        <v>2139.669</v>
      </c>
    </row>
    <row r="702" spans="3:6" x14ac:dyDescent="0.25">
      <c r="C702" s="2" t="s">
        <v>11348</v>
      </c>
      <c r="D702" s="2" t="s">
        <v>178</v>
      </c>
      <c r="E702" s="2">
        <v>28</v>
      </c>
      <c r="F702" s="2">
        <v>483.79</v>
      </c>
    </row>
    <row r="703" spans="3:6" x14ac:dyDescent="0.25">
      <c r="C703" s="2" t="s">
        <v>11349</v>
      </c>
      <c r="D703" s="2" t="s">
        <v>178</v>
      </c>
      <c r="E703" s="2">
        <v>141</v>
      </c>
      <c r="F703" s="2">
        <v>2864.87</v>
      </c>
    </row>
    <row r="704" spans="3:6" x14ac:dyDescent="0.25">
      <c r="C704" s="2" t="s">
        <v>11350</v>
      </c>
      <c r="D704" s="2" t="s">
        <v>178</v>
      </c>
      <c r="E704" s="2">
        <v>23</v>
      </c>
      <c r="F704" s="2">
        <v>465.519</v>
      </c>
    </row>
    <row r="705" spans="3:6" x14ac:dyDescent="0.25">
      <c r="C705" s="2" t="s">
        <v>11351</v>
      </c>
      <c r="D705" s="2" t="s">
        <v>178</v>
      </c>
      <c r="E705" s="2">
        <v>18</v>
      </c>
      <c r="F705" s="2">
        <v>351.34</v>
      </c>
    </row>
    <row r="706" spans="3:6" x14ac:dyDescent="0.25">
      <c r="C706" s="2" t="s">
        <v>11352</v>
      </c>
      <c r="D706" s="2" t="s">
        <v>178</v>
      </c>
      <c r="E706" s="2">
        <v>100</v>
      </c>
      <c r="F706" s="2">
        <v>2025.44</v>
      </c>
    </row>
    <row r="708" spans="1:7" x14ac:dyDescent="0.25">
      <c r="A708" s="1">
        <v>46120</v>
      </c>
      <c r="B708" s="2" t="s">
        <v>11353</v>
      </c>
      <c r="C708" s="2" t="s">
        <v>11354</v>
      </c>
      <c r="D708" s="2" t="s">
        <v>292</v>
      </c>
      <c r="E708" s="2">
        <v>75</v>
      </c>
      <c r="F708" s="2">
        <v>391.44</v>
      </c>
      <c r="G708" s="1">
        <v>46119</v>
      </c>
    </row>
    <row r="709" spans="3:6" x14ac:dyDescent="0.25">
      <c r="C709" s="2" t="s">
        <v>11355</v>
      </c>
      <c r="D709" s="2" t="s">
        <v>292</v>
      </c>
      <c r="E709" s="2">
        <v>75</v>
      </c>
      <c r="F709" s="2">
        <v>396.77</v>
      </c>
    </row>
    <row r="710" spans="3:6" x14ac:dyDescent="0.25">
      <c r="C710" s="2" t="s">
        <v>11356</v>
      </c>
      <c r="D710" s="2" t="s">
        <v>292</v>
      </c>
      <c r="E710" s="2">
        <v>100</v>
      </c>
      <c r="F710" s="2">
        <v>2052.34</v>
      </c>
    </row>
    <row r="711" spans="3:6" x14ac:dyDescent="0.25">
      <c r="C711" s="2" t="s">
        <v>11357</v>
      </c>
      <c r="D711" s="2" t="s">
        <v>292</v>
      </c>
      <c r="E711" s="2">
        <v>66</v>
      </c>
      <c r="F711" s="2">
        <v>1281.776</v>
      </c>
    </row>
    <row r="712" spans="3:6" x14ac:dyDescent="0.25">
      <c r="C712" s="2" t="s">
        <v>11358</v>
      </c>
      <c r="D712" s="2" t="s">
        <v>292</v>
      </c>
      <c r="E712" s="2">
        <v>100</v>
      </c>
      <c r="F712" s="2">
        <v>2242.32</v>
      </c>
    </row>
    <row r="713" spans="3:6" x14ac:dyDescent="0.25">
      <c r="C713" s="2" t="s">
        <v>11359</v>
      </c>
      <c r="D713" s="2" t="s">
        <v>292</v>
      </c>
      <c r="E713" s="2">
        <v>135</v>
      </c>
      <c r="F713" s="2">
        <v>2039.99</v>
      </c>
    </row>
    <row r="714" spans="3:6" x14ac:dyDescent="0.25">
      <c r="C714" s="2" t="s">
        <v>11360</v>
      </c>
      <c r="D714" s="2" t="s">
        <v>292</v>
      </c>
      <c r="E714" s="2">
        <v>109</v>
      </c>
      <c r="F714" s="2">
        <v>2292.027</v>
      </c>
    </row>
    <row r="715" spans="3:6" x14ac:dyDescent="0.25">
      <c r="C715" s="2" t="s">
        <v>11361</v>
      </c>
      <c r="D715" s="2" t="s">
        <v>292</v>
      </c>
      <c r="E715" s="2">
        <v>128</v>
      </c>
      <c r="F715" s="2">
        <v>1977.16</v>
      </c>
    </row>
    <row r="716" spans="3:6" x14ac:dyDescent="0.25">
      <c r="C716" s="2" t="s">
        <v>11362</v>
      </c>
      <c r="D716" s="2" t="s">
        <v>292</v>
      </c>
      <c r="E716" s="2">
        <v>141</v>
      </c>
      <c r="F716" s="2">
        <v>2838.81</v>
      </c>
    </row>
    <row r="717" spans="3:6" x14ac:dyDescent="0.25">
      <c r="C717" s="2" t="s">
        <v>11363</v>
      </c>
      <c r="D717" s="2" t="s">
        <v>292</v>
      </c>
      <c r="E717" s="2">
        <v>141</v>
      </c>
      <c r="F717" s="2">
        <v>2956.29</v>
      </c>
    </row>
    <row r="718" spans="3:6" x14ac:dyDescent="0.25">
      <c r="C718" s="2" t="s">
        <v>11364</v>
      </c>
      <c r="D718" s="2" t="s">
        <v>292</v>
      </c>
      <c r="E718" s="2">
        <v>141</v>
      </c>
      <c r="F718" s="2">
        <v>2886.11</v>
      </c>
    </row>
    <row r="719" spans="3:6" x14ac:dyDescent="0.25">
      <c r="C719" s="2" t="s">
        <v>11365</v>
      </c>
      <c r="D719" s="2" t="s">
        <v>292</v>
      </c>
      <c r="E719" s="2">
        <v>39</v>
      </c>
      <c r="F719" s="2">
        <v>861.05</v>
      </c>
    </row>
    <row r="720" spans="3:6" x14ac:dyDescent="0.25">
      <c r="C720" s="2" t="s">
        <v>11366</v>
      </c>
      <c r="D720" s="2" t="s">
        <v>292</v>
      </c>
      <c r="E720" s="2">
        <v>102</v>
      </c>
      <c r="F720" s="2">
        <v>2030.11</v>
      </c>
    </row>
    <row r="721" spans="3:6" x14ac:dyDescent="0.25">
      <c r="C721" s="2" t="s">
        <v>11367</v>
      </c>
      <c r="D721" s="2" t="s">
        <v>292</v>
      </c>
      <c r="E721" s="2">
        <v>20</v>
      </c>
      <c r="F721" s="2">
        <v>107.95</v>
      </c>
    </row>
    <row r="722" spans="3:6" x14ac:dyDescent="0.25">
      <c r="C722" s="2" t="s">
        <v>11368</v>
      </c>
      <c r="D722" s="2" t="s">
        <v>292</v>
      </c>
      <c r="E722" s="2">
        <v>123</v>
      </c>
      <c r="F722" s="2">
        <v>2458.33</v>
      </c>
    </row>
    <row r="723" spans="3:6" x14ac:dyDescent="0.25">
      <c r="C723" s="2" t="s">
        <v>11369</v>
      </c>
      <c r="D723" s="2" t="s">
        <v>292</v>
      </c>
      <c r="E723" s="2">
        <v>123</v>
      </c>
      <c r="F723" s="2">
        <v>2655.62</v>
      </c>
    </row>
    <row r="724" spans="3:6" x14ac:dyDescent="0.25">
      <c r="C724" s="2" t="s">
        <v>11370</v>
      </c>
      <c r="D724" s="2" t="s">
        <v>292</v>
      </c>
      <c r="E724" s="2">
        <v>100</v>
      </c>
      <c r="F724" s="2">
        <v>1849.429</v>
      </c>
    </row>
    <row r="725" spans="3:6" x14ac:dyDescent="0.25">
      <c r="C725" s="2" t="s">
        <v>11371</v>
      </c>
      <c r="D725" s="2" t="s">
        <v>292</v>
      </c>
      <c r="E725" s="2">
        <v>141</v>
      </c>
      <c r="F725" s="2">
        <v>2821.389</v>
      </c>
    </row>
    <row r="726" spans="3:6" x14ac:dyDescent="0.25">
      <c r="C726" s="2" t="s">
        <v>11372</v>
      </c>
      <c r="D726" s="2" t="s">
        <v>292</v>
      </c>
      <c r="E726" s="2">
        <v>141</v>
      </c>
      <c r="F726" s="2">
        <v>3059.449</v>
      </c>
    </row>
    <row r="727" spans="3:6" x14ac:dyDescent="0.25">
      <c r="C727" s="2" t="s">
        <v>11373</v>
      </c>
      <c r="D727" s="2" t="s">
        <v>292</v>
      </c>
      <c r="E727" s="2">
        <v>141</v>
      </c>
      <c r="F727" s="2">
        <v>2989.13</v>
      </c>
    </row>
    <row r="728" spans="3:6" x14ac:dyDescent="0.25">
      <c r="C728" s="2" t="s">
        <v>11374</v>
      </c>
      <c r="D728" s="2" t="s">
        <v>292</v>
      </c>
      <c r="E728" s="2">
        <v>63</v>
      </c>
      <c r="F728" s="2">
        <v>1316.99</v>
      </c>
    </row>
    <row r="729" spans="3:6" x14ac:dyDescent="0.25">
      <c r="C729" s="2" t="s">
        <v>11375</v>
      </c>
      <c r="D729" s="2" t="s">
        <v>292</v>
      </c>
      <c r="E729" s="2">
        <v>64</v>
      </c>
      <c r="F729" s="2">
        <v>1423.012</v>
      </c>
    </row>
    <row r="730" spans="3:6" x14ac:dyDescent="0.25">
      <c r="C730" s="2" t="s">
        <v>11376</v>
      </c>
      <c r="D730" s="2" t="s">
        <v>292</v>
      </c>
      <c r="E730" s="2">
        <v>18</v>
      </c>
      <c r="F730" s="2">
        <v>351.42</v>
      </c>
    </row>
    <row r="731" spans="3:6" x14ac:dyDescent="0.25">
      <c r="C731" s="2" t="s">
        <v>11377</v>
      </c>
      <c r="D731" s="2" t="s">
        <v>292</v>
      </c>
      <c r="E731" s="2">
        <v>54</v>
      </c>
      <c r="F731" s="2">
        <v>1118.67</v>
      </c>
    </row>
    <row r="732" spans="3:6" x14ac:dyDescent="0.25">
      <c r="C732" s="2" t="s">
        <v>11378</v>
      </c>
      <c r="D732" s="2" t="s">
        <v>292</v>
      </c>
      <c r="E732" s="2">
        <v>82</v>
      </c>
      <c r="F732" s="2">
        <v>1644.379</v>
      </c>
    </row>
    <row r="733" spans="3:6" x14ac:dyDescent="0.25">
      <c r="C733" s="2" t="s">
        <v>11379</v>
      </c>
      <c r="D733" s="2" t="s">
        <v>292</v>
      </c>
      <c r="E733" s="2">
        <v>87</v>
      </c>
      <c r="F733" s="2">
        <v>1636.265</v>
      </c>
    </row>
    <row r="734" spans="3:6" x14ac:dyDescent="0.25">
      <c r="C734" s="2" t="s">
        <v>11380</v>
      </c>
      <c r="D734" s="2" t="s">
        <v>292</v>
      </c>
      <c r="E734" s="2">
        <v>65</v>
      </c>
      <c r="F734" s="2">
        <v>1354.38</v>
      </c>
    </row>
    <row r="735" spans="3:6" x14ac:dyDescent="0.25">
      <c r="C735" s="2" t="s">
        <v>11381</v>
      </c>
      <c r="D735" s="2" t="s">
        <v>292</v>
      </c>
      <c r="E735" s="2">
        <v>10</v>
      </c>
      <c r="F735" s="2">
        <v>201.61</v>
      </c>
    </row>
    <row r="736" spans="3:6" x14ac:dyDescent="0.25">
      <c r="C736" s="2" t="s">
        <v>11382</v>
      </c>
      <c r="D736" s="2" t="s">
        <v>292</v>
      </c>
      <c r="E736" s="2">
        <v>61</v>
      </c>
      <c r="F736" s="2">
        <v>1218.54</v>
      </c>
    </row>
    <row r="737" spans="3:6" x14ac:dyDescent="0.25">
      <c r="C737" s="2" t="s">
        <v>11383</v>
      </c>
      <c r="D737" s="2" t="s">
        <v>292</v>
      </c>
      <c r="E737" s="2">
        <v>141</v>
      </c>
      <c r="F737" s="2">
        <v>2816.79</v>
      </c>
    </row>
    <row r="738" spans="3:6" x14ac:dyDescent="0.25">
      <c r="C738" s="2" t="s">
        <v>11384</v>
      </c>
      <c r="D738" s="2" t="s">
        <v>292</v>
      </c>
      <c r="E738" s="2">
        <v>141</v>
      </c>
      <c r="F738" s="2">
        <v>2705.87</v>
      </c>
    </row>
    <row r="739" spans="3:6" x14ac:dyDescent="0.25">
      <c r="C739" s="2" t="s">
        <v>11385</v>
      </c>
      <c r="D739" s="2" t="s">
        <v>292</v>
      </c>
      <c r="E739" s="2">
        <v>57</v>
      </c>
      <c r="F739" s="2">
        <v>919.819</v>
      </c>
    </row>
    <row r="740" spans="3:6" x14ac:dyDescent="0.25">
      <c r="C740" s="2" t="s">
        <v>11386</v>
      </c>
      <c r="D740" s="2" t="s">
        <v>292</v>
      </c>
      <c r="E740" s="2">
        <v>15</v>
      </c>
      <c r="F740" s="2">
        <v>262.38</v>
      </c>
    </row>
    <row r="741" spans="3:6" x14ac:dyDescent="0.25">
      <c r="C741" s="2" t="s">
        <v>11387</v>
      </c>
      <c r="D741" s="2" t="s">
        <v>292</v>
      </c>
      <c r="E741" s="2">
        <v>9</v>
      </c>
      <c r="F741" s="2">
        <v>146.7</v>
      </c>
    </row>
    <row r="742" spans="3:6" x14ac:dyDescent="0.25">
      <c r="C742" s="2" t="s">
        <v>11388</v>
      </c>
      <c r="D742" s="2" t="s">
        <v>292</v>
      </c>
      <c r="E742" s="2">
        <v>77</v>
      </c>
      <c r="F742" s="2">
        <v>1524.389</v>
      </c>
    </row>
    <row r="743" spans="3:6" x14ac:dyDescent="0.25">
      <c r="C743" s="2" t="s">
        <v>11389</v>
      </c>
      <c r="D743" s="2" t="s">
        <v>292</v>
      </c>
      <c r="E743" s="2">
        <v>75</v>
      </c>
      <c r="F743" s="2">
        <v>392.46</v>
      </c>
    </row>
    <row r="744" spans="3:6" x14ac:dyDescent="0.25">
      <c r="C744" s="2" t="s">
        <v>11390</v>
      </c>
      <c r="D744" s="2" t="s">
        <v>292</v>
      </c>
      <c r="E744" s="2">
        <v>100</v>
      </c>
      <c r="F744" s="2">
        <v>2063.13</v>
      </c>
    </row>
    <row r="745" spans="3:6" x14ac:dyDescent="0.25">
      <c r="C745" s="2" t="s">
        <v>11391</v>
      </c>
      <c r="D745" s="2" t="s">
        <v>292</v>
      </c>
      <c r="E745" s="2">
        <v>131</v>
      </c>
      <c r="F745" s="2">
        <v>1908.013</v>
      </c>
    </row>
    <row r="746" spans="3:6" x14ac:dyDescent="0.25">
      <c r="C746" s="2" t="s">
        <v>11392</v>
      </c>
      <c r="D746" s="2" t="s">
        <v>292</v>
      </c>
      <c r="E746" s="2">
        <v>141</v>
      </c>
      <c r="F746" s="2">
        <v>2915.42</v>
      </c>
    </row>
    <row r="747" spans="3:6" x14ac:dyDescent="0.25">
      <c r="C747" s="2" t="s">
        <v>11393</v>
      </c>
      <c r="D747" s="2" t="s">
        <v>292</v>
      </c>
      <c r="E747" s="2">
        <v>123</v>
      </c>
      <c r="F747" s="2">
        <v>2531.99</v>
      </c>
    </row>
    <row r="748" spans="3:6" x14ac:dyDescent="0.25">
      <c r="C748" s="2" t="s">
        <v>11394</v>
      </c>
      <c r="D748" s="2" t="s">
        <v>292</v>
      </c>
      <c r="E748" s="2">
        <v>34</v>
      </c>
      <c r="F748" s="2">
        <v>707</v>
      </c>
    </row>
    <row r="749" spans="3:6" x14ac:dyDescent="0.25">
      <c r="C749" s="2" t="s">
        <v>11395</v>
      </c>
      <c r="D749" s="2" t="s">
        <v>292</v>
      </c>
      <c r="E749" s="2">
        <v>75</v>
      </c>
      <c r="F749" s="2">
        <v>1548.31</v>
      </c>
    </row>
    <row r="750" spans="3:6" x14ac:dyDescent="0.25">
      <c r="C750" s="2" t="s">
        <v>11396</v>
      </c>
      <c r="D750" s="2" t="s">
        <v>292</v>
      </c>
      <c r="E750" s="2">
        <v>18</v>
      </c>
      <c r="F750" s="2">
        <v>435.74</v>
      </c>
    </row>
    <row r="751" spans="3:6" x14ac:dyDescent="0.25">
      <c r="C751" s="2" t="s">
        <v>11397</v>
      </c>
      <c r="D751" s="2" t="s">
        <v>292</v>
      </c>
      <c r="E751" s="2">
        <v>61</v>
      </c>
      <c r="F751" s="2">
        <v>1152.37</v>
      </c>
    </row>
    <row r="752" spans="3:6" x14ac:dyDescent="0.25">
      <c r="C752" s="2" t="s">
        <v>11398</v>
      </c>
      <c r="D752" s="2" t="s">
        <v>292</v>
      </c>
      <c r="E752" s="2">
        <v>91</v>
      </c>
      <c r="F752" s="2">
        <v>1888.009</v>
      </c>
    </row>
    <row r="753" spans="3:6" x14ac:dyDescent="0.25">
      <c r="C753" s="2" t="s">
        <v>11399</v>
      </c>
      <c r="D753" s="2" t="s">
        <v>292</v>
      </c>
      <c r="E753" s="2">
        <v>39</v>
      </c>
      <c r="F753" s="2">
        <v>721.91</v>
      </c>
    </row>
    <row r="754" spans="3:6" x14ac:dyDescent="0.25">
      <c r="C754" s="2" t="s">
        <v>11400</v>
      </c>
      <c r="D754" s="2" t="s">
        <v>292</v>
      </c>
      <c r="E754" s="2">
        <v>141</v>
      </c>
      <c r="F754" s="2">
        <v>2884.11</v>
      </c>
    </row>
    <row r="755" spans="3:6" x14ac:dyDescent="0.25">
      <c r="C755" s="2" t="s">
        <v>11401</v>
      </c>
      <c r="D755" s="2" t="s">
        <v>292</v>
      </c>
      <c r="E755" s="2">
        <v>45</v>
      </c>
      <c r="F755" s="2">
        <v>1010.49</v>
      </c>
    </row>
    <row r="756" spans="3:6" x14ac:dyDescent="0.25">
      <c r="C756" s="2" t="s">
        <v>11402</v>
      </c>
      <c r="D756" s="2" t="s">
        <v>292</v>
      </c>
      <c r="E756" s="2">
        <v>100</v>
      </c>
      <c r="F756" s="2">
        <v>1978.4</v>
      </c>
    </row>
    <row r="757" spans="3:6" x14ac:dyDescent="0.25">
      <c r="C757" s="2" t="s">
        <v>11403</v>
      </c>
      <c r="D757" s="2" t="s">
        <v>292</v>
      </c>
      <c r="E757" s="2">
        <v>25</v>
      </c>
      <c r="F757" s="2">
        <v>502.3</v>
      </c>
    </row>
    <row r="758" spans="3:6" x14ac:dyDescent="0.25">
      <c r="C758" s="2" t="s">
        <v>11404</v>
      </c>
      <c r="D758" s="2" t="s">
        <v>292</v>
      </c>
      <c r="E758" s="2">
        <v>20</v>
      </c>
      <c r="F758" s="2">
        <v>360.099</v>
      </c>
    </row>
    <row r="759" spans="3:6" x14ac:dyDescent="0.25">
      <c r="C759" s="2" t="s">
        <v>11405</v>
      </c>
      <c r="D759" s="2" t="s">
        <v>292</v>
      </c>
      <c r="E759" s="2">
        <v>52</v>
      </c>
      <c r="F759" s="2">
        <v>538.543</v>
      </c>
    </row>
    <row r="760" spans="3:6" x14ac:dyDescent="0.25">
      <c r="C760" s="2" t="s">
        <v>11406</v>
      </c>
      <c r="D760" s="2" t="s">
        <v>292</v>
      </c>
      <c r="E760" s="2">
        <v>16</v>
      </c>
      <c r="F760" s="2">
        <v>333.26</v>
      </c>
    </row>
    <row r="761" spans="3:6" x14ac:dyDescent="0.25">
      <c r="C761" s="2" t="s">
        <v>11407</v>
      </c>
      <c r="D761" s="2" t="s">
        <v>292</v>
      </c>
      <c r="E761" s="2">
        <v>19</v>
      </c>
      <c r="F761" s="2">
        <v>385.16</v>
      </c>
    </row>
    <row r="762" spans="3:6" x14ac:dyDescent="0.25">
      <c r="C762" s="2" t="s">
        <v>11408</v>
      </c>
      <c r="D762" s="2" t="s">
        <v>292</v>
      </c>
      <c r="E762" s="2">
        <v>106</v>
      </c>
      <c r="F762" s="2">
        <v>2116.59</v>
      </c>
    </row>
    <row r="763" spans="3:6" x14ac:dyDescent="0.25">
      <c r="C763" s="2" t="s">
        <v>11409</v>
      </c>
      <c r="D763" s="2" t="s">
        <v>292</v>
      </c>
      <c r="E763" s="2">
        <v>39</v>
      </c>
      <c r="F763" s="2">
        <v>784.66</v>
      </c>
    </row>
    <row r="764" spans="3:6" x14ac:dyDescent="0.25">
      <c r="C764" s="2" t="s">
        <v>11410</v>
      </c>
      <c r="D764" s="2" t="s">
        <v>292</v>
      </c>
      <c r="E764" s="2">
        <v>82</v>
      </c>
      <c r="F764" s="2">
        <v>1666.599</v>
      </c>
    </row>
    <row r="765" spans="3:6" x14ac:dyDescent="0.25">
      <c r="C765" s="2" t="s">
        <v>11411</v>
      </c>
      <c r="D765" s="2" t="s">
        <v>292</v>
      </c>
      <c r="E765" s="2">
        <v>46</v>
      </c>
      <c r="F765" s="2">
        <v>915.427</v>
      </c>
    </row>
    <row r="767" spans="1:7" x14ac:dyDescent="0.25">
      <c r="A767" s="1">
        <v>46120</v>
      </c>
      <c r="B767" s="2" t="s">
        <v>11412</v>
      </c>
      <c r="C767" s="2" t="s">
        <v>11413</v>
      </c>
      <c r="D767" s="2" t="s">
        <v>4096</v>
      </c>
      <c r="E767" s="2">
        <v>35</v>
      </c>
      <c r="F767" s="2">
        <v>644.47</v>
      </c>
      <c r="G767" s="1">
        <v>46119</v>
      </c>
    </row>
    <row r="768" spans="3:6" x14ac:dyDescent="0.25">
      <c r="C768" s="2" t="s">
        <v>11414</v>
      </c>
      <c r="D768" s="2" t="s">
        <v>4096</v>
      </c>
      <c r="E768" s="2">
        <v>106</v>
      </c>
      <c r="F768" s="2">
        <v>2165.52</v>
      </c>
    </row>
    <row r="769" spans="3:6" x14ac:dyDescent="0.25">
      <c r="C769" s="2" t="s">
        <v>11415</v>
      </c>
      <c r="D769" s="2" t="s">
        <v>4096</v>
      </c>
      <c r="E769" s="2">
        <v>141</v>
      </c>
      <c r="F769" s="2">
        <v>2707.87</v>
      </c>
    </row>
    <row r="770" spans="3:6" x14ac:dyDescent="0.25">
      <c r="C770" s="2" t="s">
        <v>11416</v>
      </c>
      <c r="D770" s="2" t="s">
        <v>4096</v>
      </c>
      <c r="E770" s="2">
        <v>55</v>
      </c>
      <c r="F770" s="2">
        <v>1057.86</v>
      </c>
    </row>
    <row r="771" spans="3:6" x14ac:dyDescent="0.25">
      <c r="C771" s="2" t="s">
        <v>11417</v>
      </c>
      <c r="D771" s="2" t="s">
        <v>4096</v>
      </c>
      <c r="E771" s="2">
        <v>86</v>
      </c>
      <c r="F771" s="2">
        <v>1624.45</v>
      </c>
    </row>
    <row r="772" spans="3:6" x14ac:dyDescent="0.25">
      <c r="C772" s="2" t="s">
        <v>11418</v>
      </c>
      <c r="D772" s="2" t="s">
        <v>4096</v>
      </c>
      <c r="E772" s="2">
        <v>141</v>
      </c>
      <c r="F772" s="2">
        <v>2910.8</v>
      </c>
    </row>
    <row r="773" spans="3:6" x14ac:dyDescent="0.25">
      <c r="C773" s="2" t="s">
        <v>11419</v>
      </c>
      <c r="D773" s="2" t="s">
        <v>4096</v>
      </c>
      <c r="E773" s="2">
        <v>31</v>
      </c>
      <c r="F773" s="2">
        <v>627.02</v>
      </c>
    </row>
    <row r="774" spans="3:6" x14ac:dyDescent="0.25">
      <c r="C774" s="2" t="s">
        <v>11420</v>
      </c>
      <c r="D774" s="2" t="s">
        <v>4096</v>
      </c>
      <c r="E774" s="2">
        <v>25</v>
      </c>
      <c r="F774" s="2">
        <v>525.41</v>
      </c>
    </row>
    <row r="775" spans="3:6" x14ac:dyDescent="0.25">
      <c r="C775" s="2" t="s">
        <v>11421</v>
      </c>
      <c r="D775" s="2" t="s">
        <v>4096</v>
      </c>
      <c r="E775" s="2">
        <v>85</v>
      </c>
      <c r="F775" s="2">
        <v>1763.69</v>
      </c>
    </row>
    <row r="776" spans="3:6" x14ac:dyDescent="0.25">
      <c r="C776" s="2" t="s">
        <v>11422</v>
      </c>
      <c r="D776" s="2" t="s">
        <v>4096</v>
      </c>
      <c r="E776" s="2">
        <v>141</v>
      </c>
      <c r="F776" s="2">
        <v>2781.51</v>
      </c>
    </row>
    <row r="777" spans="3:6" x14ac:dyDescent="0.25">
      <c r="C777" s="2" t="s">
        <v>11423</v>
      </c>
      <c r="D777" s="2" t="s">
        <v>4096</v>
      </c>
      <c r="E777" s="2">
        <v>76</v>
      </c>
      <c r="F777" s="2">
        <v>1530.569</v>
      </c>
    </row>
    <row r="778" spans="3:6" x14ac:dyDescent="0.25">
      <c r="C778" s="2" t="s">
        <v>11424</v>
      </c>
      <c r="D778" s="2" t="s">
        <v>4096</v>
      </c>
      <c r="E778" s="2">
        <v>22</v>
      </c>
      <c r="F778" s="2">
        <v>421.32</v>
      </c>
    </row>
    <row r="779" spans="3:6" x14ac:dyDescent="0.25">
      <c r="C779" s="2" t="s">
        <v>11425</v>
      </c>
      <c r="D779" s="2" t="s">
        <v>4096</v>
      </c>
      <c r="E779" s="2">
        <v>43</v>
      </c>
      <c r="F779" s="2">
        <v>874.42</v>
      </c>
    </row>
    <row r="781" spans="1:7" x14ac:dyDescent="0.25">
      <c r="A781" s="1">
        <v>46120</v>
      </c>
      <c r="B781" s="2" t="s">
        <v>7</v>
      </c>
      <c r="C781" s="2" t="s">
        <v>11426</v>
      </c>
      <c r="D781" s="2" t="s">
        <v>9</v>
      </c>
      <c r="E781" s="2">
        <v>99</v>
      </c>
      <c r="F781" s="2">
        <v>1674.746</v>
      </c>
      <c r="G781" s="1">
        <v>46119</v>
      </c>
    </row>
    <row r="782" spans="3:6" x14ac:dyDescent="0.25">
      <c r="C782" s="2" t="s">
        <v>11427</v>
      </c>
      <c r="D782" s="2" t="s">
        <v>9</v>
      </c>
      <c r="E782" s="2">
        <v>100</v>
      </c>
      <c r="F782" s="2">
        <v>1930.749</v>
      </c>
    </row>
    <row r="784" spans="1:7" x14ac:dyDescent="0.25">
      <c r="A784" s="1">
        <v>46120</v>
      </c>
      <c r="B784" s="2" t="s">
        <v>378</v>
      </c>
      <c r="C784" s="2" t="s">
        <v>11428</v>
      </c>
      <c r="D784" s="2" t="s">
        <v>15</v>
      </c>
      <c r="E784" s="2">
        <v>105</v>
      </c>
      <c r="F784" s="2">
        <v>2029.33</v>
      </c>
      <c r="G784" s="1">
        <v>46119</v>
      </c>
    </row>
    <row r="785" spans="3:6" x14ac:dyDescent="0.25">
      <c r="C785" s="2" t="s">
        <v>11429</v>
      </c>
      <c r="D785" s="2" t="s">
        <v>15</v>
      </c>
      <c r="E785" s="2">
        <v>105</v>
      </c>
      <c r="F785" s="2">
        <v>2047.35</v>
      </c>
    </row>
    <row r="786" spans="3:6" x14ac:dyDescent="0.25">
      <c r="C786" s="2" t="s">
        <v>11430</v>
      </c>
      <c r="D786" s="2" t="s">
        <v>15</v>
      </c>
      <c r="E786" s="2">
        <v>156</v>
      </c>
      <c r="F786" s="2">
        <v>3076.75</v>
      </c>
    </row>
    <row r="787" spans="3:6" x14ac:dyDescent="0.25">
      <c r="C787" s="2" t="s">
        <v>11431</v>
      </c>
      <c r="D787" s="2" t="s">
        <v>15</v>
      </c>
      <c r="E787" s="2">
        <v>36</v>
      </c>
      <c r="F787" s="2">
        <v>702.49</v>
      </c>
    </row>
    <row r="788" spans="3:6" x14ac:dyDescent="0.25">
      <c r="C788" s="2" t="s">
        <v>11432</v>
      </c>
      <c r="D788" s="2" t="s">
        <v>42</v>
      </c>
      <c r="E788" s="2">
        <v>91</v>
      </c>
      <c r="F788" s="2">
        <v>1749.1</v>
      </c>
    </row>
    <row r="789" spans="3:6" x14ac:dyDescent="0.25">
      <c r="C789" s="2" t="s">
        <v>11433</v>
      </c>
      <c r="D789" s="2" t="s">
        <v>42</v>
      </c>
      <c r="E789" s="2">
        <v>52</v>
      </c>
      <c r="F789" s="2">
        <v>994.29</v>
      </c>
    </row>
    <row r="790" spans="3:6" x14ac:dyDescent="0.25">
      <c r="C790" s="2" t="s">
        <v>11434</v>
      </c>
      <c r="D790" s="2" t="s">
        <v>42</v>
      </c>
      <c r="E790" s="2">
        <v>13</v>
      </c>
      <c r="F790" s="2">
        <v>227.846</v>
      </c>
    </row>
    <row r="791" spans="3:6" x14ac:dyDescent="0.25">
      <c r="C791" s="2" t="s">
        <v>11435</v>
      </c>
      <c r="D791" s="2" t="s">
        <v>30</v>
      </c>
      <c r="E791" s="2">
        <v>42</v>
      </c>
      <c r="F791" s="2">
        <v>788.869</v>
      </c>
    </row>
    <row r="792" spans="3:6" x14ac:dyDescent="0.25">
      <c r="C792" s="2" t="s">
        <v>11436</v>
      </c>
      <c r="D792" s="2" t="s">
        <v>30</v>
      </c>
      <c r="E792" s="2">
        <v>65</v>
      </c>
      <c r="F792" s="2">
        <v>1217.099</v>
      </c>
    </row>
    <row r="793" spans="3:6" x14ac:dyDescent="0.25">
      <c r="C793" s="2" t="s">
        <v>11437</v>
      </c>
      <c r="D793" s="2" t="s">
        <v>15</v>
      </c>
      <c r="E793" s="2">
        <v>163</v>
      </c>
      <c r="F793" s="2">
        <v>3148.21</v>
      </c>
    </row>
    <row r="794" spans="3:6" x14ac:dyDescent="0.25">
      <c r="C794" s="2" t="s">
        <v>11438</v>
      </c>
      <c r="D794" s="2" t="s">
        <v>15</v>
      </c>
      <c r="E794" s="2">
        <v>163</v>
      </c>
      <c r="F794" s="2">
        <v>3281.104</v>
      </c>
    </row>
    <row r="795" spans="3:6" x14ac:dyDescent="0.25">
      <c r="C795" s="2" t="s">
        <v>11439</v>
      </c>
      <c r="D795" s="2" t="s">
        <v>30</v>
      </c>
      <c r="E795" s="2">
        <v>163</v>
      </c>
      <c r="F795" s="2">
        <v>3186.129</v>
      </c>
    </row>
    <row r="796" spans="3:6" x14ac:dyDescent="0.25">
      <c r="C796" s="2" t="s">
        <v>11440</v>
      </c>
      <c r="D796" s="2" t="s">
        <v>15</v>
      </c>
      <c r="E796" s="2">
        <v>105</v>
      </c>
      <c r="F796" s="2">
        <v>1913.911</v>
      </c>
    </row>
    <row r="797" spans="3:6" x14ac:dyDescent="0.25">
      <c r="C797" s="2" t="s">
        <v>11441</v>
      </c>
      <c r="D797" s="2" t="s">
        <v>30</v>
      </c>
      <c r="E797" s="2">
        <v>163</v>
      </c>
      <c r="F797" s="2">
        <v>3080.56</v>
      </c>
    </row>
    <row r="798" spans="3:6" x14ac:dyDescent="0.25">
      <c r="C798" s="2" t="s">
        <v>11442</v>
      </c>
      <c r="D798" s="2" t="s">
        <v>30</v>
      </c>
      <c r="E798" s="2">
        <v>163</v>
      </c>
      <c r="F798" s="2">
        <v>3198</v>
      </c>
    </row>
    <row r="799" spans="3:6" x14ac:dyDescent="0.25">
      <c r="C799" s="2" t="s">
        <v>11443</v>
      </c>
      <c r="D799" s="2" t="s">
        <v>30</v>
      </c>
      <c r="E799" s="2">
        <v>163</v>
      </c>
      <c r="F799" s="2">
        <v>3119.52</v>
      </c>
    </row>
    <row r="800" spans="3:6" x14ac:dyDescent="0.25">
      <c r="C800" s="2" t="s">
        <v>11444</v>
      </c>
      <c r="D800" s="2" t="s">
        <v>30</v>
      </c>
      <c r="E800" s="2">
        <v>163</v>
      </c>
      <c r="F800" s="2">
        <v>3174.91</v>
      </c>
    </row>
    <row r="801" spans="3:6" x14ac:dyDescent="0.25">
      <c r="C801" s="2" t="s">
        <v>11445</v>
      </c>
      <c r="D801" s="2" t="s">
        <v>42</v>
      </c>
      <c r="E801" s="2">
        <v>56</v>
      </c>
      <c r="F801" s="2">
        <v>1085.999</v>
      </c>
    </row>
    <row r="802" spans="3:6" x14ac:dyDescent="0.25">
      <c r="C802" s="2" t="s">
        <v>11446</v>
      </c>
      <c r="D802" s="2" t="s">
        <v>42</v>
      </c>
      <c r="E802" s="2">
        <v>100</v>
      </c>
      <c r="F802" s="2">
        <v>1927.084</v>
      </c>
    </row>
    <row r="803" spans="3:6" x14ac:dyDescent="0.25">
      <c r="C803" s="2" t="s">
        <v>11447</v>
      </c>
      <c r="D803" s="2" t="s">
        <v>30</v>
      </c>
      <c r="E803" s="2">
        <v>163</v>
      </c>
      <c r="F803" s="2">
        <v>3140.07</v>
      </c>
    </row>
    <row r="804" spans="3:6" x14ac:dyDescent="0.25">
      <c r="C804" s="2" t="s">
        <v>11448</v>
      </c>
      <c r="D804" s="2" t="s">
        <v>36</v>
      </c>
      <c r="E804" s="2">
        <v>14</v>
      </c>
      <c r="F804" s="2">
        <v>251.59</v>
      </c>
    </row>
    <row r="805" spans="3:6" x14ac:dyDescent="0.25">
      <c r="C805" s="2" t="s">
        <v>11449</v>
      </c>
      <c r="D805" s="2" t="s">
        <v>36</v>
      </c>
      <c r="E805" s="2">
        <v>51</v>
      </c>
      <c r="F805" s="2">
        <v>950.568</v>
      </c>
    </row>
    <row r="806" spans="3:6" x14ac:dyDescent="0.25">
      <c r="C806" s="2" t="s">
        <v>11450</v>
      </c>
      <c r="D806" s="2" t="s">
        <v>36</v>
      </c>
      <c r="E806" s="2">
        <v>13</v>
      </c>
      <c r="F806" s="2">
        <v>219.16</v>
      </c>
    </row>
    <row r="807" spans="3:6" x14ac:dyDescent="0.25">
      <c r="C807" s="2" t="s">
        <v>11451</v>
      </c>
      <c r="D807" s="2" t="s">
        <v>36</v>
      </c>
      <c r="E807" s="2">
        <v>78</v>
      </c>
      <c r="F807" s="2">
        <v>1439.429</v>
      </c>
    </row>
    <row r="808" spans="3:6" x14ac:dyDescent="0.25">
      <c r="C808" s="2" t="s">
        <v>11452</v>
      </c>
      <c r="D808" s="2" t="s">
        <v>30</v>
      </c>
      <c r="E808" s="2">
        <v>134</v>
      </c>
      <c r="F808" s="2">
        <v>2584.678</v>
      </c>
    </row>
    <row r="809" spans="3:6" x14ac:dyDescent="0.25">
      <c r="C809" s="2" t="s">
        <v>11453</v>
      </c>
      <c r="D809" s="2" t="s">
        <v>30</v>
      </c>
      <c r="E809" s="2">
        <v>134</v>
      </c>
      <c r="F809" s="2">
        <v>2702.44</v>
      </c>
    </row>
    <row r="810" spans="3:6" x14ac:dyDescent="0.25">
      <c r="C810" s="2" t="s">
        <v>11454</v>
      </c>
      <c r="D810" s="2" t="s">
        <v>30</v>
      </c>
      <c r="E810" s="2">
        <v>134</v>
      </c>
      <c r="F810" s="2">
        <v>2703.67</v>
      </c>
    </row>
    <row r="811" spans="3:6" x14ac:dyDescent="0.25">
      <c r="C811" s="2" t="s">
        <v>11455</v>
      </c>
      <c r="D811" s="2" t="s">
        <v>30</v>
      </c>
      <c r="E811" s="2">
        <v>134</v>
      </c>
      <c r="F811" s="2">
        <v>2717.51</v>
      </c>
    </row>
    <row r="812" spans="3:6" x14ac:dyDescent="0.25">
      <c r="C812" s="2" t="s">
        <v>11456</v>
      </c>
      <c r="D812" s="2" t="s">
        <v>30</v>
      </c>
      <c r="E812" s="2">
        <v>134</v>
      </c>
      <c r="F812" s="2">
        <v>2739.12</v>
      </c>
    </row>
    <row r="813" spans="3:6" x14ac:dyDescent="0.25">
      <c r="C813" s="2" t="s">
        <v>11457</v>
      </c>
      <c r="D813" s="2" t="s">
        <v>30</v>
      </c>
      <c r="E813" s="2">
        <v>134</v>
      </c>
      <c r="F813" s="2">
        <v>2665.26</v>
      </c>
    </row>
    <row r="814" spans="3:6" x14ac:dyDescent="0.25">
      <c r="C814" s="2" t="s">
        <v>11458</v>
      </c>
      <c r="D814" s="2" t="s">
        <v>15</v>
      </c>
      <c r="E814" s="2">
        <v>105</v>
      </c>
      <c r="F814" s="2">
        <v>800</v>
      </c>
    </row>
    <row r="815" spans="3:6" x14ac:dyDescent="0.25">
      <c r="C815" s="2" t="s">
        <v>11459</v>
      </c>
      <c r="D815" s="2" t="s">
        <v>15</v>
      </c>
      <c r="E815" s="2">
        <v>105</v>
      </c>
      <c r="F815" s="2">
        <v>800</v>
      </c>
    </row>
    <row r="817" spans="1:7" x14ac:dyDescent="0.25">
      <c r="A817" s="1">
        <v>46120</v>
      </c>
      <c r="B817" s="2" t="s">
        <v>11460</v>
      </c>
      <c r="C817" s="2" t="s">
        <v>11461</v>
      </c>
      <c r="D817" s="2" t="s">
        <v>30</v>
      </c>
      <c r="E817" s="2">
        <v>135</v>
      </c>
      <c r="F817" s="2">
        <v>2397.918</v>
      </c>
      <c r="G817" s="1">
        <v>46119</v>
      </c>
    </row>
    <row r="818" spans="3:6" x14ac:dyDescent="0.25">
      <c r="C818" s="2" t="s">
        <v>11462</v>
      </c>
      <c r="D818" s="2" t="s">
        <v>30</v>
      </c>
      <c r="E818" s="2">
        <v>23</v>
      </c>
      <c r="F818" s="2">
        <v>387.41</v>
      </c>
    </row>
    <row r="819" spans="3:6" x14ac:dyDescent="0.25">
      <c r="C819" s="2" t="s">
        <v>11463</v>
      </c>
      <c r="D819" s="2" t="s">
        <v>26</v>
      </c>
      <c r="E819" s="2">
        <v>156</v>
      </c>
      <c r="F819" s="2">
        <v>2750.82</v>
      </c>
    </row>
    <row r="820" spans="3:6" x14ac:dyDescent="0.25">
      <c r="C820" s="2" t="s">
        <v>11464</v>
      </c>
      <c r="D820" s="2" t="s">
        <v>26</v>
      </c>
      <c r="E820" s="2">
        <v>105</v>
      </c>
      <c r="F820" s="2">
        <v>1801.089</v>
      </c>
    </row>
    <row r="821" spans="3:6" x14ac:dyDescent="0.25">
      <c r="C821" s="2" t="s">
        <v>11465</v>
      </c>
      <c r="D821" s="2" t="s">
        <v>53</v>
      </c>
      <c r="E821" s="2">
        <v>156</v>
      </c>
      <c r="F821" s="2">
        <v>3044.12</v>
      </c>
    </row>
    <row r="822" spans="3:6" x14ac:dyDescent="0.25">
      <c r="C822" s="2" t="s">
        <v>11466</v>
      </c>
      <c r="D822" s="2" t="s">
        <v>53</v>
      </c>
      <c r="E822" s="2">
        <v>156</v>
      </c>
      <c r="F822" s="2">
        <v>3129.283</v>
      </c>
    </row>
    <row r="823" spans="3:6" x14ac:dyDescent="0.25">
      <c r="C823" s="2" t="s">
        <v>11467</v>
      </c>
      <c r="D823" s="2" t="s">
        <v>26</v>
      </c>
      <c r="E823" s="2">
        <v>105</v>
      </c>
      <c r="F823" s="2">
        <v>1878.399</v>
      </c>
    </row>
    <row r="825" spans="1:7" x14ac:dyDescent="0.25">
      <c r="A825" s="1">
        <v>46120</v>
      </c>
      <c r="B825" s="2" t="s">
        <v>1400</v>
      </c>
      <c r="C825" s="2" t="s">
        <v>11468</v>
      </c>
      <c r="D825" s="2" t="s">
        <v>82</v>
      </c>
      <c r="E825" s="2">
        <v>121</v>
      </c>
      <c r="F825" s="2">
        <v>2481.64</v>
      </c>
      <c r="G825" s="1" t="s">
        <v>11469</v>
      </c>
    </row>
    <row r="826" spans="3:6" x14ac:dyDescent="0.25">
      <c r="C826" s="2" t="s">
        <v>11470</v>
      </c>
      <c r="D826" s="2" t="s">
        <v>82</v>
      </c>
      <c r="E826" s="2">
        <v>121</v>
      </c>
      <c r="F826" s="2">
        <v>2454.209</v>
      </c>
    </row>
    <row r="827" spans="3:6" x14ac:dyDescent="0.25">
      <c r="C827" s="2" t="s">
        <v>11471</v>
      </c>
      <c r="D827" s="2" t="s">
        <v>82</v>
      </c>
      <c r="E827" s="2">
        <v>100</v>
      </c>
      <c r="F827" s="2">
        <v>1988.76</v>
      </c>
    </row>
    <row r="828" spans="3:6" x14ac:dyDescent="0.25">
      <c r="C828" s="2" t="s">
        <v>11472</v>
      </c>
      <c r="D828" s="2" t="s">
        <v>82</v>
      </c>
      <c r="E828" s="2">
        <v>100</v>
      </c>
      <c r="F828" s="2">
        <v>2029.13</v>
      </c>
    </row>
    <row r="829" spans="3:6" x14ac:dyDescent="0.25">
      <c r="C829" s="2" t="s">
        <v>11473</v>
      </c>
      <c r="D829" s="2" t="s">
        <v>82</v>
      </c>
      <c r="E829" s="2">
        <v>69</v>
      </c>
      <c r="F829" s="2">
        <v>1382.64</v>
      </c>
    </row>
    <row r="830" spans="3:6" x14ac:dyDescent="0.25">
      <c r="C830" s="2" t="s">
        <v>11474</v>
      </c>
      <c r="D830" s="2" t="s">
        <v>82</v>
      </c>
      <c r="E830" s="2">
        <v>31</v>
      </c>
      <c r="F830" s="2">
        <v>639.809</v>
      </c>
    </row>
    <row r="831" spans="3:6" x14ac:dyDescent="0.25">
      <c r="C831" s="2" t="s">
        <v>11475</v>
      </c>
      <c r="D831" s="2" t="s">
        <v>82</v>
      </c>
      <c r="E831" s="2">
        <v>46</v>
      </c>
      <c r="F831" s="2">
        <v>926.85</v>
      </c>
    </row>
    <row r="832" spans="3:6" x14ac:dyDescent="0.25">
      <c r="C832" s="2" t="s">
        <v>11476</v>
      </c>
      <c r="D832" s="2" t="s">
        <v>82</v>
      </c>
      <c r="E832" s="2">
        <v>54</v>
      </c>
      <c r="F832" s="2">
        <v>1083.05</v>
      </c>
    </row>
    <row r="833" spans="3:6" x14ac:dyDescent="0.25">
      <c r="C833" s="2" t="s">
        <v>11477</v>
      </c>
      <c r="D833" s="2" t="s">
        <v>82</v>
      </c>
      <c r="E833" s="2">
        <v>141</v>
      </c>
      <c r="F833" s="2">
        <v>2907.53</v>
      </c>
    </row>
    <row r="834" spans="3:6" x14ac:dyDescent="0.25">
      <c r="C834" s="2" t="s">
        <v>11478</v>
      </c>
      <c r="D834" s="2" t="s">
        <v>82</v>
      </c>
      <c r="E834" s="2">
        <v>141</v>
      </c>
      <c r="F834" s="2">
        <v>2872.23</v>
      </c>
    </row>
    <row r="835" spans="3:6" x14ac:dyDescent="0.25">
      <c r="C835" s="2" t="s">
        <v>11479</v>
      </c>
      <c r="D835" s="2" t="s">
        <v>82</v>
      </c>
      <c r="E835" s="2">
        <v>141</v>
      </c>
      <c r="F835" s="2">
        <v>2866.039</v>
      </c>
    </row>
    <row r="836" spans="3:6" x14ac:dyDescent="0.25">
      <c r="C836" s="2" t="s">
        <v>11480</v>
      </c>
      <c r="D836" s="2" t="s">
        <v>82</v>
      </c>
      <c r="E836" s="2">
        <v>115</v>
      </c>
      <c r="F836" s="2">
        <v>2191.235</v>
      </c>
    </row>
    <row r="837" spans="3:6" x14ac:dyDescent="0.25">
      <c r="C837" s="2" t="s">
        <v>11481</v>
      </c>
      <c r="D837" s="2" t="s">
        <v>82</v>
      </c>
      <c r="E837" s="2">
        <v>26</v>
      </c>
      <c r="F837" s="2">
        <v>511.26</v>
      </c>
    </row>
    <row r="838" spans="3:6" x14ac:dyDescent="0.25">
      <c r="C838" s="2" t="s">
        <v>11482</v>
      </c>
      <c r="D838" s="2" t="s">
        <v>82</v>
      </c>
      <c r="E838" s="2">
        <v>112</v>
      </c>
      <c r="F838" s="2">
        <v>2239.49</v>
      </c>
    </row>
    <row r="839" spans="3:6" x14ac:dyDescent="0.25">
      <c r="C839" s="2" t="s">
        <v>11483</v>
      </c>
      <c r="D839" s="2" t="s">
        <v>82</v>
      </c>
      <c r="E839" s="2">
        <v>29</v>
      </c>
      <c r="F839" s="2">
        <v>522.16</v>
      </c>
    </row>
    <row r="840" spans="3:6" x14ac:dyDescent="0.25">
      <c r="C840" s="2" t="s">
        <v>11484</v>
      </c>
      <c r="D840" s="2" t="s">
        <v>82</v>
      </c>
      <c r="E840" s="2">
        <v>141</v>
      </c>
      <c r="F840" s="2">
        <v>2765.67</v>
      </c>
    </row>
    <row r="841" spans="3:6" x14ac:dyDescent="0.25">
      <c r="C841" s="2" t="s">
        <v>11485</v>
      </c>
      <c r="D841" s="2" t="s">
        <v>82</v>
      </c>
      <c r="E841" s="2">
        <v>23</v>
      </c>
      <c r="F841" s="2">
        <v>451.77</v>
      </c>
    </row>
    <row r="842" spans="3:6" x14ac:dyDescent="0.25">
      <c r="C842" s="2" t="s">
        <v>11486</v>
      </c>
      <c r="D842" s="2" t="s">
        <v>82</v>
      </c>
      <c r="E842" s="2">
        <v>48</v>
      </c>
      <c r="F842" s="2">
        <v>894.97</v>
      </c>
    </row>
    <row r="843" spans="3:6" x14ac:dyDescent="0.25">
      <c r="C843" s="2" t="s">
        <v>11487</v>
      </c>
      <c r="D843" s="2" t="s">
        <v>82</v>
      </c>
      <c r="E843" s="2">
        <v>29</v>
      </c>
      <c r="F843" s="2">
        <v>535.6</v>
      </c>
    </row>
    <row r="844" spans="3:6" x14ac:dyDescent="0.25">
      <c r="C844" s="2" t="s">
        <v>11488</v>
      </c>
      <c r="D844" s="2" t="s">
        <v>82</v>
      </c>
      <c r="E844" s="2">
        <v>13</v>
      </c>
      <c r="F844" s="2">
        <v>248.55</v>
      </c>
    </row>
    <row r="845" spans="3:6" x14ac:dyDescent="0.25">
      <c r="C845" s="2" t="s">
        <v>11489</v>
      </c>
      <c r="D845" s="2" t="s">
        <v>82</v>
      </c>
      <c r="E845" s="2">
        <v>28</v>
      </c>
      <c r="F845" s="2">
        <v>512.17</v>
      </c>
    </row>
    <row r="846" spans="3:6" x14ac:dyDescent="0.25">
      <c r="C846" s="2" t="s">
        <v>11490</v>
      </c>
      <c r="D846" s="2" t="s">
        <v>82</v>
      </c>
      <c r="E846" s="2">
        <v>46</v>
      </c>
      <c r="F846" s="2">
        <v>957.32</v>
      </c>
    </row>
    <row r="847" spans="3:6" x14ac:dyDescent="0.25">
      <c r="C847" s="2" t="s">
        <v>11491</v>
      </c>
      <c r="D847" s="2" t="s">
        <v>82</v>
      </c>
      <c r="E847" s="2">
        <v>39</v>
      </c>
      <c r="F847" s="2">
        <v>769.98</v>
      </c>
    </row>
    <row r="848" spans="3:6" x14ac:dyDescent="0.25">
      <c r="C848" s="2" t="s">
        <v>11492</v>
      </c>
      <c r="D848" s="2" t="s">
        <v>82</v>
      </c>
      <c r="E848" s="2">
        <v>30</v>
      </c>
      <c r="F848" s="2">
        <v>594.82</v>
      </c>
    </row>
    <row r="849" spans="3:6" x14ac:dyDescent="0.25">
      <c r="C849" s="2" t="s">
        <v>11493</v>
      </c>
      <c r="D849" s="2" t="s">
        <v>82</v>
      </c>
      <c r="E849" s="2">
        <v>26</v>
      </c>
      <c r="F849" s="2">
        <v>530</v>
      </c>
    </row>
    <row r="850" spans="3:6" x14ac:dyDescent="0.25">
      <c r="C850" s="2" t="s">
        <v>11494</v>
      </c>
      <c r="D850" s="2" t="s">
        <v>82</v>
      </c>
      <c r="E850" s="2">
        <v>79</v>
      </c>
      <c r="F850" s="2">
        <v>1613.2</v>
      </c>
    </row>
    <row r="851" spans="3:6" x14ac:dyDescent="0.25">
      <c r="C851" s="2" t="s">
        <v>11495</v>
      </c>
      <c r="D851" s="2" t="s">
        <v>82</v>
      </c>
      <c r="E851" s="2">
        <v>21</v>
      </c>
      <c r="F851" s="2">
        <v>431.42</v>
      </c>
    </row>
    <row r="853" spans="1:7" x14ac:dyDescent="0.25">
      <c r="A853" s="1">
        <v>46121</v>
      </c>
      <c r="B853" s="2" t="s">
        <v>433</v>
      </c>
      <c r="C853" s="2" t="s">
        <v>11496</v>
      </c>
      <c r="D853" s="2" t="s">
        <v>73</v>
      </c>
      <c r="E853" s="2">
        <v>12</v>
      </c>
      <c r="F853" s="2">
        <v>207.44</v>
      </c>
      <c r="G853" s="1">
        <v>46119</v>
      </c>
    </row>
    <row r="854" spans="3:6" x14ac:dyDescent="0.25">
      <c r="C854" s="2" t="s">
        <v>11497</v>
      </c>
      <c r="D854" s="2" t="s">
        <v>73</v>
      </c>
      <c r="E854" s="2">
        <v>82</v>
      </c>
      <c r="F854" s="2">
        <v>1596.05</v>
      </c>
    </row>
    <row r="855" spans="3:6" x14ac:dyDescent="0.25">
      <c r="C855" s="2" t="s">
        <v>11498</v>
      </c>
      <c r="D855" s="2" t="s">
        <v>73</v>
      </c>
      <c r="E855" s="2">
        <v>37</v>
      </c>
      <c r="F855" s="2">
        <v>680</v>
      </c>
    </row>
    <row r="856" spans="3:6" x14ac:dyDescent="0.25">
      <c r="C856" s="2" t="s">
        <v>11499</v>
      </c>
      <c r="D856" s="2" t="s">
        <v>73</v>
      </c>
      <c r="E856" s="2">
        <v>58</v>
      </c>
      <c r="F856" s="2">
        <v>1157.019</v>
      </c>
    </row>
    <row r="857" spans="3:6" x14ac:dyDescent="0.25">
      <c r="C857" s="2" t="s">
        <v>11500</v>
      </c>
      <c r="D857" s="2" t="s">
        <v>73</v>
      </c>
      <c r="E857" s="2">
        <v>12</v>
      </c>
      <c r="F857" s="2">
        <v>205.87</v>
      </c>
    </row>
    <row r="858" spans="3:6" x14ac:dyDescent="0.25">
      <c r="C858" s="2" t="s">
        <v>11501</v>
      </c>
      <c r="D858" s="2" t="s">
        <v>73</v>
      </c>
      <c r="E858" s="2">
        <v>8</v>
      </c>
      <c r="F858" s="2">
        <v>153.09</v>
      </c>
    </row>
    <row r="859" spans="3:6" x14ac:dyDescent="0.25">
      <c r="C859" s="2" t="s">
        <v>11502</v>
      </c>
      <c r="D859" s="2" t="s">
        <v>73</v>
      </c>
      <c r="E859" s="2">
        <v>63</v>
      </c>
      <c r="F859" s="2">
        <v>1264.53</v>
      </c>
    </row>
    <row r="861" spans="1:7" x14ac:dyDescent="0.25">
      <c r="A861" s="1">
        <v>46121</v>
      </c>
      <c r="B861" s="2" t="s">
        <v>7</v>
      </c>
      <c r="C861" s="2" t="s">
        <v>11503</v>
      </c>
      <c r="D861" s="2" t="s">
        <v>9</v>
      </c>
      <c r="E861" s="2">
        <v>99</v>
      </c>
      <c r="F861" s="2">
        <v>1963.539</v>
      </c>
      <c r="G861" s="1">
        <v>46120</v>
      </c>
    </row>
    <row r="862" spans="3:6" x14ac:dyDescent="0.25">
      <c r="C862" s="2" t="s">
        <v>11504</v>
      </c>
      <c r="D862" s="2" t="s">
        <v>9</v>
      </c>
      <c r="E862" s="2">
        <v>99</v>
      </c>
      <c r="F862" s="2">
        <v>1779.935</v>
      </c>
    </row>
    <row r="864" spans="1:7" x14ac:dyDescent="0.25">
      <c r="A864" s="1">
        <v>46121</v>
      </c>
      <c r="B864" s="2" t="s">
        <v>11505</v>
      </c>
      <c r="C864" s="2" t="s">
        <v>11506</v>
      </c>
      <c r="D864" s="2" t="s">
        <v>11183</v>
      </c>
      <c r="E864" s="2">
        <v>95</v>
      </c>
      <c r="F864" s="2">
        <v>1940.97</v>
      </c>
      <c r="G864" s="1">
        <v>46120</v>
      </c>
    </row>
    <row r="866" spans="1:7" x14ac:dyDescent="0.25">
      <c r="A866" s="1">
        <v>46121</v>
      </c>
      <c r="B866" s="2" t="s">
        <v>2084</v>
      </c>
      <c r="C866" s="2" t="s">
        <v>11507</v>
      </c>
      <c r="D866" s="2" t="s">
        <v>3848</v>
      </c>
      <c r="E866" s="2">
        <v>50</v>
      </c>
      <c r="F866" s="2">
        <v>1720.819</v>
      </c>
      <c r="G866" s="1">
        <v>46120</v>
      </c>
    </row>
    <row r="868" spans="1:7" x14ac:dyDescent="0.25">
      <c r="A868" s="1">
        <v>46121</v>
      </c>
      <c r="B868" s="2" t="s">
        <v>2084</v>
      </c>
      <c r="C868" s="2" t="s">
        <v>11508</v>
      </c>
      <c r="D868" s="2" t="s">
        <v>4334</v>
      </c>
      <c r="E868" s="2">
        <v>100</v>
      </c>
      <c r="F868" s="2">
        <v>2030.92</v>
      </c>
      <c r="G868" s="1">
        <v>46120</v>
      </c>
    </row>
    <row r="870" spans="1:7" x14ac:dyDescent="0.25">
      <c r="A870" s="1">
        <v>46121</v>
      </c>
      <c r="B870" s="2" t="s">
        <v>897</v>
      </c>
      <c r="C870" s="2" t="s">
        <v>11509</v>
      </c>
      <c r="D870" s="2" t="s">
        <v>292</v>
      </c>
      <c r="E870" s="2">
        <v>86</v>
      </c>
      <c r="F870" s="2">
        <v>1766.31</v>
      </c>
      <c r="G870" s="1">
        <v>46121</v>
      </c>
    </row>
    <row r="871" spans="3:6" x14ac:dyDescent="0.25">
      <c r="C871" s="2" t="s">
        <v>11510</v>
      </c>
      <c r="D871" s="2" t="s">
        <v>292</v>
      </c>
      <c r="E871" s="2">
        <v>37</v>
      </c>
      <c r="F871" s="2">
        <v>797.28</v>
      </c>
    </row>
    <row r="872" spans="3:6" x14ac:dyDescent="0.25">
      <c r="C872" s="2" t="s">
        <v>11511</v>
      </c>
      <c r="D872" s="2" t="s">
        <v>292</v>
      </c>
      <c r="E872" s="2">
        <v>57</v>
      </c>
      <c r="F872" s="2">
        <v>1157.81</v>
      </c>
    </row>
    <row r="873" spans="3:6" x14ac:dyDescent="0.25">
      <c r="C873" s="2" t="s">
        <v>11512</v>
      </c>
      <c r="D873" s="2" t="s">
        <v>292</v>
      </c>
      <c r="E873" s="2">
        <v>66</v>
      </c>
      <c r="F873" s="2">
        <v>1257.529</v>
      </c>
    </row>
    <row r="874" spans="3:6" x14ac:dyDescent="0.25">
      <c r="C874" s="2" t="s">
        <v>11513</v>
      </c>
      <c r="D874" s="2" t="s">
        <v>292</v>
      </c>
      <c r="E874" s="2">
        <v>123</v>
      </c>
      <c r="F874" s="2">
        <v>2426.8</v>
      </c>
    </row>
    <row r="875" spans="3:6" x14ac:dyDescent="0.25">
      <c r="C875" s="2" t="s">
        <v>11514</v>
      </c>
      <c r="D875" s="2" t="s">
        <v>292</v>
      </c>
      <c r="E875" s="2">
        <v>20</v>
      </c>
      <c r="F875" s="2">
        <v>94.01</v>
      </c>
    </row>
    <row r="876" spans="3:6" x14ac:dyDescent="0.25">
      <c r="C876" s="2" t="s">
        <v>11515</v>
      </c>
      <c r="D876" s="2" t="s">
        <v>292</v>
      </c>
      <c r="E876" s="2">
        <v>123</v>
      </c>
      <c r="F876" s="2">
        <v>2455.43</v>
      </c>
    </row>
    <row r="877" spans="3:6" x14ac:dyDescent="0.25">
      <c r="C877" s="2" t="s">
        <v>11516</v>
      </c>
      <c r="D877" s="2" t="s">
        <v>292</v>
      </c>
      <c r="E877" s="2">
        <v>22</v>
      </c>
      <c r="F877" s="2">
        <v>446.236</v>
      </c>
    </row>
    <row r="878" spans="3:6" x14ac:dyDescent="0.25">
      <c r="C878" s="2" t="s">
        <v>11517</v>
      </c>
      <c r="D878" s="2" t="s">
        <v>292</v>
      </c>
      <c r="E878" s="2">
        <v>11</v>
      </c>
      <c r="F878" s="2">
        <v>194.98</v>
      </c>
    </row>
    <row r="879" spans="3:6" x14ac:dyDescent="0.25">
      <c r="C879" s="2" t="s">
        <v>11518</v>
      </c>
      <c r="D879" s="2" t="s">
        <v>292</v>
      </c>
      <c r="E879" s="2">
        <v>108</v>
      </c>
      <c r="F879" s="2">
        <v>2316.9</v>
      </c>
    </row>
    <row r="880" spans="3:6" x14ac:dyDescent="0.25">
      <c r="C880" s="2" t="s">
        <v>11519</v>
      </c>
      <c r="D880" s="2" t="s">
        <v>292</v>
      </c>
      <c r="E880" s="2">
        <v>44</v>
      </c>
      <c r="F880" s="2">
        <v>901.54</v>
      </c>
    </row>
    <row r="881" spans="3:6" x14ac:dyDescent="0.25">
      <c r="C881" s="2" t="s">
        <v>11520</v>
      </c>
      <c r="D881" s="2" t="s">
        <v>292</v>
      </c>
      <c r="E881" s="2">
        <v>47</v>
      </c>
      <c r="F881" s="2">
        <v>957.39</v>
      </c>
    </row>
    <row r="882" spans="3:6" x14ac:dyDescent="0.25">
      <c r="C882" s="2" t="s">
        <v>11521</v>
      </c>
      <c r="D882" s="2" t="s">
        <v>292</v>
      </c>
      <c r="E882" s="2">
        <v>50</v>
      </c>
      <c r="F882" s="2">
        <v>1000.6</v>
      </c>
    </row>
    <row r="883" spans="3:6" x14ac:dyDescent="0.25">
      <c r="C883" s="2" t="s">
        <v>11522</v>
      </c>
      <c r="D883" s="2" t="s">
        <v>292</v>
      </c>
      <c r="E883" s="2">
        <v>30</v>
      </c>
      <c r="F883" s="2">
        <v>158.95</v>
      </c>
    </row>
    <row r="884" spans="3:6" x14ac:dyDescent="0.25">
      <c r="C884" s="2" t="s">
        <v>11523</v>
      </c>
      <c r="D884" s="2" t="s">
        <v>292</v>
      </c>
      <c r="E884" s="2">
        <v>141</v>
      </c>
      <c r="F884" s="2">
        <v>2048.049</v>
      </c>
    </row>
    <row r="885" spans="3:6" x14ac:dyDescent="0.25">
      <c r="C885" s="2" t="s">
        <v>11524</v>
      </c>
      <c r="D885" s="2" t="s">
        <v>292</v>
      </c>
      <c r="E885" s="2">
        <v>100</v>
      </c>
      <c r="F885" s="2">
        <v>1962.8</v>
      </c>
    </row>
    <row r="886" spans="3:6" x14ac:dyDescent="0.25">
      <c r="C886" s="2" t="s">
        <v>11525</v>
      </c>
      <c r="D886" s="2" t="s">
        <v>292</v>
      </c>
      <c r="E886" s="2">
        <v>41</v>
      </c>
      <c r="F886" s="2">
        <v>848.099</v>
      </c>
    </row>
    <row r="887" spans="3:6" x14ac:dyDescent="0.25">
      <c r="C887" s="2" t="s">
        <v>11526</v>
      </c>
      <c r="D887" s="2" t="s">
        <v>292</v>
      </c>
      <c r="E887" s="2">
        <v>40</v>
      </c>
      <c r="F887" s="2">
        <v>800.42</v>
      </c>
    </row>
    <row r="888" spans="3:6" x14ac:dyDescent="0.25">
      <c r="C888" s="2" t="s">
        <v>11527</v>
      </c>
      <c r="D888" s="2" t="s">
        <v>292</v>
      </c>
      <c r="E888" s="2">
        <v>11</v>
      </c>
      <c r="F888" s="2">
        <v>182.13</v>
      </c>
    </row>
    <row r="889" spans="3:6" x14ac:dyDescent="0.25">
      <c r="C889" s="2" t="s">
        <v>11528</v>
      </c>
      <c r="D889" s="2" t="s">
        <v>292</v>
      </c>
      <c r="E889" s="2">
        <v>90</v>
      </c>
      <c r="F889" s="2">
        <v>1987.66</v>
      </c>
    </row>
    <row r="890" spans="3:6" x14ac:dyDescent="0.25">
      <c r="C890" s="2" t="s">
        <v>11529</v>
      </c>
      <c r="D890" s="2" t="s">
        <v>292</v>
      </c>
      <c r="E890" s="2">
        <v>42</v>
      </c>
      <c r="F890" s="2">
        <v>887.25</v>
      </c>
    </row>
    <row r="891" spans="3:6" x14ac:dyDescent="0.25">
      <c r="C891" s="2" t="s">
        <v>11530</v>
      </c>
      <c r="D891" s="2" t="s">
        <v>292</v>
      </c>
      <c r="E891" s="2">
        <v>74</v>
      </c>
      <c r="F891" s="2">
        <v>1606.49</v>
      </c>
    </row>
    <row r="892" spans="3:6" x14ac:dyDescent="0.25">
      <c r="C892" s="2" t="s">
        <v>11531</v>
      </c>
      <c r="D892" s="2" t="s">
        <v>292</v>
      </c>
      <c r="E892" s="2">
        <v>100</v>
      </c>
      <c r="F892" s="2">
        <v>2026.03</v>
      </c>
    </row>
    <row r="893" spans="3:6" x14ac:dyDescent="0.25">
      <c r="C893" s="2" t="s">
        <v>11532</v>
      </c>
      <c r="D893" s="2" t="s">
        <v>292</v>
      </c>
      <c r="E893" s="2">
        <v>21</v>
      </c>
      <c r="F893" s="2">
        <v>467.719</v>
      </c>
    </row>
    <row r="894" spans="3:6" x14ac:dyDescent="0.25">
      <c r="C894" s="2" t="s">
        <v>11533</v>
      </c>
      <c r="D894" s="2" t="s">
        <v>292</v>
      </c>
      <c r="E894" s="2">
        <v>20</v>
      </c>
      <c r="F894" s="2">
        <v>332.77</v>
      </c>
    </row>
    <row r="895" spans="3:6" x14ac:dyDescent="0.25">
      <c r="C895" s="2" t="s">
        <v>11534</v>
      </c>
      <c r="D895" s="2" t="s">
        <v>292</v>
      </c>
      <c r="E895" s="2">
        <v>141</v>
      </c>
      <c r="F895" s="2">
        <v>1831.538</v>
      </c>
    </row>
    <row r="896" spans="3:6" x14ac:dyDescent="0.25">
      <c r="C896" s="2" t="s">
        <v>11535</v>
      </c>
      <c r="D896" s="2" t="s">
        <v>292</v>
      </c>
      <c r="E896" s="2">
        <v>141</v>
      </c>
      <c r="F896" s="2">
        <v>2811.81</v>
      </c>
    </row>
    <row r="897" spans="3:6" x14ac:dyDescent="0.25">
      <c r="C897" s="2" t="s">
        <v>11536</v>
      </c>
      <c r="D897" s="2" t="s">
        <v>292</v>
      </c>
      <c r="E897" s="2">
        <v>75</v>
      </c>
      <c r="F897" s="2">
        <v>377.95</v>
      </c>
    </row>
    <row r="898" spans="3:6" x14ac:dyDescent="0.25">
      <c r="C898" s="2" t="s">
        <v>11537</v>
      </c>
      <c r="D898" s="2" t="s">
        <v>292</v>
      </c>
      <c r="E898" s="2">
        <v>108</v>
      </c>
      <c r="F898" s="2">
        <v>2133.21</v>
      </c>
    </row>
    <row r="899" spans="3:6" x14ac:dyDescent="0.25">
      <c r="C899" s="2" t="s">
        <v>11538</v>
      </c>
      <c r="D899" s="2" t="s">
        <v>292</v>
      </c>
      <c r="E899" s="2">
        <v>33</v>
      </c>
      <c r="F899" s="2">
        <v>649.95</v>
      </c>
    </row>
    <row r="900" spans="3:6" x14ac:dyDescent="0.25">
      <c r="C900" s="2" t="s">
        <v>11539</v>
      </c>
      <c r="D900" s="2" t="s">
        <v>292</v>
      </c>
      <c r="E900" s="2">
        <v>141</v>
      </c>
      <c r="F900" s="2">
        <v>3116.95</v>
      </c>
    </row>
    <row r="901" spans="3:6" x14ac:dyDescent="0.25">
      <c r="C901" s="2" t="s">
        <v>11540</v>
      </c>
      <c r="D901" s="2" t="s">
        <v>292</v>
      </c>
      <c r="E901" s="2">
        <v>141</v>
      </c>
      <c r="F901" s="2">
        <v>2883.56</v>
      </c>
    </row>
    <row r="902" spans="3:6" x14ac:dyDescent="0.25">
      <c r="C902" s="2" t="s">
        <v>11541</v>
      </c>
      <c r="D902" s="2" t="s">
        <v>292</v>
      </c>
      <c r="E902" s="2">
        <v>141</v>
      </c>
      <c r="F902" s="2">
        <v>2888.61</v>
      </c>
    </row>
    <row r="903" spans="3:6" x14ac:dyDescent="0.25">
      <c r="C903" s="2" t="s">
        <v>11542</v>
      </c>
      <c r="D903" s="2" t="s">
        <v>292</v>
      </c>
      <c r="E903" s="2">
        <v>130</v>
      </c>
      <c r="F903" s="2">
        <v>2151.43</v>
      </c>
    </row>
    <row r="904" spans="3:6" x14ac:dyDescent="0.25">
      <c r="C904" s="2" t="s">
        <v>11543</v>
      </c>
      <c r="D904" s="2" t="s">
        <v>292</v>
      </c>
      <c r="E904" s="2">
        <v>75</v>
      </c>
      <c r="F904" s="2">
        <v>379.44</v>
      </c>
    </row>
    <row r="905" spans="3:6" x14ac:dyDescent="0.25">
      <c r="C905" s="2" t="s">
        <v>11544</v>
      </c>
      <c r="D905" s="2" t="s">
        <v>292</v>
      </c>
      <c r="E905" s="2">
        <v>134</v>
      </c>
      <c r="F905" s="2">
        <v>2753.89</v>
      </c>
    </row>
    <row r="906" spans="3:6" x14ac:dyDescent="0.25">
      <c r="C906" s="2" t="s">
        <v>11545</v>
      </c>
      <c r="D906" s="2" t="s">
        <v>292</v>
      </c>
      <c r="E906" s="2">
        <v>100</v>
      </c>
      <c r="F906" s="2">
        <v>2055.859</v>
      </c>
    </row>
    <row r="907" spans="3:6" x14ac:dyDescent="0.25">
      <c r="C907" s="2" t="s">
        <v>11546</v>
      </c>
      <c r="D907" s="2" t="s">
        <v>292</v>
      </c>
      <c r="E907" s="2">
        <v>75</v>
      </c>
      <c r="F907" s="2">
        <v>1099.856</v>
      </c>
    </row>
    <row r="908" spans="3:6" x14ac:dyDescent="0.25">
      <c r="C908" s="2" t="s">
        <v>11547</v>
      </c>
      <c r="D908" s="2" t="s">
        <v>292</v>
      </c>
      <c r="E908" s="2">
        <v>42</v>
      </c>
      <c r="F908" s="2">
        <v>855.809</v>
      </c>
    </row>
    <row r="909" spans="3:6" x14ac:dyDescent="0.25">
      <c r="C909" s="2" t="s">
        <v>11548</v>
      </c>
      <c r="D909" s="2" t="s">
        <v>292</v>
      </c>
      <c r="E909" s="2">
        <v>22</v>
      </c>
      <c r="F909" s="2">
        <v>455.54</v>
      </c>
    </row>
    <row r="910" spans="3:6" x14ac:dyDescent="0.25">
      <c r="C910" s="2" t="s">
        <v>11549</v>
      </c>
      <c r="D910" s="2" t="s">
        <v>292</v>
      </c>
      <c r="E910" s="2">
        <v>36</v>
      </c>
      <c r="F910" s="2">
        <v>716.326</v>
      </c>
    </row>
    <row r="911" spans="3:6" x14ac:dyDescent="0.25">
      <c r="C911" s="2" t="s">
        <v>11550</v>
      </c>
      <c r="D911" s="2" t="s">
        <v>292</v>
      </c>
      <c r="E911" s="2">
        <v>100</v>
      </c>
      <c r="F911" s="2">
        <v>1977.339</v>
      </c>
    </row>
    <row r="912" spans="3:6" x14ac:dyDescent="0.25">
      <c r="C912" s="2" t="s">
        <v>11551</v>
      </c>
      <c r="D912" s="2" t="s">
        <v>292</v>
      </c>
      <c r="E912" s="2">
        <v>76</v>
      </c>
      <c r="F912" s="2">
        <v>1583.35</v>
      </c>
    </row>
    <row r="913" spans="3:6" x14ac:dyDescent="0.25">
      <c r="C913" s="2" t="s">
        <v>11552</v>
      </c>
      <c r="D913" s="2" t="s">
        <v>292</v>
      </c>
      <c r="E913" s="2">
        <v>24</v>
      </c>
      <c r="F913" s="2">
        <v>466.539</v>
      </c>
    </row>
    <row r="914" spans="3:6" x14ac:dyDescent="0.25">
      <c r="C914" s="2" t="s">
        <v>11553</v>
      </c>
      <c r="D914" s="2" t="s">
        <v>292</v>
      </c>
      <c r="E914" s="2">
        <v>100</v>
      </c>
      <c r="F914" s="2">
        <v>2043.72</v>
      </c>
    </row>
    <row r="915" spans="3:6" x14ac:dyDescent="0.25">
      <c r="C915" s="2" t="s">
        <v>11554</v>
      </c>
      <c r="D915" s="2" t="s">
        <v>292</v>
      </c>
      <c r="E915" s="2">
        <v>54</v>
      </c>
      <c r="F915" s="2">
        <v>1153.95</v>
      </c>
    </row>
    <row r="916" spans="3:6" x14ac:dyDescent="0.25">
      <c r="C916" s="2" t="s">
        <v>11555</v>
      </c>
      <c r="D916" s="2" t="s">
        <v>292</v>
      </c>
      <c r="E916" s="2">
        <v>31</v>
      </c>
      <c r="F916" s="2">
        <v>682.176</v>
      </c>
    </row>
    <row r="917" spans="3:6" x14ac:dyDescent="0.25">
      <c r="C917" s="2" t="s">
        <v>11556</v>
      </c>
      <c r="D917" s="2" t="s">
        <v>292</v>
      </c>
      <c r="E917" s="2">
        <v>65</v>
      </c>
      <c r="F917" s="2">
        <v>1296.82</v>
      </c>
    </row>
    <row r="918" spans="3:6" x14ac:dyDescent="0.25">
      <c r="C918" s="2" t="s">
        <v>11557</v>
      </c>
      <c r="D918" s="2" t="s">
        <v>292</v>
      </c>
      <c r="E918" s="2">
        <v>10</v>
      </c>
      <c r="F918" s="2">
        <v>207.45</v>
      </c>
    </row>
    <row r="920" spans="1:7" x14ac:dyDescent="0.25">
      <c r="A920" s="1">
        <v>46122</v>
      </c>
      <c r="B920" s="2" t="s">
        <v>4335</v>
      </c>
      <c r="C920" s="2" t="s">
        <v>11558</v>
      </c>
      <c r="D920" s="2" t="s">
        <v>82</v>
      </c>
      <c r="E920" s="2">
        <v>75</v>
      </c>
      <c r="F920" s="2">
        <v>1464.429</v>
      </c>
      <c r="G920" s="1">
        <v>46122</v>
      </c>
    </row>
    <row r="921" spans="3:6" x14ac:dyDescent="0.25">
      <c r="C921" s="2" t="s">
        <v>11559</v>
      </c>
      <c r="D921" s="2" t="s">
        <v>82</v>
      </c>
      <c r="E921" s="2">
        <v>72</v>
      </c>
      <c r="F921" s="2">
        <v>2185.82</v>
      </c>
    </row>
    <row r="922" spans="3:6" x14ac:dyDescent="0.25">
      <c r="C922" s="2" t="s">
        <v>11560</v>
      </c>
      <c r="D922" s="2" t="s">
        <v>82</v>
      </c>
      <c r="E922" s="2">
        <v>72</v>
      </c>
      <c r="F922" s="2">
        <v>2619.46</v>
      </c>
    </row>
    <row r="923" spans="3:6" x14ac:dyDescent="0.25">
      <c r="C923" s="2" t="s">
        <v>11561</v>
      </c>
      <c r="D923" s="2" t="s">
        <v>82</v>
      </c>
      <c r="E923" s="2">
        <v>107</v>
      </c>
      <c r="F923" s="2">
        <v>1891.823</v>
      </c>
    </row>
    <row r="924" spans="3:6" x14ac:dyDescent="0.25">
      <c r="C924" s="2" t="s">
        <v>11562</v>
      </c>
      <c r="D924" s="2" t="s">
        <v>82</v>
      </c>
      <c r="E924" s="2">
        <v>91</v>
      </c>
      <c r="F924" s="2">
        <v>952.434</v>
      </c>
    </row>
    <row r="925" spans="3:6" x14ac:dyDescent="0.25">
      <c r="C925" s="2" t="s">
        <v>11563</v>
      </c>
      <c r="D925" s="2" t="s">
        <v>82</v>
      </c>
      <c r="E925" s="2">
        <v>77</v>
      </c>
      <c r="F925" s="2">
        <v>2306.579</v>
      </c>
    </row>
    <row r="926" spans="3:6" x14ac:dyDescent="0.25">
      <c r="C926" s="2" t="s">
        <v>11564</v>
      </c>
      <c r="D926" s="2" t="s">
        <v>82</v>
      </c>
      <c r="E926" s="2">
        <v>141</v>
      </c>
      <c r="F926" s="2">
        <v>2663.159</v>
      </c>
    </row>
    <row r="927" spans="3:6" x14ac:dyDescent="0.25">
      <c r="C927" s="2" t="s">
        <v>11565</v>
      </c>
      <c r="D927" s="2" t="s">
        <v>82</v>
      </c>
      <c r="E927" s="2">
        <v>93</v>
      </c>
      <c r="F927" s="2">
        <v>1815.349</v>
      </c>
    </row>
    <row r="928" spans="3:6" x14ac:dyDescent="0.25">
      <c r="C928" s="2" t="s">
        <v>11566</v>
      </c>
      <c r="D928" s="2" t="s">
        <v>82</v>
      </c>
      <c r="E928" s="2">
        <v>48</v>
      </c>
      <c r="F928" s="2">
        <v>853.04</v>
      </c>
    </row>
    <row r="929" spans="3:6" x14ac:dyDescent="0.25">
      <c r="C929" s="2" t="s">
        <v>11567</v>
      </c>
      <c r="D929" s="2" t="s">
        <v>82</v>
      </c>
      <c r="E929" s="2">
        <v>141</v>
      </c>
      <c r="F929" s="2">
        <v>2945.55</v>
      </c>
    </row>
    <row r="930" spans="3:6" x14ac:dyDescent="0.25">
      <c r="C930" s="2" t="s">
        <v>11568</v>
      </c>
      <c r="D930" s="2" t="s">
        <v>82</v>
      </c>
      <c r="E930" s="2">
        <v>102</v>
      </c>
      <c r="F930" s="2">
        <v>2061.07</v>
      </c>
    </row>
    <row r="931" spans="3:6" x14ac:dyDescent="0.25">
      <c r="C931" s="2" t="s">
        <v>11569</v>
      </c>
      <c r="D931" s="2" t="s">
        <v>82</v>
      </c>
      <c r="E931" s="2">
        <v>45</v>
      </c>
      <c r="F931" s="2">
        <v>893.13</v>
      </c>
    </row>
    <row r="932" spans="3:6" x14ac:dyDescent="0.25">
      <c r="C932" s="2" t="s">
        <v>11570</v>
      </c>
      <c r="D932" s="2" t="s">
        <v>82</v>
      </c>
      <c r="E932" s="2">
        <v>40</v>
      </c>
      <c r="F932" s="2">
        <v>747.87</v>
      </c>
    </row>
    <row r="933" spans="3:6" x14ac:dyDescent="0.25">
      <c r="C933" s="2" t="s">
        <v>11571</v>
      </c>
      <c r="D933" s="2" t="s">
        <v>82</v>
      </c>
      <c r="E933" s="2">
        <v>17</v>
      </c>
      <c r="F933" s="2">
        <v>341.82</v>
      </c>
    </row>
    <row r="934" spans="3:6" x14ac:dyDescent="0.25">
      <c r="C934" s="2" t="s">
        <v>11572</v>
      </c>
      <c r="D934" s="2" t="s">
        <v>82</v>
      </c>
      <c r="E934" s="2">
        <v>31</v>
      </c>
      <c r="F934" s="2">
        <v>539.389</v>
      </c>
    </row>
    <row r="935" spans="3:6" x14ac:dyDescent="0.25">
      <c r="C935" s="2" t="s">
        <v>11573</v>
      </c>
      <c r="D935" s="2" t="s">
        <v>82</v>
      </c>
      <c r="E935" s="2">
        <v>71</v>
      </c>
      <c r="F935" s="2">
        <v>1466.62</v>
      </c>
    </row>
    <row r="936" spans="3:6" x14ac:dyDescent="0.25">
      <c r="C936" s="2" t="s">
        <v>11574</v>
      </c>
      <c r="D936" s="2" t="s">
        <v>82</v>
      </c>
      <c r="E936" s="2">
        <v>116</v>
      </c>
      <c r="F936" s="2">
        <v>2280</v>
      </c>
    </row>
    <row r="937" spans="3:6" x14ac:dyDescent="0.25">
      <c r="C937" s="2" t="s">
        <v>11575</v>
      </c>
      <c r="D937" s="2" t="s">
        <v>82</v>
      </c>
      <c r="E937" s="2">
        <v>18</v>
      </c>
      <c r="F937" s="2">
        <v>366.5</v>
      </c>
    </row>
    <row r="938" spans="3:6" x14ac:dyDescent="0.25">
      <c r="C938" s="2" t="s">
        <v>11576</v>
      </c>
      <c r="D938" s="2" t="s">
        <v>82</v>
      </c>
      <c r="E938" s="2">
        <v>71</v>
      </c>
      <c r="F938" s="2">
        <v>1432.772</v>
      </c>
    </row>
    <row r="939" spans="3:6" x14ac:dyDescent="0.25">
      <c r="C939" s="2" t="s">
        <v>11577</v>
      </c>
      <c r="D939" s="2" t="s">
        <v>82</v>
      </c>
      <c r="E939" s="2">
        <v>60</v>
      </c>
      <c r="F939" s="2">
        <v>1574.491</v>
      </c>
    </row>
    <row r="940" spans="3:6" x14ac:dyDescent="0.25">
      <c r="C940" s="2" t="s">
        <v>11578</v>
      </c>
      <c r="D940" s="2" t="s">
        <v>82</v>
      </c>
      <c r="E940" s="2">
        <v>141</v>
      </c>
      <c r="F940" s="2">
        <v>2835.42</v>
      </c>
    </row>
    <row r="941" spans="3:6" x14ac:dyDescent="0.25">
      <c r="C941" s="2" t="s">
        <v>11579</v>
      </c>
      <c r="D941" s="2" t="s">
        <v>82</v>
      </c>
      <c r="E941" s="2">
        <v>75</v>
      </c>
      <c r="F941" s="2">
        <v>1494.279</v>
      </c>
    </row>
    <row r="942" spans="3:6" x14ac:dyDescent="0.25">
      <c r="C942" s="2" t="s">
        <v>11580</v>
      </c>
      <c r="D942" s="2" t="s">
        <v>82</v>
      </c>
      <c r="E942" s="2">
        <v>34</v>
      </c>
      <c r="F942" s="2">
        <v>680.82</v>
      </c>
    </row>
    <row r="943" spans="3:6" x14ac:dyDescent="0.25">
      <c r="C943" s="2" t="s">
        <v>11581</v>
      </c>
      <c r="D943" s="2" t="s">
        <v>82</v>
      </c>
      <c r="E943" s="2">
        <v>32</v>
      </c>
      <c r="F943" s="2">
        <v>636.48</v>
      </c>
    </row>
    <row r="944" spans="3:6" x14ac:dyDescent="0.25">
      <c r="C944" s="2" t="s">
        <v>11582</v>
      </c>
      <c r="D944" s="2" t="s">
        <v>82</v>
      </c>
      <c r="E944" s="2">
        <v>42</v>
      </c>
      <c r="F944" s="2">
        <v>827.35</v>
      </c>
    </row>
    <row r="945" spans="3:6" x14ac:dyDescent="0.25">
      <c r="C945" s="2" t="s">
        <v>11583</v>
      </c>
      <c r="D945" s="2" t="s">
        <v>82</v>
      </c>
      <c r="E945" s="2">
        <v>56</v>
      </c>
      <c r="F945" s="2">
        <v>1099.149</v>
      </c>
    </row>
    <row r="946" spans="3:6" x14ac:dyDescent="0.25">
      <c r="C946" s="2" t="s">
        <v>11584</v>
      </c>
      <c r="D946" s="2" t="s">
        <v>82</v>
      </c>
      <c r="E946" s="2">
        <v>43</v>
      </c>
      <c r="F946" s="2">
        <v>873.919</v>
      </c>
    </row>
    <row r="947" spans="3:6" x14ac:dyDescent="0.25">
      <c r="C947" s="2" t="s">
        <v>11585</v>
      </c>
      <c r="D947" s="2" t="s">
        <v>82</v>
      </c>
      <c r="E947" s="2">
        <v>50</v>
      </c>
      <c r="F947" s="2">
        <v>1029.309</v>
      </c>
    </row>
    <row r="948" spans="3:6" x14ac:dyDescent="0.25">
      <c r="C948" s="2" t="s">
        <v>11586</v>
      </c>
      <c r="D948" s="2" t="s">
        <v>82</v>
      </c>
      <c r="E948" s="2">
        <v>50</v>
      </c>
      <c r="F948" s="2">
        <v>971.628</v>
      </c>
    </row>
    <row r="949" spans="3:6" x14ac:dyDescent="0.25">
      <c r="C949" s="2" t="s">
        <v>11587</v>
      </c>
      <c r="D949" s="2" t="s">
        <v>82</v>
      </c>
      <c r="E949" s="2">
        <v>22</v>
      </c>
      <c r="F949" s="2">
        <v>441.01</v>
      </c>
    </row>
    <row r="950" spans="3:6" x14ac:dyDescent="0.25">
      <c r="C950" s="2" t="s">
        <v>11588</v>
      </c>
      <c r="D950" s="2" t="s">
        <v>82</v>
      </c>
      <c r="E950" s="2">
        <v>19</v>
      </c>
      <c r="F950" s="2">
        <v>383.26</v>
      </c>
    </row>
    <row r="951" spans="3:6" x14ac:dyDescent="0.25">
      <c r="C951" s="2" t="s">
        <v>11589</v>
      </c>
      <c r="D951" s="2" t="s">
        <v>82</v>
      </c>
      <c r="E951" s="2">
        <v>70</v>
      </c>
      <c r="F951" s="2">
        <v>1448.39</v>
      </c>
    </row>
    <row r="952" spans="3:6" x14ac:dyDescent="0.25">
      <c r="C952" s="2" t="s">
        <v>11590</v>
      </c>
      <c r="D952" s="2" t="s">
        <v>82</v>
      </c>
      <c r="E952" s="2">
        <v>33</v>
      </c>
      <c r="F952" s="2">
        <v>663.14</v>
      </c>
    </row>
    <row r="953" spans="3:6" x14ac:dyDescent="0.25">
      <c r="C953" s="2" t="s">
        <v>11591</v>
      </c>
      <c r="D953" s="2" t="s">
        <v>82</v>
      </c>
      <c r="E953" s="2">
        <v>135</v>
      </c>
      <c r="F953" s="2">
        <v>585.018</v>
      </c>
    </row>
    <row r="954" spans="3:6" x14ac:dyDescent="0.25">
      <c r="C954" s="2" t="s">
        <v>11592</v>
      </c>
      <c r="D954" s="2" t="s">
        <v>82</v>
      </c>
      <c r="E954" s="2">
        <v>14</v>
      </c>
      <c r="F954" s="2">
        <v>285.26</v>
      </c>
    </row>
    <row r="955" spans="3:6" x14ac:dyDescent="0.25">
      <c r="C955" s="2" t="s">
        <v>11593</v>
      </c>
      <c r="D955" s="2" t="s">
        <v>82</v>
      </c>
      <c r="E955" s="2">
        <v>35</v>
      </c>
      <c r="F955" s="2">
        <v>720.41</v>
      </c>
    </row>
    <row r="956" spans="3:6" x14ac:dyDescent="0.25">
      <c r="C956" s="2" t="s">
        <v>11594</v>
      </c>
      <c r="D956" s="2" t="s">
        <v>82</v>
      </c>
      <c r="E956" s="2">
        <v>36</v>
      </c>
      <c r="F956" s="2">
        <v>754.7</v>
      </c>
    </row>
    <row r="957" spans="3:6" x14ac:dyDescent="0.25">
      <c r="C957" s="2" t="s">
        <v>11595</v>
      </c>
      <c r="D957" s="2" t="s">
        <v>82</v>
      </c>
      <c r="E957" s="2">
        <v>26</v>
      </c>
      <c r="F957" s="2">
        <v>303.334</v>
      </c>
    </row>
    <row r="958" spans="3:6" x14ac:dyDescent="0.25">
      <c r="C958" s="2" t="s">
        <v>11596</v>
      </c>
      <c r="D958" s="2" t="s">
        <v>82</v>
      </c>
      <c r="E958" s="2">
        <v>10</v>
      </c>
      <c r="F958" s="2">
        <v>271.51</v>
      </c>
    </row>
    <row r="959" spans="3:6" x14ac:dyDescent="0.25">
      <c r="C959" s="2" t="s">
        <v>11597</v>
      </c>
      <c r="D959" s="2" t="s">
        <v>82</v>
      </c>
      <c r="E959" s="2">
        <v>120</v>
      </c>
      <c r="F959" s="2">
        <v>2322.539</v>
      </c>
    </row>
    <row r="960" spans="3:6" x14ac:dyDescent="0.25">
      <c r="C960" s="2" t="s">
        <v>11598</v>
      </c>
      <c r="D960" s="2" t="s">
        <v>82</v>
      </c>
      <c r="E960" s="2">
        <v>21</v>
      </c>
      <c r="F960" s="2">
        <v>420.71</v>
      </c>
    </row>
    <row r="961" spans="3:6" x14ac:dyDescent="0.25">
      <c r="C961" s="2" t="s">
        <v>11599</v>
      </c>
      <c r="D961" s="2" t="s">
        <v>82</v>
      </c>
      <c r="E961" s="2">
        <v>56</v>
      </c>
      <c r="F961" s="2">
        <v>1124.289</v>
      </c>
    </row>
    <row r="962" spans="3:6" x14ac:dyDescent="0.25">
      <c r="C962" s="2" t="s">
        <v>11600</v>
      </c>
      <c r="D962" s="2" t="s">
        <v>82</v>
      </c>
      <c r="E962" s="2">
        <v>47</v>
      </c>
      <c r="F962" s="2">
        <v>945.92</v>
      </c>
    </row>
    <row r="963" spans="3:6" x14ac:dyDescent="0.25">
      <c r="C963" s="2" t="s">
        <v>11601</v>
      </c>
      <c r="D963" s="2" t="s">
        <v>82</v>
      </c>
      <c r="E963" s="2">
        <v>38</v>
      </c>
      <c r="F963" s="2">
        <v>731.18</v>
      </c>
    </row>
    <row r="965" spans="1:7" x14ac:dyDescent="0.25">
      <c r="A965" s="1">
        <v>46122</v>
      </c>
      <c r="B965" s="2" t="s">
        <v>290</v>
      </c>
      <c r="C965" s="2" t="s">
        <v>11602</v>
      </c>
      <c r="D965" s="2" t="s">
        <v>178</v>
      </c>
      <c r="E965" s="2">
        <v>283</v>
      </c>
      <c r="F965" s="2">
        <v>5665.419</v>
      </c>
      <c r="G965" s="1">
        <v>46121</v>
      </c>
    </row>
    <row r="966" spans="3:6" x14ac:dyDescent="0.25">
      <c r="C966" s="2" t="s">
        <v>11603</v>
      </c>
      <c r="D966" s="2" t="s">
        <v>178</v>
      </c>
      <c r="E966" s="2">
        <v>134</v>
      </c>
      <c r="F966" s="2">
        <v>2773.79</v>
      </c>
    </row>
    <row r="967" spans="3:6" x14ac:dyDescent="0.25">
      <c r="C967" s="2" t="s">
        <v>11604</v>
      </c>
      <c r="D967" s="2" t="s">
        <v>178</v>
      </c>
      <c r="E967" s="2">
        <v>75</v>
      </c>
      <c r="F967" s="2">
        <v>1321.95</v>
      </c>
    </row>
    <row r="968" spans="3:6" x14ac:dyDescent="0.25">
      <c r="C968" s="2" t="s">
        <v>11605</v>
      </c>
      <c r="D968" s="2" t="s">
        <v>178</v>
      </c>
      <c r="E968" s="2">
        <v>30</v>
      </c>
      <c r="F968" s="2">
        <v>126.6</v>
      </c>
    </row>
    <row r="969" spans="3:6" x14ac:dyDescent="0.25">
      <c r="C969" s="2" t="s">
        <v>11606</v>
      </c>
      <c r="D969" s="2" t="s">
        <v>178</v>
      </c>
      <c r="E969" s="2">
        <v>130</v>
      </c>
      <c r="F969" s="2">
        <v>2498.96</v>
      </c>
    </row>
    <row r="970" spans="3:6" x14ac:dyDescent="0.25">
      <c r="C970" s="2" t="s">
        <v>11607</v>
      </c>
      <c r="D970" s="2" t="s">
        <v>178</v>
      </c>
      <c r="E970" s="2">
        <v>152</v>
      </c>
      <c r="F970" s="2">
        <v>2882.759</v>
      </c>
    </row>
    <row r="971" spans="3:6" x14ac:dyDescent="0.25">
      <c r="C971" s="2" t="s">
        <v>11608</v>
      </c>
      <c r="D971" s="2" t="s">
        <v>178</v>
      </c>
      <c r="E971" s="2">
        <v>15</v>
      </c>
      <c r="F971" s="2">
        <v>63.88</v>
      </c>
    </row>
    <row r="972" spans="3:6" x14ac:dyDescent="0.25">
      <c r="C972" s="2" t="s">
        <v>11609</v>
      </c>
      <c r="D972" s="2" t="s">
        <v>178</v>
      </c>
      <c r="E972" s="2">
        <v>141</v>
      </c>
      <c r="F972" s="2">
        <v>2839.49</v>
      </c>
    </row>
    <row r="973" spans="3:6" x14ac:dyDescent="0.25">
      <c r="C973" s="2" t="s">
        <v>11610</v>
      </c>
      <c r="D973" s="2" t="s">
        <v>178</v>
      </c>
      <c r="E973" s="2">
        <v>123</v>
      </c>
      <c r="F973" s="2">
        <v>2436.79</v>
      </c>
    </row>
    <row r="974" spans="3:6" x14ac:dyDescent="0.25">
      <c r="C974" s="2" t="s">
        <v>11611</v>
      </c>
      <c r="D974" s="2" t="s">
        <v>178</v>
      </c>
      <c r="E974" s="2">
        <v>264</v>
      </c>
      <c r="F974" s="2">
        <v>5259.507</v>
      </c>
    </row>
    <row r="975" spans="3:6" x14ac:dyDescent="0.25">
      <c r="C975" s="2" t="s">
        <v>11612</v>
      </c>
      <c r="D975" s="2" t="s">
        <v>178</v>
      </c>
      <c r="E975" s="2">
        <v>282</v>
      </c>
      <c r="F975" s="2">
        <v>5701.94</v>
      </c>
    </row>
    <row r="976" spans="3:6" x14ac:dyDescent="0.25">
      <c r="C976" s="2" t="s">
        <v>11613</v>
      </c>
      <c r="D976" s="2" t="s">
        <v>178</v>
      </c>
      <c r="E976" s="2">
        <v>123</v>
      </c>
      <c r="F976" s="2">
        <v>2377.46</v>
      </c>
    </row>
    <row r="977" spans="3:6" x14ac:dyDescent="0.25">
      <c r="C977" s="2" t="s">
        <v>11614</v>
      </c>
      <c r="D977" s="2" t="s">
        <v>178</v>
      </c>
      <c r="E977" s="2">
        <v>123</v>
      </c>
      <c r="F977" s="2">
        <v>2368.348</v>
      </c>
    </row>
    <row r="978" spans="3:6" x14ac:dyDescent="0.25">
      <c r="C978" s="2" t="s">
        <v>11615</v>
      </c>
      <c r="D978" s="2" t="s">
        <v>178</v>
      </c>
      <c r="E978" s="2">
        <v>35</v>
      </c>
      <c r="F978" s="2">
        <v>149.54</v>
      </c>
    </row>
    <row r="979" spans="3:6" x14ac:dyDescent="0.25">
      <c r="C979" s="2" t="s">
        <v>11616</v>
      </c>
      <c r="D979" s="2" t="s">
        <v>178</v>
      </c>
      <c r="E979" s="2">
        <v>62</v>
      </c>
      <c r="F979" s="2">
        <v>1139.249</v>
      </c>
    </row>
    <row r="980" spans="3:6" x14ac:dyDescent="0.25">
      <c r="C980" s="2" t="s">
        <v>11617</v>
      </c>
      <c r="D980" s="2" t="s">
        <v>178</v>
      </c>
      <c r="E980" s="2">
        <v>79</v>
      </c>
      <c r="F980" s="2">
        <v>1601.3</v>
      </c>
    </row>
    <row r="981" spans="3:6" x14ac:dyDescent="0.25">
      <c r="C981" s="2" t="s">
        <v>11618</v>
      </c>
      <c r="D981" s="2" t="s">
        <v>178</v>
      </c>
      <c r="E981" s="2">
        <v>71</v>
      </c>
      <c r="F981" s="2">
        <v>1278.79</v>
      </c>
    </row>
    <row r="982" spans="3:6" x14ac:dyDescent="0.25">
      <c r="C982" s="2" t="s">
        <v>11619</v>
      </c>
      <c r="D982" s="2" t="s">
        <v>178</v>
      </c>
      <c r="E982" s="2">
        <v>72</v>
      </c>
      <c r="F982" s="2">
        <v>1355.26</v>
      </c>
    </row>
    <row r="983" spans="3:6" x14ac:dyDescent="0.25">
      <c r="C983" s="2" t="s">
        <v>11620</v>
      </c>
      <c r="D983" s="2" t="s">
        <v>178</v>
      </c>
      <c r="E983" s="2">
        <v>141</v>
      </c>
      <c r="F983" s="2">
        <v>2818.15</v>
      </c>
    </row>
    <row r="984" spans="3:6" x14ac:dyDescent="0.25">
      <c r="C984" s="2" t="s">
        <v>11621</v>
      </c>
      <c r="D984" s="2" t="s">
        <v>178</v>
      </c>
      <c r="E984" s="2">
        <v>243</v>
      </c>
      <c r="F984" s="2">
        <v>4595.54</v>
      </c>
    </row>
    <row r="985" spans="3:6" x14ac:dyDescent="0.25">
      <c r="C985" s="2" t="s">
        <v>11622</v>
      </c>
      <c r="D985" s="2" t="s">
        <v>178</v>
      </c>
      <c r="E985" s="2">
        <v>141</v>
      </c>
      <c r="F985" s="2">
        <v>2923.85</v>
      </c>
    </row>
    <row r="986" spans="3:6" x14ac:dyDescent="0.25">
      <c r="C986" s="2" t="s">
        <v>11623</v>
      </c>
      <c r="D986" s="2" t="s">
        <v>178</v>
      </c>
      <c r="E986" s="2">
        <v>102</v>
      </c>
      <c r="F986" s="2">
        <v>2105.97</v>
      </c>
    </row>
    <row r="987" spans="3:6" x14ac:dyDescent="0.25">
      <c r="C987" s="2" t="s">
        <v>11624</v>
      </c>
      <c r="D987" s="2" t="s">
        <v>178</v>
      </c>
      <c r="E987" s="2">
        <v>306</v>
      </c>
      <c r="F987" s="2">
        <v>6242.05</v>
      </c>
    </row>
    <row r="988" spans="3:6" x14ac:dyDescent="0.25">
      <c r="C988" s="2" t="s">
        <v>11625</v>
      </c>
      <c r="D988" s="2" t="s">
        <v>178</v>
      </c>
      <c r="E988" s="2">
        <v>141</v>
      </c>
      <c r="F988" s="2">
        <v>2801.1</v>
      </c>
    </row>
    <row r="989" spans="3:6" x14ac:dyDescent="0.25">
      <c r="C989" s="2" t="s">
        <v>11626</v>
      </c>
      <c r="D989" s="2" t="s">
        <v>178</v>
      </c>
      <c r="E989" s="2">
        <v>34</v>
      </c>
      <c r="F989" s="2">
        <v>691.32</v>
      </c>
    </row>
    <row r="990" spans="3:6" x14ac:dyDescent="0.25">
      <c r="C990" s="2" t="s">
        <v>11627</v>
      </c>
      <c r="D990" s="2" t="s">
        <v>178</v>
      </c>
      <c r="E990" s="2">
        <v>107</v>
      </c>
      <c r="F990" s="2">
        <v>2148.4</v>
      </c>
    </row>
    <row r="991" spans="3:6" x14ac:dyDescent="0.25">
      <c r="C991" s="2" t="s">
        <v>11628</v>
      </c>
      <c r="D991" s="2" t="s">
        <v>178</v>
      </c>
      <c r="E991" s="2">
        <v>141</v>
      </c>
      <c r="F991" s="2">
        <v>2889.57</v>
      </c>
    </row>
    <row r="992" spans="3:6" x14ac:dyDescent="0.25">
      <c r="C992" s="2" t="s">
        <v>11629</v>
      </c>
      <c r="D992" s="2" t="s">
        <v>178</v>
      </c>
      <c r="E992" s="2">
        <v>74</v>
      </c>
      <c r="F992" s="2">
        <v>1530.99</v>
      </c>
    </row>
    <row r="993" spans="3:6" x14ac:dyDescent="0.25">
      <c r="C993" s="2" t="s">
        <v>11630</v>
      </c>
      <c r="D993" s="2" t="s">
        <v>178</v>
      </c>
      <c r="E993" s="2">
        <v>28</v>
      </c>
      <c r="F993" s="2">
        <v>585.93</v>
      </c>
    </row>
    <row r="994" spans="3:6" x14ac:dyDescent="0.25">
      <c r="C994" s="2" t="s">
        <v>11631</v>
      </c>
      <c r="D994" s="2" t="s">
        <v>178</v>
      </c>
      <c r="E994" s="2">
        <v>140</v>
      </c>
      <c r="F994" s="2">
        <v>2632.37</v>
      </c>
    </row>
    <row r="995" spans="3:6" x14ac:dyDescent="0.25">
      <c r="C995" s="2" t="s">
        <v>11632</v>
      </c>
      <c r="D995" s="2" t="s">
        <v>178</v>
      </c>
      <c r="E995" s="2">
        <v>102</v>
      </c>
      <c r="F995" s="2">
        <v>2072.47</v>
      </c>
    </row>
    <row r="997" spans="1:7" x14ac:dyDescent="0.25">
      <c r="A997" s="1">
        <v>46122</v>
      </c>
      <c r="B997" s="2" t="s">
        <v>7</v>
      </c>
      <c r="C997" s="2" t="s">
        <v>11633</v>
      </c>
      <c r="D997" s="2" t="s">
        <v>9</v>
      </c>
      <c r="E997" s="2">
        <v>80</v>
      </c>
      <c r="F997" s="2">
        <v>1610.31</v>
      </c>
      <c r="G997" s="1">
        <v>46121</v>
      </c>
    </row>
    <row r="998" spans="3:6" x14ac:dyDescent="0.25">
      <c r="C998" s="2" t="s">
        <v>11634</v>
      </c>
      <c r="D998" s="2" t="s">
        <v>9</v>
      </c>
      <c r="E998" s="2">
        <v>79</v>
      </c>
      <c r="F998" s="2">
        <v>1583.72</v>
      </c>
    </row>
    <row r="1000" spans="1:7" x14ac:dyDescent="0.25">
      <c r="A1000" s="1">
        <v>46122</v>
      </c>
      <c r="B1000" s="2" t="s">
        <v>666</v>
      </c>
      <c r="C1000" s="2" t="s">
        <v>11635</v>
      </c>
      <c r="D1000" s="2" t="s">
        <v>59</v>
      </c>
      <c r="E1000" s="2">
        <v>142</v>
      </c>
      <c r="F1000" s="2">
        <v>2760.159</v>
      </c>
      <c r="G1000" s="1">
        <v>46120</v>
      </c>
    </row>
    <row r="1001" spans="3:6" x14ac:dyDescent="0.25">
      <c r="C1001" s="2" t="s">
        <v>11636</v>
      </c>
      <c r="D1001" s="2" t="s">
        <v>59</v>
      </c>
      <c r="E1001" s="2">
        <v>142</v>
      </c>
      <c r="F1001" s="2">
        <v>2759.86</v>
      </c>
    </row>
    <row r="1002" spans="3:6" x14ac:dyDescent="0.25">
      <c r="C1002" s="2" t="s">
        <v>11637</v>
      </c>
      <c r="D1002" s="2" t="s">
        <v>59</v>
      </c>
      <c r="E1002" s="2">
        <v>102</v>
      </c>
      <c r="F1002" s="2">
        <v>1932.27</v>
      </c>
    </row>
    <row r="1003" spans="3:6" x14ac:dyDescent="0.25">
      <c r="C1003" s="2" t="s">
        <v>11638</v>
      </c>
      <c r="D1003" s="2" t="s">
        <v>59</v>
      </c>
      <c r="E1003" s="2">
        <v>142</v>
      </c>
      <c r="F1003" s="2">
        <v>2833.51</v>
      </c>
    </row>
    <row r="1004" spans="3:6" x14ac:dyDescent="0.25">
      <c r="C1004" s="2" t="s">
        <v>11639</v>
      </c>
      <c r="D1004" s="2" t="s">
        <v>59</v>
      </c>
      <c r="E1004" s="2">
        <v>102</v>
      </c>
      <c r="F1004" s="2">
        <v>1909.13</v>
      </c>
    </row>
    <row r="1005" spans="3:6" x14ac:dyDescent="0.25">
      <c r="C1005" s="2" t="s">
        <v>11640</v>
      </c>
      <c r="D1005" s="2" t="s">
        <v>59</v>
      </c>
      <c r="E1005" s="2">
        <v>142</v>
      </c>
      <c r="F1005" s="2">
        <v>2592.55</v>
      </c>
    </row>
    <row r="1006" spans="3:6" x14ac:dyDescent="0.25">
      <c r="C1006" s="2" t="s">
        <v>11641</v>
      </c>
      <c r="D1006" s="2" t="s">
        <v>59</v>
      </c>
      <c r="E1006" s="2">
        <v>142</v>
      </c>
      <c r="F1006" s="2">
        <v>2723.93</v>
      </c>
    </row>
    <row r="1007" spans="3:6" x14ac:dyDescent="0.25">
      <c r="C1007" s="2" t="s">
        <v>11642</v>
      </c>
      <c r="D1007" s="2" t="s">
        <v>59</v>
      </c>
      <c r="E1007" s="2">
        <v>142</v>
      </c>
      <c r="F1007" s="2">
        <v>2776.03</v>
      </c>
    </row>
    <row r="1008" spans="3:6" x14ac:dyDescent="0.25">
      <c r="C1008" s="2" t="s">
        <v>11643</v>
      </c>
      <c r="D1008" s="2" t="s">
        <v>59</v>
      </c>
      <c r="E1008" s="2">
        <v>142</v>
      </c>
      <c r="F1008" s="2">
        <v>2652.96</v>
      </c>
    </row>
    <row r="1009" spans="3:6" x14ac:dyDescent="0.25">
      <c r="C1009" s="2" t="s">
        <v>11644</v>
      </c>
      <c r="D1009" s="2" t="s">
        <v>59</v>
      </c>
      <c r="E1009" s="2">
        <v>102</v>
      </c>
      <c r="F1009" s="2">
        <v>1930.81</v>
      </c>
    </row>
    <row r="1010" spans="3:6" x14ac:dyDescent="0.25">
      <c r="C1010" s="2" t="s">
        <v>11645</v>
      </c>
      <c r="D1010" s="2" t="s">
        <v>59</v>
      </c>
      <c r="E1010" s="2">
        <v>142</v>
      </c>
      <c r="F1010" s="2">
        <v>2740.187</v>
      </c>
    </row>
    <row r="1011" spans="3:6" x14ac:dyDescent="0.25">
      <c r="C1011" s="2" t="s">
        <v>11646</v>
      </c>
      <c r="D1011" s="2" t="s">
        <v>59</v>
      </c>
      <c r="E1011" s="2">
        <v>102</v>
      </c>
      <c r="F1011" s="2">
        <v>1897.859</v>
      </c>
    </row>
    <row r="1013" spans="1:7" x14ac:dyDescent="0.25">
      <c r="A1013" s="1">
        <v>46123</v>
      </c>
      <c r="B1013" s="2" t="s">
        <v>1012</v>
      </c>
      <c r="C1013" s="2" t="s">
        <v>11496</v>
      </c>
      <c r="D1013" s="2" t="s">
        <v>73</v>
      </c>
      <c r="E1013" s="2">
        <v>12</v>
      </c>
      <c r="F1013" s="2">
        <v>207.44</v>
      </c>
      <c r="G1013" s="1">
        <v>46122</v>
      </c>
    </row>
    <row r="1014" spans="3:6" x14ac:dyDescent="0.25">
      <c r="C1014" s="2" t="s">
        <v>11497</v>
      </c>
      <c r="D1014" s="2" t="s">
        <v>73</v>
      </c>
      <c r="E1014" s="2">
        <v>82</v>
      </c>
      <c r="F1014" s="2">
        <v>1596.05</v>
      </c>
    </row>
    <row r="1015" spans="3:6" x14ac:dyDescent="0.25">
      <c r="C1015" s="2" t="s">
        <v>11498</v>
      </c>
      <c r="D1015" s="2" t="s">
        <v>73</v>
      </c>
      <c r="E1015" s="2">
        <v>37</v>
      </c>
      <c r="F1015" s="2">
        <v>680</v>
      </c>
    </row>
    <row r="1016" spans="3:6" x14ac:dyDescent="0.25">
      <c r="C1016" s="2" t="s">
        <v>11499</v>
      </c>
      <c r="D1016" s="2" t="s">
        <v>73</v>
      </c>
      <c r="E1016" s="2">
        <v>58</v>
      </c>
      <c r="F1016" s="2">
        <v>1157.019</v>
      </c>
    </row>
    <row r="1017" spans="3:6" x14ac:dyDescent="0.25">
      <c r="C1017" s="2" t="s">
        <v>11500</v>
      </c>
      <c r="D1017" s="2" t="s">
        <v>73</v>
      </c>
      <c r="E1017" s="2">
        <v>12</v>
      </c>
      <c r="F1017" s="2">
        <v>205.87</v>
      </c>
    </row>
    <row r="1018" spans="3:6" x14ac:dyDescent="0.25">
      <c r="C1018" s="2" t="s">
        <v>11501</v>
      </c>
      <c r="D1018" s="2" t="s">
        <v>73</v>
      </c>
      <c r="E1018" s="2">
        <v>8</v>
      </c>
      <c r="F1018" s="2">
        <v>153.09</v>
      </c>
    </row>
    <row r="1019" spans="3:6" x14ac:dyDescent="0.25">
      <c r="C1019" s="2" t="s">
        <v>11502</v>
      </c>
      <c r="D1019" s="2" t="s">
        <v>73</v>
      </c>
      <c r="E1019" s="2">
        <v>63</v>
      </c>
      <c r="F1019" s="2">
        <v>1264.53</v>
      </c>
    </row>
    <row r="1020" spans="3:6" x14ac:dyDescent="0.25">
      <c r="C1020" s="2" t="s">
        <v>11647</v>
      </c>
      <c r="D1020" s="2" t="s">
        <v>73</v>
      </c>
      <c r="E1020" s="2">
        <v>16</v>
      </c>
      <c r="F1020" s="2">
        <v>303.55</v>
      </c>
    </row>
    <row r="1021" spans="3:6" x14ac:dyDescent="0.25">
      <c r="C1021" s="2" t="s">
        <v>11648</v>
      </c>
      <c r="D1021" s="2" t="s">
        <v>73</v>
      </c>
      <c r="E1021" s="2">
        <v>16</v>
      </c>
      <c r="F1021" s="2">
        <v>291.69</v>
      </c>
    </row>
    <row r="1022" spans="3:6" x14ac:dyDescent="0.25">
      <c r="C1022" s="2" t="s">
        <v>11649</v>
      </c>
      <c r="D1022" s="2" t="s">
        <v>73</v>
      </c>
      <c r="E1022" s="2">
        <v>92</v>
      </c>
      <c r="F1022" s="2">
        <v>1731.97</v>
      </c>
    </row>
    <row r="1024" spans="1:7" x14ac:dyDescent="0.25">
      <c r="A1024" s="1">
        <v>46123</v>
      </c>
      <c r="B1024" s="2" t="s">
        <v>229</v>
      </c>
      <c r="C1024" s="2" t="s">
        <v>11650</v>
      </c>
      <c r="D1024" s="2" t="s">
        <v>82</v>
      </c>
      <c r="E1024" s="2">
        <v>200</v>
      </c>
      <c r="F1024" s="2">
        <v>860.99</v>
      </c>
      <c r="G1024" s="1">
        <v>46121</v>
      </c>
    </row>
    <row r="1025" spans="3:6" x14ac:dyDescent="0.25">
      <c r="C1025" s="2" t="s">
        <v>11651</v>
      </c>
      <c r="D1025" s="2" t="s">
        <v>82</v>
      </c>
      <c r="E1025" s="2">
        <v>54</v>
      </c>
      <c r="F1025" s="2">
        <v>1068.11</v>
      </c>
    </row>
    <row r="1026" spans="3:6" x14ac:dyDescent="0.25">
      <c r="C1026" s="2" t="s">
        <v>11652</v>
      </c>
      <c r="D1026" s="2" t="s">
        <v>82</v>
      </c>
      <c r="E1026" s="2">
        <v>63</v>
      </c>
      <c r="F1026" s="2">
        <v>1263.5</v>
      </c>
    </row>
    <row r="1027" spans="3:6" x14ac:dyDescent="0.25">
      <c r="C1027" s="2" t="s">
        <v>11653</v>
      </c>
      <c r="D1027" s="2" t="s">
        <v>82</v>
      </c>
      <c r="E1027" s="2">
        <v>122</v>
      </c>
      <c r="F1027" s="2">
        <v>2278.398</v>
      </c>
    </row>
    <row r="1028" spans="3:6" x14ac:dyDescent="0.25">
      <c r="C1028" s="2" t="s">
        <v>11654</v>
      </c>
      <c r="D1028" s="2" t="s">
        <v>82</v>
      </c>
      <c r="E1028" s="2">
        <v>123</v>
      </c>
      <c r="F1028" s="2">
        <v>2398.22</v>
      </c>
    </row>
    <row r="1029" spans="3:6" x14ac:dyDescent="0.25">
      <c r="C1029" s="2" t="s">
        <v>11655</v>
      </c>
      <c r="D1029" s="2" t="s">
        <v>82</v>
      </c>
      <c r="E1029" s="2" t="s">
        <v>4167</v>
      </c>
      <c r="F1029" s="2" t="s">
        <v>4167</v>
      </c>
    </row>
    <row r="1030" spans="3:6" x14ac:dyDescent="0.25">
      <c r="C1030" s="2" t="s">
        <v>11656</v>
      </c>
      <c r="D1030" s="2" t="s">
        <v>82</v>
      </c>
      <c r="E1030" s="2" t="s">
        <v>4167</v>
      </c>
      <c r="F1030" s="2" t="s">
        <v>4167</v>
      </c>
    </row>
    <row r="1031" spans="3:6" x14ac:dyDescent="0.25">
      <c r="C1031" s="2" t="s">
        <v>11657</v>
      </c>
      <c r="D1031" s="2" t="s">
        <v>82</v>
      </c>
      <c r="E1031" s="2">
        <v>103</v>
      </c>
      <c r="F1031" s="2">
        <v>2094.89</v>
      </c>
    </row>
    <row r="1032" spans="3:6" x14ac:dyDescent="0.25">
      <c r="C1032" s="2" t="s">
        <v>11658</v>
      </c>
      <c r="D1032" s="2" t="s">
        <v>82</v>
      </c>
      <c r="E1032" s="2">
        <v>31</v>
      </c>
      <c r="F1032" s="2">
        <v>689.53</v>
      </c>
    </row>
    <row r="1033" spans="3:6" x14ac:dyDescent="0.25">
      <c r="C1033" s="2" t="s">
        <v>11659</v>
      </c>
      <c r="D1033" s="2" t="s">
        <v>82</v>
      </c>
      <c r="E1033" s="2">
        <v>75</v>
      </c>
      <c r="F1033" s="2">
        <v>1402.579</v>
      </c>
    </row>
    <row r="1034" spans="3:6" x14ac:dyDescent="0.25">
      <c r="C1034" s="2" t="s">
        <v>11660</v>
      </c>
      <c r="D1034" s="2" t="s">
        <v>82</v>
      </c>
      <c r="E1034" s="2">
        <v>141</v>
      </c>
      <c r="F1034" s="2">
        <v>2844.349</v>
      </c>
    </row>
    <row r="1035" spans="3:6" x14ac:dyDescent="0.25">
      <c r="C1035" s="2" t="s">
        <v>11661</v>
      </c>
      <c r="D1035" s="2" t="s">
        <v>82</v>
      </c>
      <c r="E1035" s="2">
        <v>141</v>
      </c>
      <c r="F1035" s="2">
        <v>2850.64</v>
      </c>
    </row>
    <row r="1036" spans="3:6" x14ac:dyDescent="0.25">
      <c r="C1036" s="2" t="s">
        <v>11662</v>
      </c>
      <c r="D1036" s="2" t="s">
        <v>82</v>
      </c>
      <c r="E1036" s="2">
        <v>141</v>
      </c>
      <c r="F1036" s="2">
        <v>2856.61</v>
      </c>
    </row>
    <row r="1037" spans="3:6" x14ac:dyDescent="0.25">
      <c r="C1037" s="2" t="s">
        <v>11663</v>
      </c>
      <c r="D1037" s="2" t="s">
        <v>82</v>
      </c>
      <c r="E1037" s="2">
        <v>90</v>
      </c>
      <c r="F1037" s="2">
        <v>1788.529</v>
      </c>
    </row>
    <row r="1038" spans="3:6" x14ac:dyDescent="0.25">
      <c r="C1038" s="2" t="s">
        <v>11664</v>
      </c>
      <c r="D1038" s="2" t="s">
        <v>82</v>
      </c>
      <c r="E1038" s="2">
        <v>51</v>
      </c>
      <c r="F1038" s="2">
        <v>1036.85</v>
      </c>
    </row>
    <row r="1039" spans="3:6" x14ac:dyDescent="0.25">
      <c r="C1039" s="2" t="s">
        <v>11665</v>
      </c>
      <c r="D1039" s="2" t="s">
        <v>82</v>
      </c>
      <c r="E1039" s="2">
        <v>79</v>
      </c>
      <c r="F1039" s="2">
        <v>1609.39</v>
      </c>
    </row>
    <row r="1040" spans="3:6" x14ac:dyDescent="0.25">
      <c r="C1040" s="2" t="s">
        <v>11666</v>
      </c>
      <c r="D1040" s="2" t="s">
        <v>82</v>
      </c>
      <c r="E1040" s="2">
        <v>62</v>
      </c>
      <c r="F1040" s="2">
        <v>1275.42</v>
      </c>
    </row>
    <row r="1041" spans="3:6" x14ac:dyDescent="0.25">
      <c r="C1041" s="2" t="s">
        <v>11667</v>
      </c>
      <c r="D1041" s="2" t="s">
        <v>82</v>
      </c>
      <c r="E1041" s="2">
        <v>64</v>
      </c>
      <c r="F1041" s="2">
        <v>1268.06</v>
      </c>
    </row>
    <row r="1042" spans="3:6" x14ac:dyDescent="0.25">
      <c r="C1042" s="2" t="s">
        <v>11668</v>
      </c>
      <c r="D1042" s="2" t="s">
        <v>82</v>
      </c>
      <c r="E1042" s="2">
        <v>42</v>
      </c>
      <c r="F1042" s="2">
        <v>840.78</v>
      </c>
    </row>
    <row r="1043" spans="3:6" x14ac:dyDescent="0.25">
      <c r="C1043" s="2" t="s">
        <v>11669</v>
      </c>
      <c r="D1043" s="2" t="s">
        <v>82</v>
      </c>
      <c r="E1043" s="2">
        <v>36</v>
      </c>
      <c r="F1043" s="2">
        <v>707.43</v>
      </c>
    </row>
    <row r="1044" spans="3:6" x14ac:dyDescent="0.25">
      <c r="C1044" s="2" t="s">
        <v>11670</v>
      </c>
      <c r="D1044" s="2" t="s">
        <v>82</v>
      </c>
      <c r="E1044" s="2">
        <v>42</v>
      </c>
      <c r="F1044" s="2">
        <v>840.06</v>
      </c>
    </row>
    <row r="1045" spans="3:6" x14ac:dyDescent="0.25">
      <c r="C1045" s="2" t="s">
        <v>11671</v>
      </c>
      <c r="D1045" s="2" t="s">
        <v>82</v>
      </c>
      <c r="E1045" s="2">
        <v>99</v>
      </c>
      <c r="F1045" s="2">
        <v>2054.08</v>
      </c>
    </row>
    <row r="1046" spans="3:6" x14ac:dyDescent="0.25">
      <c r="C1046" s="2" t="s">
        <v>11672</v>
      </c>
      <c r="D1046" s="2" t="s">
        <v>82</v>
      </c>
      <c r="E1046" s="2">
        <v>70</v>
      </c>
      <c r="F1046" s="2">
        <v>1404.56</v>
      </c>
    </row>
    <row r="1047" spans="3:6" x14ac:dyDescent="0.25">
      <c r="C1047" s="2" t="s">
        <v>11673</v>
      </c>
      <c r="D1047" s="2" t="s">
        <v>82</v>
      </c>
      <c r="E1047" s="2">
        <v>46</v>
      </c>
      <c r="F1047" s="2">
        <v>955.08</v>
      </c>
    </row>
    <row r="1048" spans="3:6" x14ac:dyDescent="0.25">
      <c r="C1048" s="2" t="s">
        <v>11674</v>
      </c>
      <c r="D1048" s="2" t="s">
        <v>82</v>
      </c>
      <c r="E1048" s="2">
        <v>25</v>
      </c>
      <c r="F1048" s="2">
        <v>506.6</v>
      </c>
    </row>
    <row r="1049" spans="3:6" x14ac:dyDescent="0.25">
      <c r="C1049" s="2" t="s">
        <v>11675</v>
      </c>
      <c r="D1049" s="2" t="s">
        <v>82</v>
      </c>
      <c r="E1049" s="2">
        <v>99</v>
      </c>
      <c r="F1049" s="2">
        <v>1952.53</v>
      </c>
    </row>
    <row r="1050" spans="3:6" x14ac:dyDescent="0.25">
      <c r="C1050" s="2" t="s">
        <v>11676</v>
      </c>
      <c r="D1050" s="2" t="s">
        <v>82</v>
      </c>
      <c r="E1050" s="2">
        <v>42</v>
      </c>
      <c r="F1050" s="2">
        <v>834.06</v>
      </c>
    </row>
    <row r="1051" spans="3:6" x14ac:dyDescent="0.25">
      <c r="C1051" s="2" t="s">
        <v>11677</v>
      </c>
      <c r="D1051" s="2" t="s">
        <v>82</v>
      </c>
      <c r="E1051" s="2">
        <v>66</v>
      </c>
      <c r="F1051" s="2">
        <v>1264.56</v>
      </c>
    </row>
    <row r="1052" spans="3:6" x14ac:dyDescent="0.25">
      <c r="C1052" s="2" t="s">
        <v>11678</v>
      </c>
      <c r="D1052" s="2" t="s">
        <v>82</v>
      </c>
      <c r="E1052" s="2">
        <v>63</v>
      </c>
      <c r="F1052" s="2">
        <v>385.589</v>
      </c>
    </row>
    <row r="1053" spans="3:6" x14ac:dyDescent="0.25">
      <c r="C1053" s="2" t="s">
        <v>11679</v>
      </c>
      <c r="D1053" s="2" t="s">
        <v>82</v>
      </c>
      <c r="E1053" s="2">
        <v>72</v>
      </c>
      <c r="F1053" s="2">
        <v>2016.39</v>
      </c>
    </row>
    <row r="1054" spans="3:6" x14ac:dyDescent="0.25">
      <c r="C1054" s="2" t="s">
        <v>11680</v>
      </c>
      <c r="D1054" s="2" t="s">
        <v>82</v>
      </c>
      <c r="E1054" s="2">
        <v>67</v>
      </c>
      <c r="F1054" s="2">
        <v>1323.521</v>
      </c>
    </row>
    <row r="1055" spans="3:6" x14ac:dyDescent="0.25">
      <c r="C1055" s="2" t="s">
        <v>11681</v>
      </c>
      <c r="D1055" s="2" t="s">
        <v>82</v>
      </c>
      <c r="E1055" s="2">
        <v>52</v>
      </c>
      <c r="F1055" s="2">
        <v>1007.32</v>
      </c>
    </row>
    <row r="1056" spans="3:6" x14ac:dyDescent="0.25">
      <c r="C1056" s="2" t="s">
        <v>11682</v>
      </c>
      <c r="D1056" s="2" t="s">
        <v>82</v>
      </c>
      <c r="E1056" s="2">
        <v>22</v>
      </c>
      <c r="F1056" s="2">
        <v>430.7</v>
      </c>
    </row>
    <row r="1057" spans="3:6" x14ac:dyDescent="0.25">
      <c r="C1057" s="2" t="s">
        <v>11683</v>
      </c>
      <c r="D1057" s="2" t="s">
        <v>82</v>
      </c>
      <c r="E1057" s="2">
        <v>102</v>
      </c>
      <c r="F1057" s="2">
        <v>2055.45</v>
      </c>
    </row>
    <row r="1058" spans="3:6" x14ac:dyDescent="0.25">
      <c r="C1058" s="2" t="s">
        <v>11684</v>
      </c>
      <c r="D1058" s="2" t="s">
        <v>82</v>
      </c>
      <c r="E1058" s="2">
        <v>102</v>
      </c>
      <c r="F1058" s="2">
        <v>2090.36</v>
      </c>
    </row>
    <row r="1059" spans="3:6" x14ac:dyDescent="0.25">
      <c r="C1059" s="2" t="s">
        <v>11685</v>
      </c>
      <c r="D1059" s="2" t="s">
        <v>82</v>
      </c>
      <c r="E1059" s="2">
        <v>102</v>
      </c>
      <c r="F1059" s="2">
        <v>2084.11</v>
      </c>
    </row>
    <row r="1060" spans="3:6" x14ac:dyDescent="0.25">
      <c r="C1060" s="2" t="s">
        <v>11686</v>
      </c>
      <c r="D1060" s="2" t="s">
        <v>82</v>
      </c>
      <c r="E1060" s="2">
        <v>38</v>
      </c>
      <c r="F1060" s="2">
        <v>778.2</v>
      </c>
    </row>
    <row r="1061" spans="3:6" x14ac:dyDescent="0.25">
      <c r="C1061" s="2" t="s">
        <v>11687</v>
      </c>
      <c r="D1061" s="2" t="s">
        <v>82</v>
      </c>
      <c r="E1061" s="2">
        <v>28</v>
      </c>
      <c r="F1061" s="2">
        <v>575.06</v>
      </c>
    </row>
    <row r="1062" spans="3:6" x14ac:dyDescent="0.25">
      <c r="C1062" s="2" t="s">
        <v>11688</v>
      </c>
      <c r="D1062" s="2" t="s">
        <v>82</v>
      </c>
      <c r="E1062" s="2">
        <v>36</v>
      </c>
      <c r="F1062" s="2">
        <v>731.39</v>
      </c>
    </row>
    <row r="1063" spans="3:6" x14ac:dyDescent="0.25">
      <c r="C1063" s="2" t="s">
        <v>11689</v>
      </c>
      <c r="D1063" s="2" t="s">
        <v>82</v>
      </c>
      <c r="E1063" s="2">
        <v>110</v>
      </c>
      <c r="F1063" s="2">
        <v>975.35</v>
      </c>
    </row>
    <row r="1065" spans="1:7" x14ac:dyDescent="0.25">
      <c r="A1065" s="1">
        <v>46123</v>
      </c>
      <c r="B1065" s="2" t="s">
        <v>495</v>
      </c>
      <c r="C1065" s="2" t="s">
        <v>11690</v>
      </c>
      <c r="D1065" s="2" t="s">
        <v>178</v>
      </c>
      <c r="E1065" s="2">
        <v>64</v>
      </c>
      <c r="F1065" s="2">
        <v>1351.79</v>
      </c>
      <c r="G1065" s="1">
        <v>46123</v>
      </c>
    </row>
    <row r="1066" spans="3:6" x14ac:dyDescent="0.25">
      <c r="C1066" s="2" t="s">
        <v>11691</v>
      </c>
      <c r="D1066" s="2" t="s">
        <v>178</v>
      </c>
      <c r="E1066" s="2">
        <v>98</v>
      </c>
      <c r="F1066" s="2">
        <v>1880.32</v>
      </c>
    </row>
    <row r="1067" spans="3:6" x14ac:dyDescent="0.25">
      <c r="C1067" s="2" t="s">
        <v>11692</v>
      </c>
      <c r="D1067" s="2" t="s">
        <v>178</v>
      </c>
      <c r="E1067" s="2">
        <v>95</v>
      </c>
      <c r="F1067" s="2">
        <v>1972.41</v>
      </c>
    </row>
    <row r="1068" spans="3:6" x14ac:dyDescent="0.25">
      <c r="C1068" s="2" t="s">
        <v>11693</v>
      </c>
      <c r="D1068" s="2" t="s">
        <v>178</v>
      </c>
      <c r="E1068" s="2">
        <v>246</v>
      </c>
      <c r="F1068" s="2">
        <v>5079.959</v>
      </c>
    </row>
    <row r="1069" spans="3:6" x14ac:dyDescent="0.25">
      <c r="C1069" s="2" t="s">
        <v>11694</v>
      </c>
      <c r="D1069" s="2" t="s">
        <v>178</v>
      </c>
      <c r="E1069" s="2">
        <v>282</v>
      </c>
      <c r="F1069" s="2">
        <v>5599.18</v>
      </c>
    </row>
    <row r="1070" spans="3:6" x14ac:dyDescent="0.25">
      <c r="C1070" s="2" t="s">
        <v>11695</v>
      </c>
      <c r="D1070" s="2" t="s">
        <v>178</v>
      </c>
      <c r="E1070" s="2">
        <v>92</v>
      </c>
      <c r="F1070" s="2">
        <v>1779.75</v>
      </c>
    </row>
    <row r="1071" spans="3:6" x14ac:dyDescent="0.25">
      <c r="C1071" s="2" t="s">
        <v>11696</v>
      </c>
      <c r="D1071" s="2" t="s">
        <v>178</v>
      </c>
      <c r="E1071" s="2">
        <v>31</v>
      </c>
      <c r="F1071" s="2">
        <v>568.56</v>
      </c>
    </row>
    <row r="1072" spans="3:6" x14ac:dyDescent="0.25">
      <c r="C1072" s="2" t="s">
        <v>11604</v>
      </c>
      <c r="D1072" s="2" t="s">
        <v>178</v>
      </c>
      <c r="E1072" s="2" t="s">
        <v>4167</v>
      </c>
      <c r="F1072" s="2" t="s">
        <v>4167</v>
      </c>
    </row>
    <row r="1073" spans="3:6" x14ac:dyDescent="0.25">
      <c r="C1073" s="2" t="s">
        <v>11697</v>
      </c>
      <c r="D1073" s="2" t="s">
        <v>178</v>
      </c>
      <c r="E1073" s="2">
        <v>39</v>
      </c>
      <c r="F1073" s="2">
        <v>788.53</v>
      </c>
    </row>
    <row r="1074" spans="3:6" x14ac:dyDescent="0.25">
      <c r="C1074" s="2" t="s">
        <v>11698</v>
      </c>
      <c r="D1074" s="2" t="s">
        <v>178</v>
      </c>
      <c r="E1074" s="2">
        <v>105</v>
      </c>
      <c r="F1074" s="2">
        <v>448.49</v>
      </c>
    </row>
    <row r="1075" spans="3:6" x14ac:dyDescent="0.25">
      <c r="C1075" s="2" t="s">
        <v>11699</v>
      </c>
      <c r="D1075" s="2" t="s">
        <v>178</v>
      </c>
      <c r="E1075" s="2">
        <v>150</v>
      </c>
      <c r="F1075" s="2">
        <v>615.52</v>
      </c>
    </row>
    <row r="1076" spans="3:6" x14ac:dyDescent="0.25">
      <c r="C1076" s="2" t="s">
        <v>11700</v>
      </c>
      <c r="D1076" s="2" t="s">
        <v>178</v>
      </c>
      <c r="E1076" s="2">
        <v>282</v>
      </c>
      <c r="F1076" s="2">
        <v>5917.269</v>
      </c>
    </row>
    <row r="1077" spans="3:6" x14ac:dyDescent="0.25">
      <c r="C1077" s="2" t="s">
        <v>11701</v>
      </c>
      <c r="D1077" s="2" t="s">
        <v>178</v>
      </c>
      <c r="E1077" s="2">
        <v>141</v>
      </c>
      <c r="F1077" s="2">
        <v>3026.71</v>
      </c>
    </row>
    <row r="1078" spans="3:6" x14ac:dyDescent="0.25">
      <c r="C1078" s="2" t="s">
        <v>11702</v>
      </c>
      <c r="D1078" s="2" t="s">
        <v>178</v>
      </c>
      <c r="E1078" s="2">
        <v>282</v>
      </c>
      <c r="F1078" s="2">
        <v>5794.527</v>
      </c>
    </row>
    <row r="1079" spans="3:6" x14ac:dyDescent="0.25">
      <c r="C1079" s="2" t="s">
        <v>11703</v>
      </c>
      <c r="D1079" s="2" t="s">
        <v>178</v>
      </c>
      <c r="E1079" s="2">
        <v>243</v>
      </c>
      <c r="F1079" s="2">
        <v>5001.96</v>
      </c>
    </row>
    <row r="1080" spans="3:6" x14ac:dyDescent="0.25">
      <c r="C1080" s="2" t="s">
        <v>11704</v>
      </c>
      <c r="D1080" s="2" t="s">
        <v>178</v>
      </c>
      <c r="E1080" s="2">
        <v>133</v>
      </c>
      <c r="F1080" s="2">
        <v>2737.84</v>
      </c>
    </row>
    <row r="1081" spans="3:6" x14ac:dyDescent="0.25">
      <c r="C1081" s="2" t="s">
        <v>11705</v>
      </c>
      <c r="D1081" s="2" t="s">
        <v>178</v>
      </c>
      <c r="E1081" s="2">
        <v>71</v>
      </c>
      <c r="F1081" s="2">
        <v>1421.51</v>
      </c>
    </row>
    <row r="1082" spans="3:6" x14ac:dyDescent="0.25">
      <c r="C1082" s="2" t="s">
        <v>11706</v>
      </c>
      <c r="D1082" s="2" t="s">
        <v>178</v>
      </c>
      <c r="E1082" s="2">
        <v>102</v>
      </c>
      <c r="F1082" s="2">
        <v>2205.53</v>
      </c>
    </row>
    <row r="1083" spans="3:6" x14ac:dyDescent="0.25">
      <c r="C1083" s="2" t="s">
        <v>11707</v>
      </c>
      <c r="D1083" s="2" t="s">
        <v>178</v>
      </c>
      <c r="E1083" s="2">
        <v>199</v>
      </c>
      <c r="F1083" s="2">
        <v>3676.498</v>
      </c>
    </row>
    <row r="1084" spans="3:6" x14ac:dyDescent="0.25">
      <c r="C1084" s="2" t="s">
        <v>11708</v>
      </c>
      <c r="D1084" s="2" t="s">
        <v>178</v>
      </c>
      <c r="E1084" s="2">
        <v>83</v>
      </c>
      <c r="F1084" s="2">
        <v>1652.74</v>
      </c>
    </row>
    <row r="1085" spans="3:6" x14ac:dyDescent="0.25">
      <c r="C1085" s="2" t="s">
        <v>11709</v>
      </c>
      <c r="D1085" s="2" t="s">
        <v>178</v>
      </c>
      <c r="E1085" s="2">
        <v>141</v>
      </c>
      <c r="F1085" s="2">
        <v>2970.78</v>
      </c>
    </row>
    <row r="1086" spans="3:6" x14ac:dyDescent="0.25">
      <c r="C1086" s="2" t="s">
        <v>11710</v>
      </c>
      <c r="D1086" s="2" t="s">
        <v>178</v>
      </c>
      <c r="E1086" s="2">
        <v>48</v>
      </c>
      <c r="F1086" s="2">
        <v>1023.69</v>
      </c>
    </row>
    <row r="1087" spans="3:6" x14ac:dyDescent="0.25">
      <c r="C1087" s="2" t="s">
        <v>11711</v>
      </c>
      <c r="D1087" s="2" t="s">
        <v>178</v>
      </c>
      <c r="E1087" s="2">
        <v>54</v>
      </c>
      <c r="F1087" s="2">
        <v>1097.93</v>
      </c>
    </row>
    <row r="1088" spans="3:6" x14ac:dyDescent="0.25">
      <c r="C1088" s="2" t="s">
        <v>11712</v>
      </c>
      <c r="D1088" s="2" t="s">
        <v>178</v>
      </c>
      <c r="E1088" s="2">
        <v>106</v>
      </c>
      <c r="F1088" s="2">
        <v>2251.26</v>
      </c>
    </row>
    <row r="1089" spans="3:6" x14ac:dyDescent="0.25">
      <c r="C1089" s="2" t="s">
        <v>11713</v>
      </c>
      <c r="D1089" s="2" t="s">
        <v>178</v>
      </c>
      <c r="E1089" s="2">
        <v>36</v>
      </c>
      <c r="F1089" s="2">
        <v>755.13</v>
      </c>
    </row>
    <row r="1090" spans="3:6" x14ac:dyDescent="0.25">
      <c r="C1090" s="2" t="s">
        <v>11618</v>
      </c>
      <c r="D1090" s="2" t="s">
        <v>178</v>
      </c>
      <c r="E1090" s="2" t="s">
        <v>4167</v>
      </c>
      <c r="F1090" s="2" t="s">
        <v>4167</v>
      </c>
    </row>
    <row r="1091" spans="3:6" x14ac:dyDescent="0.25">
      <c r="C1091" s="2" t="s">
        <v>11619</v>
      </c>
      <c r="D1091" s="2" t="s">
        <v>178</v>
      </c>
      <c r="E1091" s="2" t="s">
        <v>4167</v>
      </c>
      <c r="F1091" s="2" t="s">
        <v>4167</v>
      </c>
    </row>
    <row r="1092" spans="3:6" x14ac:dyDescent="0.25">
      <c r="C1092" s="2" t="s">
        <v>11714</v>
      </c>
      <c r="D1092" s="2" t="s">
        <v>178</v>
      </c>
      <c r="E1092" s="2">
        <v>100</v>
      </c>
      <c r="F1092" s="2">
        <v>1777.27</v>
      </c>
    </row>
    <row r="1093" spans="3:6" x14ac:dyDescent="0.25">
      <c r="C1093" s="2" t="s">
        <v>11715</v>
      </c>
      <c r="D1093" s="2" t="s">
        <v>178</v>
      </c>
      <c r="E1093" s="2">
        <v>100</v>
      </c>
      <c r="F1093" s="2">
        <v>1946.32</v>
      </c>
    </row>
    <row r="1094" spans="3:6" x14ac:dyDescent="0.25">
      <c r="C1094" s="2" t="s">
        <v>11716</v>
      </c>
      <c r="D1094" s="2" t="s">
        <v>178</v>
      </c>
      <c r="E1094" s="2">
        <v>82</v>
      </c>
      <c r="F1094" s="2">
        <v>1713.52</v>
      </c>
    </row>
    <row r="1095" spans="3:6" x14ac:dyDescent="0.25">
      <c r="C1095" s="2" t="s">
        <v>11717</v>
      </c>
      <c r="D1095" s="2" t="s">
        <v>178</v>
      </c>
      <c r="E1095" s="2">
        <v>141</v>
      </c>
      <c r="F1095" s="2">
        <v>2766.309</v>
      </c>
    </row>
    <row r="1096" spans="3:6" x14ac:dyDescent="0.25">
      <c r="C1096" s="2" t="s">
        <v>11718</v>
      </c>
      <c r="D1096" s="2" t="s">
        <v>178</v>
      </c>
      <c r="E1096" s="2">
        <v>110</v>
      </c>
      <c r="F1096" s="2">
        <v>2368.41</v>
      </c>
    </row>
    <row r="1097" spans="3:6" x14ac:dyDescent="0.25">
      <c r="C1097" s="2" t="s">
        <v>11719</v>
      </c>
      <c r="D1097" s="2" t="s">
        <v>178</v>
      </c>
      <c r="E1097" s="2">
        <v>31</v>
      </c>
      <c r="F1097" s="2">
        <v>625.12</v>
      </c>
    </row>
    <row r="1098" spans="3:6" x14ac:dyDescent="0.25">
      <c r="C1098" s="2" t="s">
        <v>11720</v>
      </c>
      <c r="D1098" s="2" t="s">
        <v>178</v>
      </c>
      <c r="E1098" s="2">
        <v>102</v>
      </c>
      <c r="F1098" s="2">
        <v>2046.36</v>
      </c>
    </row>
    <row r="1099" spans="3:6" x14ac:dyDescent="0.25">
      <c r="C1099" s="2" t="s">
        <v>11721</v>
      </c>
      <c r="D1099" s="2" t="s">
        <v>178</v>
      </c>
      <c r="E1099" s="2">
        <v>31</v>
      </c>
      <c r="F1099" s="2">
        <v>638</v>
      </c>
    </row>
    <row r="1100" spans="3:6" x14ac:dyDescent="0.25">
      <c r="C1100" s="2" t="s">
        <v>11722</v>
      </c>
      <c r="D1100" s="2" t="s">
        <v>178</v>
      </c>
      <c r="E1100" s="2">
        <v>71</v>
      </c>
      <c r="F1100" s="2">
        <v>1412.69</v>
      </c>
    </row>
    <row r="1102" spans="1:7" x14ac:dyDescent="0.25">
      <c r="A1102" s="1">
        <v>46123</v>
      </c>
      <c r="B1102" s="2" t="s">
        <v>7</v>
      </c>
      <c r="C1102" s="2" t="s">
        <v>11723</v>
      </c>
      <c r="D1102" s="2" t="s">
        <v>9</v>
      </c>
      <c r="E1102" s="2">
        <v>92</v>
      </c>
      <c r="F1102" s="2">
        <v>1941.53</v>
      </c>
      <c r="G1102" s="1">
        <v>46122</v>
      </c>
    </row>
    <row r="1103" spans="3:6" x14ac:dyDescent="0.25">
      <c r="C1103" s="2" t="s">
        <v>11724</v>
      </c>
      <c r="D1103" s="2" t="s">
        <v>9</v>
      </c>
      <c r="E1103" s="2">
        <v>90</v>
      </c>
      <c r="F1103" s="2">
        <v>1859.78</v>
      </c>
    </row>
    <row r="1105" spans="1:7" x14ac:dyDescent="0.25">
      <c r="A1105" s="1">
        <v>46123</v>
      </c>
      <c r="B1105" s="2" t="s">
        <v>2368</v>
      </c>
      <c r="C1105" s="2" t="s">
        <v>11725</v>
      </c>
      <c r="D1105" s="2" t="s">
        <v>292</v>
      </c>
      <c r="E1105" s="2">
        <v>77</v>
      </c>
      <c r="F1105" s="2">
        <v>1668.81</v>
      </c>
      <c r="G1105" s="1">
        <v>46124</v>
      </c>
    </row>
    <row r="1107" spans="1:7" x14ac:dyDescent="0.25">
      <c r="A1107" s="1">
        <v>46123</v>
      </c>
      <c r="B1107" s="2" t="s">
        <v>68</v>
      </c>
      <c r="C1107" s="2" t="s">
        <v>11726</v>
      </c>
      <c r="D1107" s="2" t="s">
        <v>70</v>
      </c>
      <c r="E1107" s="2">
        <v>133</v>
      </c>
      <c r="F1107" s="2">
        <v>2428.07</v>
      </c>
      <c r="G1107" s="1">
        <v>46122</v>
      </c>
    </row>
    <row r="1109" spans="1:7" x14ac:dyDescent="0.25">
      <c r="A1109" s="1">
        <v>46124</v>
      </c>
      <c r="B1109" s="2" t="s">
        <v>8989</v>
      </c>
      <c r="C1109" s="2" t="s">
        <v>11727</v>
      </c>
      <c r="D1109" s="2" t="s">
        <v>4096</v>
      </c>
      <c r="E1109" s="2">
        <v>100</v>
      </c>
      <c r="F1109" s="2">
        <v>2024.96</v>
      </c>
      <c r="G1109" s="1">
        <v>46124</v>
      </c>
    </row>
    <row r="1110" spans="3:6" x14ac:dyDescent="0.25">
      <c r="C1110" s="2" t="s">
        <v>11728</v>
      </c>
      <c r="D1110" s="2" t="s">
        <v>4096</v>
      </c>
      <c r="E1110" s="2">
        <v>41</v>
      </c>
      <c r="F1110" s="2">
        <v>785.64</v>
      </c>
    </row>
    <row r="1111" spans="3:6" x14ac:dyDescent="0.25">
      <c r="C1111" s="2" t="s">
        <v>11729</v>
      </c>
      <c r="D1111" s="2" t="s">
        <v>4096</v>
      </c>
      <c r="E1111" s="2">
        <v>97</v>
      </c>
      <c r="F1111" s="2">
        <v>1777.7</v>
      </c>
    </row>
    <row r="1112" spans="3:6" x14ac:dyDescent="0.25">
      <c r="C1112" s="2" t="s">
        <v>11730</v>
      </c>
      <c r="D1112" s="2" t="s">
        <v>4096</v>
      </c>
      <c r="E1112" s="2">
        <v>44</v>
      </c>
      <c r="F1112" s="2">
        <v>898.44</v>
      </c>
    </row>
    <row r="1113" spans="3:6" x14ac:dyDescent="0.25">
      <c r="C1113" s="2" t="s">
        <v>11731</v>
      </c>
      <c r="D1113" s="2" t="s">
        <v>4096</v>
      </c>
      <c r="E1113" s="2">
        <v>23</v>
      </c>
      <c r="F1113" s="2">
        <v>475.71</v>
      </c>
    </row>
    <row r="1114" spans="3:6" x14ac:dyDescent="0.25">
      <c r="C1114" s="2" t="s">
        <v>11732</v>
      </c>
      <c r="D1114" s="2" t="s">
        <v>4096</v>
      </c>
      <c r="E1114" s="2">
        <v>18</v>
      </c>
      <c r="F1114" s="2">
        <v>392.32</v>
      </c>
    </row>
    <row r="1115" spans="3:6" x14ac:dyDescent="0.25">
      <c r="C1115" s="2" t="s">
        <v>11733</v>
      </c>
      <c r="D1115" s="2" t="s">
        <v>4096</v>
      </c>
      <c r="E1115" s="2">
        <v>36</v>
      </c>
      <c r="F1115" s="2">
        <v>674.69</v>
      </c>
    </row>
    <row r="1116" spans="3:6" x14ac:dyDescent="0.25">
      <c r="C1116" s="2" t="s">
        <v>11734</v>
      </c>
      <c r="D1116" s="2" t="s">
        <v>4096</v>
      </c>
      <c r="E1116" s="2">
        <v>31</v>
      </c>
      <c r="F1116" s="2">
        <v>633.04</v>
      </c>
    </row>
    <row r="1117" spans="3:6" x14ac:dyDescent="0.25">
      <c r="C1117" s="2" t="s">
        <v>11735</v>
      </c>
      <c r="D1117" s="2" t="s">
        <v>4096</v>
      </c>
      <c r="E1117" s="2">
        <v>33</v>
      </c>
      <c r="F1117" s="2">
        <v>659.53</v>
      </c>
    </row>
    <row r="1118" spans="3:6" x14ac:dyDescent="0.25">
      <c r="C1118" s="2" t="s">
        <v>11736</v>
      </c>
      <c r="D1118" s="2" t="s">
        <v>4096</v>
      </c>
      <c r="E1118" s="2">
        <v>45</v>
      </c>
      <c r="F1118" s="2">
        <v>880.83</v>
      </c>
    </row>
    <row r="1119" spans="3:6" x14ac:dyDescent="0.25">
      <c r="C1119" s="2" t="s">
        <v>11737</v>
      </c>
      <c r="D1119" s="2" t="s">
        <v>4096</v>
      </c>
      <c r="E1119" s="2">
        <v>96</v>
      </c>
      <c r="F1119" s="2">
        <v>1958.98</v>
      </c>
    </row>
    <row r="1120" spans="3:6" x14ac:dyDescent="0.25">
      <c r="C1120" s="2" t="s">
        <v>11738</v>
      </c>
      <c r="D1120" s="2" t="s">
        <v>4096</v>
      </c>
      <c r="E1120" s="2">
        <v>70</v>
      </c>
      <c r="F1120" s="2">
        <v>1318.298</v>
      </c>
    </row>
    <row r="1121" spans="3:6" x14ac:dyDescent="0.25">
      <c r="C1121" s="2" t="s">
        <v>11739</v>
      </c>
      <c r="D1121" s="2" t="s">
        <v>4096</v>
      </c>
      <c r="E1121" s="2">
        <v>48</v>
      </c>
      <c r="F1121" s="2">
        <v>873.74</v>
      </c>
    </row>
    <row r="1122" spans="3:6" x14ac:dyDescent="0.25">
      <c r="C1122" s="2" t="s">
        <v>11740</v>
      </c>
      <c r="D1122" s="2" t="s">
        <v>4096</v>
      </c>
      <c r="E1122" s="2">
        <v>23</v>
      </c>
      <c r="F1122" s="2">
        <v>405.97</v>
      </c>
    </row>
    <row r="1123" spans="3:6" x14ac:dyDescent="0.25">
      <c r="C1123" s="2" t="s">
        <v>11741</v>
      </c>
      <c r="D1123" s="2" t="s">
        <v>4096</v>
      </c>
      <c r="E1123" s="2">
        <v>18</v>
      </c>
      <c r="F1123" s="2">
        <v>348.67</v>
      </c>
    </row>
    <row r="1124" spans="3:6" x14ac:dyDescent="0.25">
      <c r="C1124" s="2" t="s">
        <v>11742</v>
      </c>
      <c r="D1124" s="2" t="s">
        <v>4096</v>
      </c>
      <c r="E1124" s="2">
        <v>52</v>
      </c>
      <c r="F1124" s="2">
        <v>1055.85</v>
      </c>
    </row>
    <row r="1125" spans="3:6" x14ac:dyDescent="0.25">
      <c r="C1125" s="2" t="s">
        <v>11743</v>
      </c>
      <c r="D1125" s="2" t="s">
        <v>4096</v>
      </c>
      <c r="E1125" s="2">
        <v>71</v>
      </c>
      <c r="F1125" s="2">
        <v>1462.94</v>
      </c>
    </row>
    <row r="1126" spans="3:6" x14ac:dyDescent="0.25">
      <c r="C1126" s="2" t="s">
        <v>11744</v>
      </c>
      <c r="D1126" s="2" t="s">
        <v>4096</v>
      </c>
      <c r="E1126" s="2">
        <v>34</v>
      </c>
      <c r="F1126" s="2">
        <v>634.1</v>
      </c>
    </row>
    <row r="1127" spans="3:6" x14ac:dyDescent="0.25">
      <c r="C1127" s="2" t="s">
        <v>11745</v>
      </c>
      <c r="D1127" s="2" t="s">
        <v>4096</v>
      </c>
      <c r="E1127" s="2">
        <v>66</v>
      </c>
      <c r="F1127" s="2">
        <v>1284.68</v>
      </c>
    </row>
    <row r="1128" spans="3:6" x14ac:dyDescent="0.25">
      <c r="C1128" s="2" t="s">
        <v>11746</v>
      </c>
      <c r="D1128" s="2" t="s">
        <v>4096</v>
      </c>
      <c r="E1128" s="2">
        <v>21</v>
      </c>
      <c r="F1128" s="2">
        <v>734.53</v>
      </c>
    </row>
    <row r="1130" spans="1:7" x14ac:dyDescent="0.25">
      <c r="A1130" s="1">
        <v>46124</v>
      </c>
      <c r="B1130" s="2" t="s">
        <v>80</v>
      </c>
      <c r="C1130" s="2" t="s">
        <v>11747</v>
      </c>
      <c r="D1130" s="2" t="s">
        <v>82</v>
      </c>
      <c r="E1130" s="2">
        <v>141</v>
      </c>
      <c r="F1130" s="2">
        <v>2923.5</v>
      </c>
      <c r="G1130" s="1">
        <v>46124</v>
      </c>
    </row>
    <row r="1131" spans="3:6" x14ac:dyDescent="0.25">
      <c r="C1131" s="2" t="s">
        <v>11748</v>
      </c>
      <c r="D1131" s="2" t="s">
        <v>82</v>
      </c>
      <c r="E1131" s="2">
        <v>141</v>
      </c>
      <c r="F1131" s="2">
        <v>2860.619</v>
      </c>
    </row>
    <row r="1132" spans="3:6" x14ac:dyDescent="0.25">
      <c r="C1132" s="2" t="s">
        <v>11749</v>
      </c>
      <c r="D1132" s="2" t="s">
        <v>82</v>
      </c>
      <c r="E1132" s="2">
        <v>100</v>
      </c>
      <c r="F1132" s="2">
        <v>2116.42</v>
      </c>
    </row>
    <row r="1133" spans="3:6" x14ac:dyDescent="0.25">
      <c r="C1133" s="2" t="s">
        <v>11750</v>
      </c>
      <c r="D1133" s="2" t="s">
        <v>82</v>
      </c>
      <c r="E1133" s="2">
        <v>60</v>
      </c>
      <c r="F1133" s="2">
        <v>1238.25</v>
      </c>
    </row>
    <row r="1134" spans="3:6" x14ac:dyDescent="0.25">
      <c r="C1134" s="2" t="s">
        <v>11751</v>
      </c>
      <c r="D1134" s="2" t="s">
        <v>82</v>
      </c>
      <c r="E1134" s="2">
        <v>40</v>
      </c>
      <c r="F1134" s="2">
        <v>820.71</v>
      </c>
    </row>
    <row r="1135" spans="3:6" x14ac:dyDescent="0.25">
      <c r="C1135" s="2" t="s">
        <v>11752</v>
      </c>
      <c r="D1135" s="2" t="s">
        <v>82</v>
      </c>
      <c r="E1135" s="2">
        <v>50</v>
      </c>
      <c r="F1135" s="2">
        <v>1048.94</v>
      </c>
    </row>
    <row r="1136" spans="3:6" x14ac:dyDescent="0.25">
      <c r="C1136" s="2" t="s">
        <v>11753</v>
      </c>
      <c r="D1136" s="2" t="s">
        <v>82</v>
      </c>
      <c r="E1136" s="2">
        <v>50</v>
      </c>
      <c r="F1136" s="2">
        <v>1097.54</v>
      </c>
    </row>
    <row r="1137" spans="3:6" x14ac:dyDescent="0.25">
      <c r="C1137" s="2" t="s">
        <v>11754</v>
      </c>
      <c r="D1137" s="2" t="s">
        <v>82</v>
      </c>
      <c r="E1137" s="2">
        <v>75</v>
      </c>
      <c r="F1137" s="2">
        <v>1475.92</v>
      </c>
    </row>
    <row r="1138" spans="3:6" x14ac:dyDescent="0.25">
      <c r="C1138" s="2" t="s">
        <v>11755</v>
      </c>
      <c r="D1138" s="2" t="s">
        <v>82</v>
      </c>
      <c r="E1138" s="2">
        <v>42</v>
      </c>
      <c r="F1138" s="2">
        <v>862.58</v>
      </c>
    </row>
    <row r="1139" spans="3:6" x14ac:dyDescent="0.25">
      <c r="C1139" s="2" t="s">
        <v>11756</v>
      </c>
      <c r="D1139" s="2" t="s">
        <v>82</v>
      </c>
      <c r="E1139" s="2">
        <v>43</v>
      </c>
      <c r="F1139" s="2">
        <v>899.46</v>
      </c>
    </row>
    <row r="1140" spans="3:6" x14ac:dyDescent="0.25">
      <c r="C1140" s="2" t="s">
        <v>11757</v>
      </c>
      <c r="D1140" s="2" t="s">
        <v>82</v>
      </c>
      <c r="E1140" s="2">
        <v>36</v>
      </c>
      <c r="F1140" s="2">
        <v>754.86</v>
      </c>
    </row>
    <row r="1141" spans="3:6" x14ac:dyDescent="0.25">
      <c r="C1141" s="2" t="s">
        <v>11758</v>
      </c>
      <c r="D1141" s="2" t="s">
        <v>82</v>
      </c>
      <c r="E1141" s="2">
        <v>200</v>
      </c>
      <c r="F1141" s="2">
        <v>2347.28</v>
      </c>
    </row>
    <row r="1142" spans="3:6" x14ac:dyDescent="0.25">
      <c r="C1142" s="2" t="s">
        <v>11759</v>
      </c>
      <c r="D1142" s="2" t="s">
        <v>82</v>
      </c>
      <c r="E1142" s="2">
        <v>200</v>
      </c>
      <c r="F1142" s="2">
        <v>1260.984</v>
      </c>
    </row>
    <row r="1143" spans="3:6" x14ac:dyDescent="0.25">
      <c r="C1143" s="2" t="s">
        <v>11760</v>
      </c>
      <c r="D1143" s="2" t="s">
        <v>82</v>
      </c>
      <c r="E1143" s="2">
        <v>77</v>
      </c>
      <c r="F1143" s="2">
        <v>1640.37</v>
      </c>
    </row>
    <row r="1144" spans="3:6" x14ac:dyDescent="0.25">
      <c r="C1144" s="2" t="s">
        <v>11761</v>
      </c>
      <c r="D1144" s="2" t="s">
        <v>82</v>
      </c>
      <c r="E1144" s="2">
        <v>44</v>
      </c>
      <c r="F1144" s="2">
        <v>860.36</v>
      </c>
    </row>
    <row r="1145" spans="3:6" x14ac:dyDescent="0.25">
      <c r="C1145" s="2" t="s">
        <v>11762</v>
      </c>
      <c r="D1145" s="2" t="s">
        <v>82</v>
      </c>
      <c r="E1145" s="2">
        <v>86</v>
      </c>
      <c r="F1145" s="2">
        <v>1754.44</v>
      </c>
    </row>
    <row r="1146" spans="3:6" x14ac:dyDescent="0.25">
      <c r="C1146" s="2" t="s">
        <v>11763</v>
      </c>
      <c r="D1146" s="2" t="s">
        <v>82</v>
      </c>
      <c r="E1146" s="2">
        <v>35</v>
      </c>
      <c r="F1146" s="2">
        <v>696.87</v>
      </c>
    </row>
    <row r="1147" spans="3:6" x14ac:dyDescent="0.25">
      <c r="C1147" s="2" t="s">
        <v>11764</v>
      </c>
      <c r="D1147" s="2" t="s">
        <v>82</v>
      </c>
      <c r="E1147" s="2">
        <v>73</v>
      </c>
      <c r="F1147" s="2">
        <v>1434.36</v>
      </c>
    </row>
    <row r="1148" spans="3:6" x14ac:dyDescent="0.25">
      <c r="C1148" s="2" t="s">
        <v>11765</v>
      </c>
      <c r="D1148" s="2" t="s">
        <v>82</v>
      </c>
      <c r="E1148" s="2">
        <v>31</v>
      </c>
      <c r="F1148" s="2">
        <v>632.83</v>
      </c>
    </row>
    <row r="1149" spans="3:6" x14ac:dyDescent="0.25">
      <c r="C1149" s="2" t="s">
        <v>11766</v>
      </c>
      <c r="D1149" s="2" t="s">
        <v>82</v>
      </c>
      <c r="E1149" s="2">
        <v>17</v>
      </c>
      <c r="F1149" s="2">
        <v>329.94</v>
      </c>
    </row>
    <row r="1150" spans="3:6" x14ac:dyDescent="0.25">
      <c r="C1150" s="2" t="s">
        <v>11767</v>
      </c>
      <c r="D1150" s="2" t="s">
        <v>82</v>
      </c>
      <c r="E1150" s="2">
        <v>133</v>
      </c>
      <c r="F1150" s="2">
        <v>2753.84</v>
      </c>
    </row>
    <row r="1151" spans="3:6" x14ac:dyDescent="0.25">
      <c r="C1151" s="2" t="s">
        <v>11768</v>
      </c>
      <c r="D1151" s="2" t="s">
        <v>82</v>
      </c>
      <c r="E1151" s="2">
        <v>141</v>
      </c>
      <c r="F1151" s="2">
        <v>2995.69</v>
      </c>
    </row>
    <row r="1152" spans="3:6" x14ac:dyDescent="0.25">
      <c r="C1152" s="2" t="s">
        <v>11769</v>
      </c>
      <c r="D1152" s="2" t="s">
        <v>82</v>
      </c>
      <c r="E1152" s="2">
        <v>141</v>
      </c>
      <c r="F1152" s="2">
        <v>2881.4</v>
      </c>
    </row>
    <row r="1153" spans="3:6" x14ac:dyDescent="0.25">
      <c r="C1153" s="2" t="s">
        <v>11770</v>
      </c>
      <c r="D1153" s="2" t="s">
        <v>82</v>
      </c>
      <c r="E1153" s="2">
        <v>98</v>
      </c>
      <c r="F1153" s="2">
        <v>2096.34</v>
      </c>
    </row>
    <row r="1154" spans="3:6" x14ac:dyDescent="0.25">
      <c r="C1154" s="2" t="s">
        <v>11771</v>
      </c>
      <c r="D1154" s="2" t="s">
        <v>82</v>
      </c>
      <c r="E1154" s="2">
        <v>43</v>
      </c>
      <c r="F1154" s="2">
        <v>893.01</v>
      </c>
    </row>
    <row r="1155" spans="3:6" x14ac:dyDescent="0.25">
      <c r="C1155" s="2" t="s">
        <v>11772</v>
      </c>
      <c r="D1155" s="2" t="s">
        <v>82</v>
      </c>
      <c r="E1155" s="2">
        <v>41</v>
      </c>
      <c r="F1155" s="2">
        <v>846.49</v>
      </c>
    </row>
    <row r="1156" spans="3:6" x14ac:dyDescent="0.25">
      <c r="C1156" s="2" t="s">
        <v>11773</v>
      </c>
      <c r="D1156" s="2" t="s">
        <v>82</v>
      </c>
      <c r="E1156" s="2">
        <v>49</v>
      </c>
      <c r="F1156" s="2">
        <v>1061.21</v>
      </c>
    </row>
    <row r="1157" spans="3:6" x14ac:dyDescent="0.25">
      <c r="C1157" s="2" t="s">
        <v>11774</v>
      </c>
      <c r="D1157" s="2" t="s">
        <v>82</v>
      </c>
      <c r="E1157" s="2">
        <v>27</v>
      </c>
      <c r="F1157" s="2">
        <v>570.76</v>
      </c>
    </row>
    <row r="1158" spans="3:6" x14ac:dyDescent="0.25">
      <c r="C1158" s="2" t="s">
        <v>11775</v>
      </c>
      <c r="D1158" s="2" t="s">
        <v>82</v>
      </c>
      <c r="E1158" s="2">
        <v>24</v>
      </c>
      <c r="F1158" s="2">
        <v>505.91</v>
      </c>
    </row>
    <row r="1159" spans="3:6" x14ac:dyDescent="0.25">
      <c r="C1159" s="2" t="s">
        <v>11776</v>
      </c>
      <c r="D1159" s="2" t="s">
        <v>82</v>
      </c>
      <c r="E1159" s="2">
        <v>100</v>
      </c>
      <c r="F1159" s="2">
        <v>2013.129</v>
      </c>
    </row>
    <row r="1160" spans="3:6" x14ac:dyDescent="0.25">
      <c r="C1160" s="2" t="s">
        <v>11777</v>
      </c>
      <c r="D1160" s="2" t="s">
        <v>82</v>
      </c>
      <c r="E1160" s="2">
        <v>100</v>
      </c>
      <c r="F1160" s="2">
        <v>2004.4</v>
      </c>
    </row>
    <row r="1161" spans="3:6" x14ac:dyDescent="0.25">
      <c r="C1161" s="2" t="s">
        <v>11778</v>
      </c>
      <c r="D1161" s="2" t="s">
        <v>82</v>
      </c>
      <c r="E1161" s="2">
        <v>57</v>
      </c>
      <c r="F1161" s="2">
        <v>1128.18</v>
      </c>
    </row>
    <row r="1162" spans="3:6" x14ac:dyDescent="0.25">
      <c r="C1162" s="2" t="s">
        <v>11779</v>
      </c>
      <c r="D1162" s="2" t="s">
        <v>82</v>
      </c>
      <c r="E1162" s="2">
        <v>84</v>
      </c>
      <c r="F1162" s="2">
        <v>1727.47</v>
      </c>
    </row>
    <row r="1163" spans="3:6" x14ac:dyDescent="0.25">
      <c r="C1163" s="2" t="s">
        <v>11780</v>
      </c>
      <c r="D1163" s="2" t="s">
        <v>82</v>
      </c>
      <c r="E1163" s="2">
        <v>81</v>
      </c>
      <c r="F1163" s="2">
        <v>1565.619</v>
      </c>
    </row>
    <row r="1164" spans="3:6" x14ac:dyDescent="0.25">
      <c r="C1164" s="2" t="s">
        <v>11781</v>
      </c>
      <c r="D1164" s="2" t="s">
        <v>82</v>
      </c>
      <c r="E1164" s="2">
        <v>60</v>
      </c>
      <c r="F1164" s="2">
        <v>1261.33</v>
      </c>
    </row>
    <row r="1165" spans="3:6" x14ac:dyDescent="0.25">
      <c r="C1165" s="2" t="s">
        <v>11782</v>
      </c>
      <c r="D1165" s="2" t="s">
        <v>82</v>
      </c>
      <c r="E1165" s="2">
        <v>56</v>
      </c>
      <c r="F1165" s="2">
        <v>1154.67</v>
      </c>
    </row>
    <row r="1166" spans="3:6" x14ac:dyDescent="0.25">
      <c r="C1166" s="2" t="s">
        <v>11783</v>
      </c>
      <c r="D1166" s="2" t="s">
        <v>82</v>
      </c>
      <c r="E1166" s="2">
        <v>85</v>
      </c>
      <c r="F1166" s="2">
        <v>1796.47</v>
      </c>
    </row>
    <row r="1167" spans="3:6" x14ac:dyDescent="0.25">
      <c r="C1167" s="2" t="s">
        <v>11784</v>
      </c>
      <c r="D1167" s="2" t="s">
        <v>82</v>
      </c>
      <c r="E1167" s="2">
        <v>77</v>
      </c>
      <c r="F1167" s="2">
        <v>1474.62</v>
      </c>
    </row>
    <row r="1168" spans="3:6" x14ac:dyDescent="0.25">
      <c r="C1168" s="2" t="s">
        <v>11785</v>
      </c>
      <c r="D1168" s="2" t="s">
        <v>82</v>
      </c>
      <c r="E1168" s="2">
        <v>64</v>
      </c>
      <c r="F1168" s="2">
        <v>1197.738</v>
      </c>
    </row>
    <row r="1170" spans="1:7" x14ac:dyDescent="0.25">
      <c r="A1170" s="1">
        <v>46124</v>
      </c>
      <c r="B1170" s="2" t="s">
        <v>7</v>
      </c>
      <c r="C1170" s="2" t="s">
        <v>11786</v>
      </c>
      <c r="D1170" s="2" t="s">
        <v>9</v>
      </c>
      <c r="E1170" s="2">
        <v>77</v>
      </c>
      <c r="F1170" s="2">
        <v>1617.23</v>
      </c>
      <c r="G1170" s="1">
        <v>46123</v>
      </c>
    </row>
    <row r="1171" spans="3:6" x14ac:dyDescent="0.25">
      <c r="C1171" s="2" t="s">
        <v>11787</v>
      </c>
      <c r="D1171" s="2" t="s">
        <v>9</v>
      </c>
      <c r="E1171" s="2">
        <v>84</v>
      </c>
      <c r="F1171" s="2">
        <v>1690.24</v>
      </c>
    </row>
    <row r="1173" spans="1:7" x14ac:dyDescent="0.25">
      <c r="A1173" s="1">
        <v>46124</v>
      </c>
      <c r="B1173" s="2" t="s">
        <v>7683</v>
      </c>
      <c r="C1173" s="2" t="s">
        <v>11788</v>
      </c>
      <c r="D1173" s="2" t="s">
        <v>9</v>
      </c>
      <c r="E1173" s="2">
        <v>99</v>
      </c>
      <c r="F1173" s="2">
        <v>1718.591</v>
      </c>
      <c r="G1173" s="1">
        <v>46124</v>
      </c>
    </row>
    <row r="1174" spans="3:6" x14ac:dyDescent="0.25">
      <c r="C1174" s="2" t="s">
        <v>11789</v>
      </c>
      <c r="D1174" s="2" t="s">
        <v>9</v>
      </c>
      <c r="E1174" s="2">
        <v>156</v>
      </c>
      <c r="F1174" s="2">
        <v>3304.29</v>
      </c>
    </row>
    <row r="1175" spans="3:6" x14ac:dyDescent="0.25">
      <c r="C1175" s="2" t="s">
        <v>11790</v>
      </c>
      <c r="D1175" s="2" t="s">
        <v>9</v>
      </c>
      <c r="E1175" s="2">
        <v>120</v>
      </c>
      <c r="F1175" s="2">
        <v>2475.71</v>
      </c>
    </row>
    <row r="1177" spans="1:7" x14ac:dyDescent="0.25">
      <c r="A1177" s="1">
        <v>46124</v>
      </c>
      <c r="B1177" s="2" t="s">
        <v>4580</v>
      </c>
      <c r="C1177" s="2" t="s">
        <v>11791</v>
      </c>
      <c r="D1177" s="2" t="s">
        <v>292</v>
      </c>
      <c r="E1177" s="2">
        <v>153</v>
      </c>
      <c r="F1177" s="2">
        <v>3216.88</v>
      </c>
      <c r="G1177" s="1">
        <v>46122</v>
      </c>
    </row>
    <row r="1179" spans="1:7" x14ac:dyDescent="0.25">
      <c r="A1179" s="1">
        <v>46124</v>
      </c>
      <c r="B1179" s="2" t="s">
        <v>347</v>
      </c>
      <c r="C1179" s="2" t="s">
        <v>11299</v>
      </c>
      <c r="D1179" s="2" t="s">
        <v>59</v>
      </c>
      <c r="E1179" s="2">
        <v>83</v>
      </c>
      <c r="F1179" s="2">
        <v>1516.15</v>
      </c>
      <c r="G1179" s="1">
        <v>46123</v>
      </c>
    </row>
    <row r="1180" spans="3:6" x14ac:dyDescent="0.25">
      <c r="C1180" s="2" t="s">
        <v>11301</v>
      </c>
      <c r="D1180" s="2" t="s">
        <v>59</v>
      </c>
      <c r="E1180" s="2">
        <v>141</v>
      </c>
      <c r="F1180" s="2">
        <v>3107.901</v>
      </c>
    </row>
    <row r="1181" spans="3:6" x14ac:dyDescent="0.25">
      <c r="C1181" s="2" t="s">
        <v>11304</v>
      </c>
      <c r="D1181" s="2" t="s">
        <v>59</v>
      </c>
      <c r="E1181" s="2">
        <v>149</v>
      </c>
      <c r="F1181" s="2">
        <v>2717.67</v>
      </c>
    </row>
    <row r="1182" spans="3:6" x14ac:dyDescent="0.25">
      <c r="C1182" s="2" t="s">
        <v>11305</v>
      </c>
      <c r="D1182" s="2" t="s">
        <v>59</v>
      </c>
      <c r="E1182" s="2">
        <v>149</v>
      </c>
      <c r="F1182" s="2">
        <v>2744.339</v>
      </c>
    </row>
    <row r="1183" spans="3:6" x14ac:dyDescent="0.25">
      <c r="C1183" s="2" t="s">
        <v>11306</v>
      </c>
      <c r="D1183" s="2" t="s">
        <v>59</v>
      </c>
      <c r="E1183" s="2">
        <v>102</v>
      </c>
      <c r="F1183" s="2">
        <v>1927.47</v>
      </c>
    </row>
    <row r="1184" spans="3:6" x14ac:dyDescent="0.25">
      <c r="C1184" s="2" t="s">
        <v>11307</v>
      </c>
      <c r="D1184" s="2" t="s">
        <v>59</v>
      </c>
      <c r="E1184" s="2">
        <v>149</v>
      </c>
      <c r="F1184" s="2">
        <v>2704.688</v>
      </c>
    </row>
    <row r="1185" spans="3:6" x14ac:dyDescent="0.25">
      <c r="C1185" s="2" t="s">
        <v>11792</v>
      </c>
      <c r="D1185" s="2" t="s">
        <v>59</v>
      </c>
      <c r="E1185" s="2">
        <v>111</v>
      </c>
      <c r="F1185" s="2">
        <v>944.197</v>
      </c>
    </row>
    <row r="1186" spans="3:6" x14ac:dyDescent="0.25">
      <c r="C1186" s="2" t="s">
        <v>11793</v>
      </c>
      <c r="D1186" s="2" t="s">
        <v>59</v>
      </c>
      <c r="E1186" s="2">
        <v>142</v>
      </c>
      <c r="F1186" s="2">
        <v>2666.19</v>
      </c>
    </row>
    <row r="1187" spans="3:6" x14ac:dyDescent="0.25">
      <c r="C1187" s="2" t="s">
        <v>11794</v>
      </c>
      <c r="D1187" s="2" t="s">
        <v>59</v>
      </c>
      <c r="E1187" s="2">
        <v>67</v>
      </c>
      <c r="F1187" s="2">
        <v>1843.71</v>
      </c>
    </row>
    <row r="1188" spans="3:6" x14ac:dyDescent="0.25">
      <c r="C1188" s="2" t="s">
        <v>11795</v>
      </c>
      <c r="D1188" s="2" t="s">
        <v>59</v>
      </c>
      <c r="E1188" s="2">
        <v>81</v>
      </c>
      <c r="F1188" s="2">
        <v>1978.263</v>
      </c>
    </row>
    <row r="1189" spans="3:6" x14ac:dyDescent="0.25">
      <c r="C1189" s="2" t="s">
        <v>11796</v>
      </c>
      <c r="D1189" s="2" t="s">
        <v>59</v>
      </c>
      <c r="E1189" s="2">
        <v>90</v>
      </c>
      <c r="F1189" s="2">
        <v>1986.159</v>
      </c>
    </row>
    <row r="1190" spans="3:6" x14ac:dyDescent="0.25">
      <c r="C1190" s="2" t="s">
        <v>11797</v>
      </c>
      <c r="D1190" s="2" t="s">
        <v>59</v>
      </c>
      <c r="E1190" s="2">
        <v>142</v>
      </c>
      <c r="F1190" s="2">
        <v>2648.788</v>
      </c>
    </row>
    <row r="1192" spans="1:7" x14ac:dyDescent="0.25">
      <c r="A1192" s="1">
        <v>46125</v>
      </c>
      <c r="B1192" s="2" t="s">
        <v>7</v>
      </c>
      <c r="C1192" s="2" t="s">
        <v>11798</v>
      </c>
      <c r="D1192" s="2" t="s">
        <v>9</v>
      </c>
      <c r="E1192" s="2">
        <v>96</v>
      </c>
      <c r="F1192" s="2">
        <v>1694.703</v>
      </c>
      <c r="G1192" s="1">
        <v>46124</v>
      </c>
    </row>
    <row r="1193" spans="3:6" x14ac:dyDescent="0.25">
      <c r="C1193" s="2" t="s">
        <v>11799</v>
      </c>
      <c r="D1193" s="2" t="s">
        <v>9</v>
      </c>
      <c r="E1193" s="2">
        <v>96</v>
      </c>
      <c r="F1193" s="2">
        <v>1988.75</v>
      </c>
    </row>
    <row r="1195" spans="1:7" x14ac:dyDescent="0.25">
      <c r="A1195" s="1">
        <v>46125</v>
      </c>
      <c r="B1195" s="2" t="s">
        <v>176</v>
      </c>
      <c r="C1195" s="2" t="s">
        <v>11800</v>
      </c>
      <c r="D1195" s="2" t="s">
        <v>178</v>
      </c>
      <c r="E1195" s="2">
        <v>102</v>
      </c>
      <c r="F1195" s="2">
        <v>1959.198</v>
      </c>
      <c r="G1195" s="1">
        <v>46124</v>
      </c>
    </row>
    <row r="1196" spans="3:6" x14ac:dyDescent="0.25">
      <c r="C1196" s="2" t="s">
        <v>11801</v>
      </c>
      <c r="D1196" s="2" t="s">
        <v>178</v>
      </c>
      <c r="E1196" s="2">
        <v>102</v>
      </c>
      <c r="F1196" s="2">
        <v>1915.35</v>
      </c>
    </row>
    <row r="1197" spans="3:6" x14ac:dyDescent="0.25">
      <c r="C1197" s="2" t="s">
        <v>11802</v>
      </c>
      <c r="D1197" s="2" t="s">
        <v>178</v>
      </c>
      <c r="E1197" s="2">
        <v>246</v>
      </c>
      <c r="F1197" s="2">
        <v>5084.169</v>
      </c>
    </row>
    <row r="1198" spans="3:6" x14ac:dyDescent="0.25">
      <c r="C1198" s="2" t="s">
        <v>11803</v>
      </c>
      <c r="D1198" s="2" t="s">
        <v>178</v>
      </c>
      <c r="E1198" s="2">
        <v>257</v>
      </c>
      <c r="F1198" s="2">
        <v>5420.519</v>
      </c>
    </row>
    <row r="1199" spans="3:6" x14ac:dyDescent="0.25">
      <c r="C1199" s="2" t="s">
        <v>11804</v>
      </c>
      <c r="D1199" s="2" t="s">
        <v>178</v>
      </c>
      <c r="E1199" s="2">
        <v>102</v>
      </c>
      <c r="F1199" s="2">
        <v>1946.64</v>
      </c>
    </row>
    <row r="1200" spans="3:6" x14ac:dyDescent="0.25">
      <c r="C1200" s="2" t="s">
        <v>11805</v>
      </c>
      <c r="D1200" s="2" t="s">
        <v>178</v>
      </c>
      <c r="E1200" s="2">
        <v>102</v>
      </c>
      <c r="F1200" s="2">
        <v>2110.08</v>
      </c>
    </row>
    <row r="1201" spans="3:6" x14ac:dyDescent="0.25">
      <c r="C1201" s="2" t="s">
        <v>11806</v>
      </c>
      <c r="D1201" s="2" t="s">
        <v>178</v>
      </c>
      <c r="E1201" s="2">
        <v>102</v>
      </c>
      <c r="F1201" s="2">
        <v>1914.759</v>
      </c>
    </row>
    <row r="1202" spans="3:6" x14ac:dyDescent="0.25">
      <c r="C1202" s="2" t="s">
        <v>11807</v>
      </c>
      <c r="D1202" s="2" t="s">
        <v>178</v>
      </c>
      <c r="E1202" s="2">
        <v>123</v>
      </c>
      <c r="F1202" s="2">
        <v>2589.18</v>
      </c>
    </row>
    <row r="1203" spans="3:6" x14ac:dyDescent="0.25">
      <c r="C1203" s="2" t="s">
        <v>11808</v>
      </c>
      <c r="D1203" s="2" t="s">
        <v>178</v>
      </c>
      <c r="E1203" s="2">
        <v>74</v>
      </c>
      <c r="F1203" s="2">
        <v>1372.67</v>
      </c>
    </row>
    <row r="1204" spans="3:6" x14ac:dyDescent="0.25">
      <c r="C1204" s="2" t="s">
        <v>11809</v>
      </c>
      <c r="D1204" s="2" t="s">
        <v>178</v>
      </c>
      <c r="E1204" s="2">
        <v>28</v>
      </c>
      <c r="F1204" s="2">
        <v>520.359</v>
      </c>
    </row>
    <row r="1205" spans="3:6" x14ac:dyDescent="0.25">
      <c r="C1205" s="2" t="s">
        <v>11810</v>
      </c>
      <c r="D1205" s="2" t="s">
        <v>178</v>
      </c>
      <c r="E1205" s="2">
        <v>282</v>
      </c>
      <c r="F1205" s="2">
        <v>5703.04</v>
      </c>
    </row>
    <row r="1206" spans="3:4" x14ac:dyDescent="0.25">
      <c r="C1206" s="2" t="s">
        <v>11811</v>
      </c>
      <c r="D1206" s="2" t="s">
        <v>178</v>
      </c>
    </row>
    <row r="1207" spans="3:6" x14ac:dyDescent="0.25">
      <c r="C1207" s="2" t="s">
        <v>11812</v>
      </c>
      <c r="D1207" s="2" t="s">
        <v>178</v>
      </c>
      <c r="E1207" s="2">
        <v>71</v>
      </c>
      <c r="F1207" s="2">
        <v>303.855</v>
      </c>
    </row>
    <row r="1208" spans="3:6" x14ac:dyDescent="0.25">
      <c r="C1208" s="2" t="s">
        <v>11813</v>
      </c>
      <c r="D1208" s="2" t="s">
        <v>178</v>
      </c>
      <c r="E1208" s="2">
        <v>282</v>
      </c>
      <c r="F1208" s="2">
        <v>5776.19</v>
      </c>
    </row>
    <row r="1209" spans="3:6" x14ac:dyDescent="0.25">
      <c r="C1209" s="2" t="s">
        <v>11814</v>
      </c>
      <c r="D1209" s="2" t="s">
        <v>178</v>
      </c>
      <c r="E1209" s="2">
        <v>141</v>
      </c>
      <c r="F1209" s="2">
        <v>2830.61</v>
      </c>
    </row>
    <row r="1210" spans="3:6" x14ac:dyDescent="0.25">
      <c r="C1210" s="2" t="s">
        <v>11815</v>
      </c>
      <c r="D1210" s="2" t="s">
        <v>178</v>
      </c>
      <c r="E1210" s="2">
        <v>75</v>
      </c>
      <c r="F1210" s="2">
        <v>1565.78</v>
      </c>
    </row>
    <row r="1211" spans="3:6" x14ac:dyDescent="0.25">
      <c r="C1211" s="2" t="s">
        <v>11816</v>
      </c>
      <c r="D1211" s="2" t="s">
        <v>178</v>
      </c>
      <c r="E1211" s="2">
        <v>90</v>
      </c>
      <c r="F1211" s="2">
        <v>381.8</v>
      </c>
    </row>
    <row r="1212" spans="3:6" x14ac:dyDescent="0.25">
      <c r="C1212" s="2" t="s">
        <v>11817</v>
      </c>
      <c r="D1212" s="2" t="s">
        <v>178</v>
      </c>
      <c r="E1212" s="2">
        <v>282</v>
      </c>
      <c r="F1212" s="2">
        <v>5907.73</v>
      </c>
    </row>
    <row r="1213" spans="3:6" x14ac:dyDescent="0.25">
      <c r="C1213" s="2" t="s">
        <v>11818</v>
      </c>
      <c r="D1213" s="2" t="s">
        <v>178</v>
      </c>
      <c r="E1213" s="2">
        <v>141</v>
      </c>
      <c r="F1213" s="2">
        <v>3010.28</v>
      </c>
    </row>
    <row r="1214" spans="3:6" x14ac:dyDescent="0.25">
      <c r="C1214" s="2" t="s">
        <v>11819</v>
      </c>
      <c r="D1214" s="2" t="s">
        <v>178</v>
      </c>
      <c r="E1214" s="2">
        <v>75</v>
      </c>
      <c r="F1214" s="2">
        <v>304.94</v>
      </c>
    </row>
    <row r="1215" spans="3:6" x14ac:dyDescent="0.25">
      <c r="C1215" s="2" t="s">
        <v>11820</v>
      </c>
      <c r="D1215" s="2" t="s">
        <v>178</v>
      </c>
      <c r="E1215" s="2">
        <v>282</v>
      </c>
      <c r="F1215" s="2">
        <v>5757.418</v>
      </c>
    </row>
    <row r="1216" spans="3:6" x14ac:dyDescent="0.25">
      <c r="C1216" s="2" t="s">
        <v>11821</v>
      </c>
      <c r="D1216" s="2" t="s">
        <v>178</v>
      </c>
      <c r="E1216" s="2">
        <v>102</v>
      </c>
      <c r="F1216" s="2">
        <v>2100.63</v>
      </c>
    </row>
    <row r="1217" spans="3:6" x14ac:dyDescent="0.25">
      <c r="C1217" s="2" t="s">
        <v>11822</v>
      </c>
      <c r="D1217" s="2" t="s">
        <v>178</v>
      </c>
      <c r="E1217" s="2">
        <v>141</v>
      </c>
      <c r="F1217" s="2">
        <v>2615.529</v>
      </c>
    </row>
    <row r="1218" spans="3:6" x14ac:dyDescent="0.25">
      <c r="C1218" s="2" t="s">
        <v>11709</v>
      </c>
      <c r="D1218" s="2" t="s">
        <v>178</v>
      </c>
      <c r="E1218" s="2">
        <v>141</v>
      </c>
      <c r="F1218" s="2" t="s">
        <v>4167</v>
      </c>
    </row>
    <row r="1219" spans="3:6" x14ac:dyDescent="0.25">
      <c r="C1219" s="2" t="s">
        <v>11718</v>
      </c>
      <c r="D1219" s="2" t="s">
        <v>178</v>
      </c>
      <c r="E1219" s="2">
        <v>110</v>
      </c>
      <c r="F1219" s="2" t="s">
        <v>4167</v>
      </c>
    </row>
    <row r="1220" spans="3:6" x14ac:dyDescent="0.25">
      <c r="C1220" s="2" t="s">
        <v>11719</v>
      </c>
      <c r="D1220" s="2" t="s">
        <v>178</v>
      </c>
      <c r="E1220" s="2">
        <v>31</v>
      </c>
      <c r="F1220" s="2" t="s">
        <v>4167</v>
      </c>
    </row>
    <row r="1221" spans="3:6" x14ac:dyDescent="0.25">
      <c r="C1221" s="2" t="s">
        <v>11823</v>
      </c>
      <c r="D1221" s="2" t="s">
        <v>178</v>
      </c>
      <c r="E1221" s="2">
        <v>141</v>
      </c>
      <c r="F1221" s="2">
        <v>2816.818</v>
      </c>
    </row>
    <row r="1222" spans="3:6" x14ac:dyDescent="0.25">
      <c r="C1222" s="2" t="s">
        <v>11824</v>
      </c>
      <c r="D1222" s="2" t="s">
        <v>178</v>
      </c>
      <c r="E1222" s="2">
        <v>80</v>
      </c>
      <c r="F1222" s="2">
        <v>1515.09</v>
      </c>
    </row>
    <row r="1223" spans="3:6" x14ac:dyDescent="0.25">
      <c r="C1223" s="2" t="s">
        <v>11825</v>
      </c>
      <c r="D1223" s="2" t="s">
        <v>178</v>
      </c>
      <c r="E1223" s="2">
        <v>61</v>
      </c>
      <c r="F1223" s="2">
        <v>1144.21</v>
      </c>
    </row>
    <row r="1224" spans="3:6" x14ac:dyDescent="0.25">
      <c r="C1224" s="2" t="s">
        <v>11826</v>
      </c>
      <c r="D1224" s="2" t="s">
        <v>178</v>
      </c>
      <c r="E1224" s="2">
        <v>95</v>
      </c>
      <c r="F1224" s="2">
        <v>1858.129</v>
      </c>
    </row>
    <row r="1225" spans="3:6" x14ac:dyDescent="0.25">
      <c r="C1225" s="2" t="s">
        <v>11827</v>
      </c>
      <c r="D1225" s="2" t="s">
        <v>178</v>
      </c>
      <c r="E1225" s="2">
        <v>47</v>
      </c>
      <c r="F1225" s="2">
        <v>848.367</v>
      </c>
    </row>
    <row r="1226" spans="3:6" x14ac:dyDescent="0.25">
      <c r="C1226" s="2" t="s">
        <v>11828</v>
      </c>
      <c r="D1226" s="2" t="s">
        <v>178</v>
      </c>
      <c r="E1226" s="2">
        <v>83</v>
      </c>
      <c r="F1226" s="2">
        <v>1658.91</v>
      </c>
    </row>
    <row r="1227" spans="3:6" x14ac:dyDescent="0.25">
      <c r="C1227" s="2" t="s">
        <v>11829</v>
      </c>
      <c r="D1227" s="2" t="s">
        <v>178</v>
      </c>
      <c r="E1227" s="2">
        <v>58</v>
      </c>
      <c r="F1227" s="2">
        <v>1082.71</v>
      </c>
    </row>
    <row r="1229" spans="1:7" x14ac:dyDescent="0.25">
      <c r="A1229" s="1">
        <v>46125</v>
      </c>
      <c r="B1229" s="2" t="s">
        <v>229</v>
      </c>
      <c r="C1229" s="2" t="s">
        <v>11830</v>
      </c>
      <c r="D1229" s="2" t="s">
        <v>82</v>
      </c>
      <c r="E1229" s="2">
        <v>100</v>
      </c>
      <c r="F1229" s="2">
        <v>2011.367</v>
      </c>
      <c r="G1229" s="1">
        <v>46124</v>
      </c>
    </row>
    <row r="1230" spans="3:6" x14ac:dyDescent="0.25">
      <c r="C1230" s="2" t="s">
        <v>11831</v>
      </c>
      <c r="D1230" s="2" t="s">
        <v>82</v>
      </c>
      <c r="E1230" s="2">
        <v>103</v>
      </c>
      <c r="F1230" s="2">
        <v>1405.111</v>
      </c>
    </row>
    <row r="1231" spans="3:6" x14ac:dyDescent="0.25">
      <c r="C1231" s="2" t="s">
        <v>11832</v>
      </c>
      <c r="D1231" s="2" t="s">
        <v>82</v>
      </c>
      <c r="E1231" s="2">
        <f>2+59+1+6</f>
        <v>68</v>
      </c>
      <c r="F1231" s="2" t="s">
        <v>4167</v>
      </c>
    </row>
    <row r="1232" spans="3:6" x14ac:dyDescent="0.25">
      <c r="C1232" s="2" t="s">
        <v>11833</v>
      </c>
      <c r="D1232" s="2" t="s">
        <v>82</v>
      </c>
      <c r="E1232" s="2">
        <v>77</v>
      </c>
      <c r="F1232" s="2" t="s">
        <v>4167</v>
      </c>
    </row>
    <row r="1233" spans="3:6" x14ac:dyDescent="0.25">
      <c r="C1233" s="2" t="s">
        <v>11834</v>
      </c>
      <c r="D1233" s="2" t="s">
        <v>82</v>
      </c>
      <c r="E1233" s="2">
        <v>98</v>
      </c>
      <c r="F1233" s="2">
        <v>2315.908</v>
      </c>
    </row>
    <row r="1234" spans="3:6" x14ac:dyDescent="0.25">
      <c r="C1234" s="2" t="s">
        <v>11835</v>
      </c>
      <c r="D1234" s="2" t="s">
        <v>82</v>
      </c>
      <c r="E1234" s="2">
        <v>143</v>
      </c>
      <c r="F1234" s="2">
        <v>640.896</v>
      </c>
    </row>
    <row r="1235" spans="3:6" x14ac:dyDescent="0.25">
      <c r="C1235" s="2" t="s">
        <v>11836</v>
      </c>
      <c r="D1235" s="2" t="s">
        <v>82</v>
      </c>
      <c r="E1235" s="2">
        <v>144</v>
      </c>
      <c r="F1235" s="2">
        <v>1470.104</v>
      </c>
    </row>
    <row r="1236" spans="3:6" x14ac:dyDescent="0.25">
      <c r="C1236" s="2" t="s">
        <v>11837</v>
      </c>
      <c r="D1236" s="2" t="s">
        <v>82</v>
      </c>
      <c r="E1236" s="2">
        <v>101</v>
      </c>
      <c r="F1236" s="2">
        <v>2019.971</v>
      </c>
    </row>
    <row r="1237" spans="3:6" x14ac:dyDescent="0.25">
      <c r="C1237" s="2" t="s">
        <v>11838</v>
      </c>
      <c r="D1237" s="2" t="s">
        <v>82</v>
      </c>
      <c r="E1237" s="2">
        <v>37</v>
      </c>
      <c r="F1237" s="2">
        <v>723.28</v>
      </c>
    </row>
    <row r="1238" spans="3:6" x14ac:dyDescent="0.25">
      <c r="C1238" s="2" t="s">
        <v>11839</v>
      </c>
      <c r="D1238" s="2" t="s">
        <v>82</v>
      </c>
      <c r="E1238" s="2">
        <v>53</v>
      </c>
      <c r="F1238" s="2">
        <v>1081.89</v>
      </c>
    </row>
    <row r="1239" spans="3:6" x14ac:dyDescent="0.25">
      <c r="C1239" s="2" t="s">
        <v>11840</v>
      </c>
      <c r="D1239" s="2" t="s">
        <v>82</v>
      </c>
      <c r="E1239" s="2">
        <v>31</v>
      </c>
      <c r="F1239" s="2">
        <v>677.31</v>
      </c>
    </row>
    <row r="1240" spans="3:6" x14ac:dyDescent="0.25">
      <c r="C1240" s="2" t="s">
        <v>11841</v>
      </c>
      <c r="D1240" s="2" t="s">
        <v>82</v>
      </c>
      <c r="E1240" s="2">
        <v>48</v>
      </c>
      <c r="F1240" s="2">
        <v>917.02</v>
      </c>
    </row>
    <row r="1241" spans="3:6" x14ac:dyDescent="0.25">
      <c r="C1241" s="2" t="s">
        <v>11842</v>
      </c>
      <c r="D1241" s="2" t="s">
        <v>82</v>
      </c>
      <c r="E1241" s="2">
        <v>31</v>
      </c>
      <c r="F1241" s="2">
        <v>568.33</v>
      </c>
    </row>
    <row r="1242" spans="3:6" x14ac:dyDescent="0.25">
      <c r="C1242" s="2" t="s">
        <v>11843</v>
      </c>
      <c r="D1242" s="2" t="s">
        <v>82</v>
      </c>
      <c r="E1242" s="2">
        <v>42</v>
      </c>
      <c r="F1242" s="2">
        <v>896.18</v>
      </c>
    </row>
    <row r="1243" spans="3:6" x14ac:dyDescent="0.25">
      <c r="C1243" s="2" t="s">
        <v>11844</v>
      </c>
      <c r="D1243" s="2" t="s">
        <v>82</v>
      </c>
      <c r="E1243" s="2">
        <v>83</v>
      </c>
      <c r="F1243" s="2">
        <v>1737.369</v>
      </c>
    </row>
    <row r="1244" spans="3:6" x14ac:dyDescent="0.25">
      <c r="C1244" s="2" t="s">
        <v>11845</v>
      </c>
      <c r="D1244" s="2" t="s">
        <v>82</v>
      </c>
      <c r="E1244" s="2">
        <v>50</v>
      </c>
      <c r="F1244" s="2">
        <v>996.529</v>
      </c>
    </row>
    <row r="1245" spans="3:6" x14ac:dyDescent="0.25">
      <c r="C1245" s="2" t="s">
        <v>11846</v>
      </c>
      <c r="D1245" s="2" t="s">
        <v>82</v>
      </c>
      <c r="E1245" s="2">
        <v>55</v>
      </c>
      <c r="F1245" s="2">
        <v>1160.95</v>
      </c>
    </row>
    <row r="1246" spans="3:6" x14ac:dyDescent="0.25">
      <c r="C1246" s="2" t="s">
        <v>11847</v>
      </c>
      <c r="D1246" s="2" t="s">
        <v>82</v>
      </c>
      <c r="E1246" s="2">
        <v>44</v>
      </c>
      <c r="F1246" s="2">
        <v>884.99</v>
      </c>
    </row>
    <row r="1247" spans="3:6" x14ac:dyDescent="0.25">
      <c r="C1247" s="2" t="s">
        <v>11848</v>
      </c>
      <c r="D1247" s="2" t="s">
        <v>82</v>
      </c>
      <c r="E1247" s="2">
        <v>42</v>
      </c>
      <c r="F1247" s="2">
        <v>754.77</v>
      </c>
    </row>
    <row r="1248" spans="3:6" x14ac:dyDescent="0.25">
      <c r="C1248" s="2" t="s">
        <v>11849</v>
      </c>
      <c r="D1248" s="2" t="s">
        <v>82</v>
      </c>
      <c r="E1248" s="2">
        <v>40</v>
      </c>
      <c r="F1248" s="2">
        <v>867.15</v>
      </c>
    </row>
    <row r="1249" spans="3:6" x14ac:dyDescent="0.25">
      <c r="C1249" s="2" t="s">
        <v>11850</v>
      </c>
      <c r="D1249" s="2" t="s">
        <v>82</v>
      </c>
      <c r="E1249" s="2">
        <v>30</v>
      </c>
      <c r="F1249" s="2">
        <v>621.64</v>
      </c>
    </row>
    <row r="1250" spans="3:6" x14ac:dyDescent="0.25">
      <c r="C1250" s="2" t="s">
        <v>11851</v>
      </c>
      <c r="D1250" s="2" t="s">
        <v>82</v>
      </c>
      <c r="E1250" s="2">
        <v>22</v>
      </c>
      <c r="F1250" s="2">
        <v>442.82</v>
      </c>
    </row>
    <row r="1251" spans="3:6" x14ac:dyDescent="0.25">
      <c r="C1251" s="2" t="s">
        <v>11852</v>
      </c>
      <c r="D1251" s="2" t="s">
        <v>82</v>
      </c>
      <c r="E1251" s="2">
        <v>49</v>
      </c>
      <c r="F1251" s="2">
        <v>1018.31</v>
      </c>
    </row>
    <row r="1252" spans="3:6" x14ac:dyDescent="0.25">
      <c r="C1252" s="2" t="s">
        <v>11853</v>
      </c>
      <c r="D1252" s="2" t="s">
        <v>82</v>
      </c>
      <c r="E1252" s="2">
        <v>45</v>
      </c>
      <c r="F1252" s="2">
        <v>846.44</v>
      </c>
    </row>
    <row r="1253" spans="3:6" x14ac:dyDescent="0.25">
      <c r="C1253" s="2" t="s">
        <v>11854</v>
      </c>
      <c r="D1253" s="2" t="s">
        <v>82</v>
      </c>
      <c r="E1253" s="2">
        <v>41</v>
      </c>
      <c r="F1253" s="2">
        <v>825.429</v>
      </c>
    </row>
    <row r="1254" spans="3:6" x14ac:dyDescent="0.25">
      <c r="C1254" s="2" t="s">
        <v>11855</v>
      </c>
      <c r="D1254" s="2" t="s">
        <v>82</v>
      </c>
      <c r="E1254" s="2">
        <v>14</v>
      </c>
      <c r="F1254" s="2">
        <v>290.06</v>
      </c>
    </row>
    <row r="1255" spans="3:6" x14ac:dyDescent="0.25">
      <c r="C1255" s="2" t="s">
        <v>11856</v>
      </c>
      <c r="D1255" s="2" t="s">
        <v>82</v>
      </c>
      <c r="E1255" s="2">
        <v>50</v>
      </c>
      <c r="F1255" s="2">
        <v>1392.9</v>
      </c>
    </row>
    <row r="1256" spans="3:6" x14ac:dyDescent="0.25">
      <c r="C1256" s="2" t="s">
        <v>11857</v>
      </c>
      <c r="D1256" s="2" t="s">
        <v>82</v>
      </c>
      <c r="E1256" s="2">
        <v>50</v>
      </c>
      <c r="F1256" s="2">
        <v>1370.23</v>
      </c>
    </row>
    <row r="1257" spans="3:6" x14ac:dyDescent="0.25">
      <c r="C1257" s="2" t="s">
        <v>11858</v>
      </c>
      <c r="D1257" s="2" t="s">
        <v>82</v>
      </c>
      <c r="E1257" s="2">
        <v>85</v>
      </c>
      <c r="F1257" s="2">
        <v>1634.646</v>
      </c>
    </row>
    <row r="1258" spans="3:6" x14ac:dyDescent="0.25">
      <c r="C1258" s="2" t="s">
        <v>11859</v>
      </c>
      <c r="D1258" s="2" t="s">
        <v>82</v>
      </c>
      <c r="E1258" s="2">
        <v>36</v>
      </c>
      <c r="F1258" s="2">
        <v>748.15</v>
      </c>
    </row>
    <row r="1259" spans="3:6" x14ac:dyDescent="0.25">
      <c r="C1259" s="2" t="s">
        <v>11860</v>
      </c>
      <c r="D1259" s="2" t="s">
        <v>82</v>
      </c>
      <c r="E1259" s="2">
        <v>39</v>
      </c>
      <c r="F1259" s="2">
        <v>299.856</v>
      </c>
    </row>
    <row r="1260" spans="3:6" x14ac:dyDescent="0.25">
      <c r="C1260" s="2" t="s">
        <v>11861</v>
      </c>
      <c r="D1260" s="2" t="s">
        <v>82</v>
      </c>
      <c r="E1260" s="2">
        <v>40</v>
      </c>
      <c r="F1260" s="2">
        <v>838.22</v>
      </c>
    </row>
    <row r="1261" spans="3:6" x14ac:dyDescent="0.25">
      <c r="C1261" s="2" t="s">
        <v>11862</v>
      </c>
      <c r="D1261" s="2" t="s">
        <v>82</v>
      </c>
      <c r="E1261" s="2">
        <v>34</v>
      </c>
      <c r="F1261" s="2">
        <v>669.689</v>
      </c>
    </row>
    <row r="1262" spans="3:6" x14ac:dyDescent="0.25">
      <c r="C1262" s="2" t="s">
        <v>11863</v>
      </c>
      <c r="D1262" s="2" t="s">
        <v>82</v>
      </c>
      <c r="E1262" s="2">
        <v>53</v>
      </c>
      <c r="F1262" s="2">
        <v>1047.73</v>
      </c>
    </row>
    <row r="1263" spans="3:6" x14ac:dyDescent="0.25">
      <c r="C1263" s="2" t="s">
        <v>11864</v>
      </c>
      <c r="D1263" s="2" t="s">
        <v>82</v>
      </c>
      <c r="E1263" s="2">
        <v>30</v>
      </c>
      <c r="F1263" s="2">
        <v>629.42</v>
      </c>
    </row>
    <row r="1264" spans="3:6" x14ac:dyDescent="0.25">
      <c r="C1264" s="2" t="s">
        <v>11865</v>
      </c>
      <c r="D1264" s="2" t="s">
        <v>82</v>
      </c>
      <c r="E1264" s="2">
        <v>23</v>
      </c>
      <c r="F1264" s="2">
        <v>457</v>
      </c>
    </row>
    <row r="1265" spans="3:6" x14ac:dyDescent="0.25">
      <c r="C1265" s="2" t="s">
        <v>11866</v>
      </c>
      <c r="D1265" s="2" t="s">
        <v>82</v>
      </c>
      <c r="E1265" s="2">
        <v>23</v>
      </c>
      <c r="F1265" s="2">
        <v>457.27</v>
      </c>
    </row>
    <row r="1266" spans="3:6" x14ac:dyDescent="0.25">
      <c r="C1266" s="2" t="s">
        <v>11867</v>
      </c>
      <c r="D1266" s="2" t="s">
        <v>82</v>
      </c>
      <c r="E1266" s="2">
        <v>12</v>
      </c>
      <c r="F1266" s="2">
        <v>252.2</v>
      </c>
    </row>
    <row r="1267" spans="3:6" x14ac:dyDescent="0.25">
      <c r="C1267" s="2" t="s">
        <v>11868</v>
      </c>
      <c r="D1267" s="2" t="s">
        <v>82</v>
      </c>
      <c r="E1267" s="2">
        <v>89</v>
      </c>
      <c r="F1267" s="2">
        <v>1839.45</v>
      </c>
    </row>
    <row r="1268" spans="3:6" x14ac:dyDescent="0.25">
      <c r="C1268" s="2" t="s">
        <v>11869</v>
      </c>
      <c r="D1268" s="2" t="s">
        <v>82</v>
      </c>
      <c r="E1268" s="2">
        <v>52</v>
      </c>
      <c r="F1268" s="2">
        <v>1101.54</v>
      </c>
    </row>
    <row r="1269" spans="3:6" x14ac:dyDescent="0.25">
      <c r="C1269" s="2" t="s">
        <v>11870</v>
      </c>
      <c r="D1269" s="2" t="s">
        <v>82</v>
      </c>
      <c r="E1269" s="2">
        <v>87</v>
      </c>
      <c r="F1269" s="2">
        <v>1812.54</v>
      </c>
    </row>
    <row r="1270" spans="3:6" x14ac:dyDescent="0.25">
      <c r="C1270" s="2" t="s">
        <v>11871</v>
      </c>
      <c r="D1270" s="2" t="s">
        <v>82</v>
      </c>
      <c r="E1270" s="2">
        <v>25</v>
      </c>
      <c r="F1270" s="2">
        <v>512.83</v>
      </c>
    </row>
    <row r="1271" spans="3:6" x14ac:dyDescent="0.25">
      <c r="C1271" s="2" t="s">
        <v>11872</v>
      </c>
      <c r="D1271" s="2" t="s">
        <v>82</v>
      </c>
      <c r="E1271" s="2">
        <v>16</v>
      </c>
      <c r="F1271" s="2">
        <v>306.56</v>
      </c>
    </row>
    <row r="1272" spans="3:6" x14ac:dyDescent="0.25">
      <c r="C1272" s="2" t="s">
        <v>11873</v>
      </c>
      <c r="D1272" s="2" t="s">
        <v>82</v>
      </c>
      <c r="E1272" s="2">
        <v>13</v>
      </c>
      <c r="F1272" s="2">
        <v>245.95</v>
      </c>
    </row>
    <row r="1273" spans="3:6" x14ac:dyDescent="0.25">
      <c r="C1273" s="2" t="s">
        <v>11874</v>
      </c>
      <c r="D1273" s="2" t="s">
        <v>82</v>
      </c>
      <c r="E1273" s="2">
        <v>80</v>
      </c>
      <c r="F1273" s="2">
        <v>1538.17</v>
      </c>
    </row>
    <row r="1274" spans="3:6" x14ac:dyDescent="0.25">
      <c r="C1274" s="2" t="s">
        <v>11875</v>
      </c>
      <c r="D1274" s="2" t="s">
        <v>82</v>
      </c>
      <c r="E1274" s="2">
        <v>20</v>
      </c>
      <c r="F1274" s="2">
        <v>387.31</v>
      </c>
    </row>
    <row r="1275" spans="3:6" x14ac:dyDescent="0.25">
      <c r="C1275" s="2" t="s">
        <v>11876</v>
      </c>
      <c r="D1275" s="2" t="s">
        <v>82</v>
      </c>
      <c r="E1275" s="2">
        <v>55</v>
      </c>
      <c r="F1275" s="2">
        <v>1141.18</v>
      </c>
    </row>
    <row r="1276" spans="3:6" x14ac:dyDescent="0.25">
      <c r="C1276" s="2" t="s">
        <v>11877</v>
      </c>
      <c r="D1276" s="2" t="s">
        <v>82</v>
      </c>
      <c r="E1276" s="2">
        <v>36</v>
      </c>
      <c r="F1276" s="2">
        <v>771.63</v>
      </c>
    </row>
    <row r="1277" spans="3:6" x14ac:dyDescent="0.25">
      <c r="C1277" s="2" t="s">
        <v>11878</v>
      </c>
      <c r="D1277" s="2" t="s">
        <v>82</v>
      </c>
      <c r="E1277" s="2" t="s">
        <v>4167</v>
      </c>
      <c r="F1277" s="2" t="s">
        <v>4167</v>
      </c>
    </row>
    <row r="1278" spans="3:6" x14ac:dyDescent="0.25">
      <c r="C1278" s="2" t="s">
        <v>11879</v>
      </c>
      <c r="D1278" s="2" t="s">
        <v>82</v>
      </c>
      <c r="E1278" s="2">
        <v>54</v>
      </c>
      <c r="F1278" s="2">
        <v>958.99</v>
      </c>
    </row>
    <row r="1279" spans="3:6" x14ac:dyDescent="0.25">
      <c r="C1279" s="2" t="s">
        <v>11880</v>
      </c>
      <c r="D1279" s="2" t="s">
        <v>82</v>
      </c>
      <c r="E1279" s="2">
        <v>21</v>
      </c>
      <c r="F1279" s="2">
        <v>412.22</v>
      </c>
    </row>
    <row r="1280" spans="3:6" x14ac:dyDescent="0.25">
      <c r="C1280" s="2" t="s">
        <v>11881</v>
      </c>
      <c r="D1280" s="2" t="s">
        <v>82</v>
      </c>
      <c r="E1280" s="2" t="s">
        <v>4167</v>
      </c>
      <c r="F1280" s="2" t="s">
        <v>4167</v>
      </c>
    </row>
    <row r="1282" spans="1:7" x14ac:dyDescent="0.25">
      <c r="A1282" s="1">
        <v>46125</v>
      </c>
      <c r="B1282" s="2" t="s">
        <v>290</v>
      </c>
      <c r="C1282" s="2" t="s">
        <v>11510</v>
      </c>
      <c r="D1282" s="2" t="s">
        <v>292</v>
      </c>
      <c r="E1282" s="2">
        <v>37</v>
      </c>
      <c r="F1282" s="2">
        <v>797.28</v>
      </c>
      <c r="G1282" s="1">
        <v>46124</v>
      </c>
    </row>
    <row r="1283" spans="3:6" x14ac:dyDescent="0.25">
      <c r="C1283" s="2" t="s">
        <v>11882</v>
      </c>
      <c r="D1283" s="2" t="s">
        <v>292</v>
      </c>
      <c r="E1283" s="2">
        <v>75</v>
      </c>
      <c r="F1283" s="2">
        <v>401.36</v>
      </c>
    </row>
    <row r="1284" spans="3:6" x14ac:dyDescent="0.25">
      <c r="C1284" s="2" t="s">
        <v>11883</v>
      </c>
      <c r="D1284" s="2" t="s">
        <v>292</v>
      </c>
      <c r="E1284" s="2">
        <v>74</v>
      </c>
      <c r="F1284" s="2">
        <v>1518.78</v>
      </c>
    </row>
    <row r="1285" spans="3:6" x14ac:dyDescent="0.25">
      <c r="C1285" s="2" t="s">
        <v>11884</v>
      </c>
      <c r="D1285" s="2" t="s">
        <v>292</v>
      </c>
      <c r="E1285" s="2">
        <v>17</v>
      </c>
      <c r="F1285" s="2">
        <v>314.11</v>
      </c>
    </row>
    <row r="1286" spans="3:6" x14ac:dyDescent="0.25">
      <c r="C1286" s="2" t="s">
        <v>11885</v>
      </c>
      <c r="D1286" s="2" t="s">
        <v>292</v>
      </c>
      <c r="E1286" s="2">
        <v>141</v>
      </c>
      <c r="F1286" s="2">
        <v>2873.329</v>
      </c>
    </row>
    <row r="1287" spans="3:6" x14ac:dyDescent="0.25">
      <c r="C1287" s="2" t="s">
        <v>11886</v>
      </c>
      <c r="D1287" s="2" t="s">
        <v>292</v>
      </c>
      <c r="E1287" s="2">
        <v>30</v>
      </c>
      <c r="F1287" s="2">
        <v>159.43</v>
      </c>
    </row>
    <row r="1288" spans="3:6" x14ac:dyDescent="0.25">
      <c r="C1288" s="2" t="s">
        <v>11887</v>
      </c>
      <c r="D1288" s="2" t="s">
        <v>292</v>
      </c>
      <c r="E1288" s="2">
        <v>17</v>
      </c>
      <c r="F1288" s="2">
        <v>330.64</v>
      </c>
    </row>
    <row r="1289" spans="3:6" x14ac:dyDescent="0.25">
      <c r="C1289" s="2" t="s">
        <v>11888</v>
      </c>
      <c r="D1289" s="2" t="s">
        <v>292</v>
      </c>
      <c r="E1289" s="2">
        <v>100</v>
      </c>
      <c r="F1289" s="2">
        <v>2069.92</v>
      </c>
    </row>
    <row r="1290" spans="3:6" x14ac:dyDescent="0.25">
      <c r="C1290" s="2" t="s">
        <v>11889</v>
      </c>
      <c r="D1290" s="2" t="s">
        <v>292</v>
      </c>
      <c r="E1290" s="2">
        <v>66</v>
      </c>
      <c r="F1290" s="2">
        <v>1305.665</v>
      </c>
    </row>
    <row r="1291" spans="3:6" x14ac:dyDescent="0.25">
      <c r="C1291" s="2" t="s">
        <v>11890</v>
      </c>
      <c r="D1291" s="2" t="s">
        <v>292</v>
      </c>
      <c r="E1291" s="2">
        <v>10</v>
      </c>
      <c r="F1291" s="2">
        <v>193.83</v>
      </c>
    </row>
    <row r="1292" spans="3:6" x14ac:dyDescent="0.25">
      <c r="C1292" s="2" t="s">
        <v>11891</v>
      </c>
      <c r="D1292" s="2" t="s">
        <v>292</v>
      </c>
      <c r="E1292" s="2">
        <v>141</v>
      </c>
      <c r="F1292" s="2">
        <v>2823.38</v>
      </c>
    </row>
    <row r="1293" spans="3:6" x14ac:dyDescent="0.25">
      <c r="C1293" s="2" t="s">
        <v>11892</v>
      </c>
      <c r="D1293" s="2" t="s">
        <v>292</v>
      </c>
      <c r="E1293" s="2">
        <v>107</v>
      </c>
      <c r="F1293" s="2">
        <v>2026.227</v>
      </c>
    </row>
    <row r="1294" spans="3:6" x14ac:dyDescent="0.25">
      <c r="C1294" s="2" t="s">
        <v>11893</v>
      </c>
      <c r="D1294" s="2" t="s">
        <v>292</v>
      </c>
      <c r="E1294" s="2">
        <v>35</v>
      </c>
      <c r="F1294" s="2">
        <v>712.93</v>
      </c>
    </row>
    <row r="1295" spans="3:6" x14ac:dyDescent="0.25">
      <c r="C1295" s="2" t="s">
        <v>11894</v>
      </c>
      <c r="D1295" s="2" t="s">
        <v>292</v>
      </c>
      <c r="E1295" s="2">
        <v>74</v>
      </c>
      <c r="F1295" s="2">
        <v>1495.11</v>
      </c>
    </row>
    <row r="1296" spans="3:6" x14ac:dyDescent="0.25">
      <c r="C1296" s="2" t="s">
        <v>11895</v>
      </c>
      <c r="D1296" s="2" t="s">
        <v>292</v>
      </c>
      <c r="E1296" s="2">
        <v>75</v>
      </c>
      <c r="F1296" s="2">
        <v>400.98</v>
      </c>
    </row>
    <row r="1297" spans="3:6" x14ac:dyDescent="0.25">
      <c r="C1297" s="2" t="s">
        <v>11896</v>
      </c>
      <c r="D1297" s="2" t="s">
        <v>292</v>
      </c>
      <c r="E1297" s="2">
        <v>120</v>
      </c>
      <c r="F1297" s="2">
        <v>2503.109</v>
      </c>
    </row>
    <row r="1298" spans="3:6" x14ac:dyDescent="0.25">
      <c r="C1298" s="2" t="s">
        <v>11897</v>
      </c>
      <c r="D1298" s="2" t="s">
        <v>292</v>
      </c>
      <c r="E1298" s="2">
        <v>30</v>
      </c>
      <c r="F1298" s="2">
        <v>589.9</v>
      </c>
    </row>
    <row r="1299" spans="3:6" x14ac:dyDescent="0.25">
      <c r="C1299" s="2" t="s">
        <v>11898</v>
      </c>
      <c r="D1299" s="2" t="s">
        <v>292</v>
      </c>
      <c r="E1299" s="2">
        <v>141</v>
      </c>
      <c r="F1299" s="2">
        <v>2941.64</v>
      </c>
    </row>
    <row r="1300" spans="3:6" x14ac:dyDescent="0.25">
      <c r="C1300" s="2" t="s">
        <v>11899</v>
      </c>
      <c r="D1300" s="2" t="s">
        <v>292</v>
      </c>
      <c r="E1300" s="2">
        <v>88</v>
      </c>
      <c r="F1300" s="2">
        <v>1749.62</v>
      </c>
    </row>
    <row r="1301" spans="3:6" x14ac:dyDescent="0.25">
      <c r="C1301" s="2" t="s">
        <v>11900</v>
      </c>
      <c r="D1301" s="2" t="s">
        <v>292</v>
      </c>
      <c r="E1301" s="2">
        <v>65</v>
      </c>
      <c r="F1301" s="2">
        <v>1306.35</v>
      </c>
    </row>
    <row r="1302" spans="3:6" x14ac:dyDescent="0.25">
      <c r="C1302" s="2" t="s">
        <v>11901</v>
      </c>
      <c r="D1302" s="2" t="s">
        <v>292</v>
      </c>
      <c r="E1302" s="2">
        <v>134</v>
      </c>
      <c r="F1302" s="2">
        <v>2720.3</v>
      </c>
    </row>
    <row r="1303" spans="3:6" x14ac:dyDescent="0.25">
      <c r="C1303" s="2" t="s">
        <v>11902</v>
      </c>
      <c r="D1303" s="2" t="s">
        <v>292</v>
      </c>
      <c r="E1303" s="2">
        <v>123</v>
      </c>
      <c r="F1303" s="2">
        <v>2391</v>
      </c>
    </row>
    <row r="1304" spans="3:6" x14ac:dyDescent="0.25">
      <c r="C1304" s="2" t="s">
        <v>11903</v>
      </c>
      <c r="D1304" s="2" t="s">
        <v>292</v>
      </c>
      <c r="E1304" s="2">
        <v>85</v>
      </c>
      <c r="F1304" s="2">
        <v>1689.569</v>
      </c>
    </row>
    <row r="1305" spans="3:6" x14ac:dyDescent="0.25">
      <c r="C1305" s="2" t="s">
        <v>11904</v>
      </c>
      <c r="D1305" s="2" t="s">
        <v>292</v>
      </c>
      <c r="E1305" s="2">
        <v>88</v>
      </c>
      <c r="F1305" s="2">
        <v>1843.139</v>
      </c>
    </row>
    <row r="1306" spans="3:6" x14ac:dyDescent="0.25">
      <c r="C1306" s="2" t="s">
        <v>11905</v>
      </c>
      <c r="D1306" s="2" t="s">
        <v>292</v>
      </c>
      <c r="E1306" s="2">
        <v>10</v>
      </c>
      <c r="F1306" s="2">
        <v>197.96</v>
      </c>
    </row>
    <row r="1307" spans="3:6" x14ac:dyDescent="0.25">
      <c r="C1307" s="2" t="s">
        <v>11906</v>
      </c>
      <c r="D1307" s="2" t="s">
        <v>292</v>
      </c>
      <c r="E1307" s="2">
        <v>34</v>
      </c>
      <c r="F1307" s="2">
        <v>707.41</v>
      </c>
    </row>
    <row r="1308" spans="3:6" x14ac:dyDescent="0.25">
      <c r="C1308" s="2" t="s">
        <v>11907</v>
      </c>
      <c r="D1308" s="2" t="s">
        <v>292</v>
      </c>
      <c r="E1308" s="2">
        <v>21</v>
      </c>
      <c r="F1308" s="2">
        <v>438.4</v>
      </c>
    </row>
    <row r="1309" spans="3:6" x14ac:dyDescent="0.25">
      <c r="C1309" s="2" t="s">
        <v>11908</v>
      </c>
      <c r="D1309" s="2" t="s">
        <v>292</v>
      </c>
      <c r="E1309" s="2">
        <v>10</v>
      </c>
      <c r="F1309" s="2">
        <v>158.32</v>
      </c>
    </row>
    <row r="1310" spans="3:6" x14ac:dyDescent="0.25">
      <c r="C1310" s="2" t="s">
        <v>11909</v>
      </c>
      <c r="D1310" s="2" t="s">
        <v>292</v>
      </c>
      <c r="E1310" s="2">
        <v>13</v>
      </c>
      <c r="F1310" s="2">
        <v>214.02</v>
      </c>
    </row>
    <row r="1311" spans="3:6" x14ac:dyDescent="0.25">
      <c r="C1311" s="2" t="s">
        <v>11546</v>
      </c>
      <c r="D1311" s="2" t="s">
        <v>292</v>
      </c>
      <c r="E1311" s="2">
        <v>75</v>
      </c>
      <c r="F1311" s="2">
        <v>1099.856</v>
      </c>
    </row>
    <row r="1312" spans="3:6" x14ac:dyDescent="0.25">
      <c r="C1312" s="2" t="s">
        <v>11910</v>
      </c>
      <c r="D1312" s="2" t="s">
        <v>292</v>
      </c>
      <c r="E1312" s="2">
        <v>20</v>
      </c>
      <c r="F1312" s="2">
        <v>104.56</v>
      </c>
    </row>
    <row r="1313" spans="3:6" x14ac:dyDescent="0.25">
      <c r="C1313" s="2" t="s">
        <v>11911</v>
      </c>
      <c r="D1313" s="2" t="s">
        <v>292</v>
      </c>
      <c r="E1313" s="2">
        <v>34</v>
      </c>
      <c r="F1313" s="2">
        <v>712.45</v>
      </c>
    </row>
    <row r="1314" spans="3:6" x14ac:dyDescent="0.25">
      <c r="C1314" s="2" t="s">
        <v>11912</v>
      </c>
      <c r="D1314" s="2" t="s">
        <v>292</v>
      </c>
      <c r="E1314" s="2">
        <v>83</v>
      </c>
      <c r="F1314" s="2">
        <v>692.201</v>
      </c>
    </row>
    <row r="1315" spans="3:6" x14ac:dyDescent="0.25">
      <c r="C1315" s="2" t="s">
        <v>11913</v>
      </c>
      <c r="D1315" s="2" t="s">
        <v>292</v>
      </c>
      <c r="E1315" s="2">
        <v>67</v>
      </c>
      <c r="F1315" s="2">
        <v>1443.22</v>
      </c>
    </row>
    <row r="1316" spans="3:6" x14ac:dyDescent="0.25">
      <c r="C1316" s="2" t="s">
        <v>11914</v>
      </c>
      <c r="D1316" s="2" t="s">
        <v>292</v>
      </c>
      <c r="E1316" s="2">
        <v>80</v>
      </c>
      <c r="F1316" s="2">
        <v>1605.82</v>
      </c>
    </row>
    <row r="1317" spans="3:6" x14ac:dyDescent="0.25">
      <c r="C1317" s="2" t="s">
        <v>11915</v>
      </c>
      <c r="D1317" s="2" t="s">
        <v>292</v>
      </c>
      <c r="E1317" s="2">
        <v>141</v>
      </c>
      <c r="F1317" s="2">
        <v>2812.7</v>
      </c>
    </row>
    <row r="1318" spans="3:6" x14ac:dyDescent="0.25">
      <c r="C1318" s="2" t="s">
        <v>11916</v>
      </c>
      <c r="D1318" s="2" t="s">
        <v>292</v>
      </c>
      <c r="E1318" s="2">
        <v>114</v>
      </c>
      <c r="F1318" s="2">
        <v>1965.138</v>
      </c>
    </row>
    <row r="1319" spans="3:6" x14ac:dyDescent="0.25">
      <c r="C1319" s="2" t="s">
        <v>11917</v>
      </c>
      <c r="D1319" s="2" t="s">
        <v>292</v>
      </c>
      <c r="E1319" s="2">
        <v>42</v>
      </c>
      <c r="F1319" s="2">
        <v>833.18</v>
      </c>
    </row>
    <row r="1320" spans="3:6" x14ac:dyDescent="0.25">
      <c r="C1320" s="2" t="s">
        <v>11918</v>
      </c>
      <c r="D1320" s="2" t="s">
        <v>292</v>
      </c>
      <c r="E1320" s="2">
        <v>26</v>
      </c>
      <c r="F1320" s="2">
        <v>505.16</v>
      </c>
    </row>
    <row r="1321" spans="3:6" x14ac:dyDescent="0.25">
      <c r="C1321" s="2" t="s">
        <v>11509</v>
      </c>
      <c r="D1321" s="2" t="s">
        <v>292</v>
      </c>
      <c r="E1321" s="2">
        <v>86</v>
      </c>
      <c r="F1321" s="2">
        <v>1766.31</v>
      </c>
    </row>
    <row r="1322" spans="3:6" x14ac:dyDescent="0.25">
      <c r="C1322" s="2" t="s">
        <v>11919</v>
      </c>
      <c r="D1322" s="2" t="s">
        <v>292</v>
      </c>
      <c r="E1322" s="2">
        <v>67</v>
      </c>
      <c r="F1322" s="2">
        <v>1288.879</v>
      </c>
    </row>
    <row r="1323" spans="3:6" x14ac:dyDescent="0.25">
      <c r="C1323" s="2" t="s">
        <v>11920</v>
      </c>
      <c r="D1323" s="2" t="s">
        <v>292</v>
      </c>
      <c r="E1323" s="2">
        <v>141</v>
      </c>
      <c r="F1323" s="2">
        <v>2875.42</v>
      </c>
    </row>
    <row r="1324" spans="3:6" x14ac:dyDescent="0.25">
      <c r="C1324" s="2" t="s">
        <v>11921</v>
      </c>
      <c r="D1324" s="2" t="s">
        <v>292</v>
      </c>
      <c r="E1324" s="2">
        <v>141</v>
      </c>
      <c r="F1324" s="2">
        <v>2963.94</v>
      </c>
    </row>
    <row r="1325" spans="3:6" x14ac:dyDescent="0.25">
      <c r="C1325" s="2" t="s">
        <v>11922</v>
      </c>
      <c r="D1325" s="2" t="s">
        <v>292</v>
      </c>
      <c r="E1325" s="2">
        <v>141</v>
      </c>
      <c r="F1325" s="2">
        <v>3110</v>
      </c>
    </row>
    <row r="1326" spans="3:6" x14ac:dyDescent="0.25">
      <c r="C1326" s="2" t="s">
        <v>11923</v>
      </c>
      <c r="D1326" s="2" t="s">
        <v>292</v>
      </c>
      <c r="E1326" s="2">
        <v>79</v>
      </c>
      <c r="F1326" s="2">
        <v>999.05</v>
      </c>
    </row>
    <row r="1327" spans="3:6" x14ac:dyDescent="0.25">
      <c r="C1327" s="2" t="s">
        <v>11924</v>
      </c>
      <c r="D1327" s="2" t="s">
        <v>292</v>
      </c>
      <c r="E1327" s="2">
        <v>121</v>
      </c>
      <c r="F1327" s="2">
        <v>1921.032</v>
      </c>
    </row>
    <row r="1328" spans="3:6" x14ac:dyDescent="0.25">
      <c r="C1328" s="2" t="s">
        <v>11925</v>
      </c>
      <c r="D1328" s="2" t="s">
        <v>292</v>
      </c>
      <c r="E1328" s="2" t="s">
        <v>4167</v>
      </c>
      <c r="F1328" s="2" t="s">
        <v>4167</v>
      </c>
    </row>
    <row r="1330" spans="1:7" x14ac:dyDescent="0.25">
      <c r="A1330" s="1">
        <v>46125</v>
      </c>
      <c r="B1330" s="2" t="s">
        <v>128</v>
      </c>
      <c r="C1330" s="2" t="s">
        <v>11926</v>
      </c>
      <c r="D1330" s="2" t="s">
        <v>30</v>
      </c>
      <c r="E1330" s="2">
        <v>105</v>
      </c>
      <c r="F1330" s="2">
        <v>2043</v>
      </c>
      <c r="G1330" s="1">
        <v>46125</v>
      </c>
    </row>
    <row r="1331" spans="3:6" x14ac:dyDescent="0.25">
      <c r="C1331" s="2" t="s">
        <v>11927</v>
      </c>
      <c r="D1331" s="2" t="s">
        <v>53</v>
      </c>
      <c r="E1331" s="2">
        <v>156</v>
      </c>
      <c r="F1331" s="2">
        <v>3149</v>
      </c>
    </row>
    <row r="1332" spans="3:6" x14ac:dyDescent="0.25">
      <c r="C1332" s="2" t="s">
        <v>11928</v>
      </c>
      <c r="D1332" s="2" t="s">
        <v>53</v>
      </c>
      <c r="E1332" s="2">
        <v>156</v>
      </c>
      <c r="F1332" s="2">
        <v>3160</v>
      </c>
    </row>
    <row r="1333" spans="3:6" x14ac:dyDescent="0.25">
      <c r="C1333" s="2" t="s">
        <v>11929</v>
      </c>
      <c r="D1333" s="2" t="s">
        <v>15</v>
      </c>
      <c r="E1333" s="2">
        <v>105</v>
      </c>
      <c r="F1333" s="2">
        <v>1866</v>
      </c>
    </row>
    <row r="1334" spans="3:6" x14ac:dyDescent="0.25">
      <c r="C1334" s="2" t="s">
        <v>11930</v>
      </c>
      <c r="D1334" s="2" t="s">
        <v>15</v>
      </c>
      <c r="E1334" s="2">
        <v>105</v>
      </c>
      <c r="F1334" s="2">
        <v>2051</v>
      </c>
    </row>
    <row r="1335" spans="3:6" x14ac:dyDescent="0.25">
      <c r="C1335" s="2" t="s">
        <v>11931</v>
      </c>
      <c r="D1335" s="2" t="s">
        <v>26</v>
      </c>
      <c r="E1335" s="2">
        <v>156</v>
      </c>
      <c r="F1335" s="2">
        <v>2806</v>
      </c>
    </row>
    <row r="1336" spans="3:6" x14ac:dyDescent="0.25">
      <c r="C1336" s="2" t="s">
        <v>11932</v>
      </c>
      <c r="D1336" s="2" t="s">
        <v>26</v>
      </c>
      <c r="E1336" s="2">
        <v>156</v>
      </c>
      <c r="F1336" s="2">
        <v>2662</v>
      </c>
    </row>
    <row r="1338" spans="3:6" x14ac:dyDescent="0.25">
      <c r="C1338" s="2" t="s">
        <v>11933</v>
      </c>
      <c r="D1338" s="2" t="s">
        <v>136</v>
      </c>
      <c r="E1338" s="2">
        <v>128</v>
      </c>
      <c r="F1338" s="2">
        <v>2522.95</v>
      </c>
    </row>
    <row r="1339" spans="3:6" x14ac:dyDescent="0.25">
      <c r="C1339" s="2" t="s">
        <v>11934</v>
      </c>
      <c r="D1339" s="2" t="s">
        <v>136</v>
      </c>
      <c r="E1339" s="2">
        <v>28</v>
      </c>
      <c r="F1339" s="2">
        <v>513.599</v>
      </c>
    </row>
    <row r="1341" spans="3:6" x14ac:dyDescent="0.25">
      <c r="C1341" s="2" t="s">
        <v>11935</v>
      </c>
      <c r="D1341" s="2" t="s">
        <v>136</v>
      </c>
      <c r="E1341" s="2">
        <v>156</v>
      </c>
      <c r="F1341" s="2">
        <v>3034.2</v>
      </c>
    </row>
    <row r="1343" spans="3:6" x14ac:dyDescent="0.25">
      <c r="C1343" s="2" t="s">
        <v>11936</v>
      </c>
      <c r="D1343" s="2" t="s">
        <v>136</v>
      </c>
      <c r="E1343" s="2">
        <v>104</v>
      </c>
      <c r="F1343" s="2">
        <v>1921.14</v>
      </c>
    </row>
    <row r="1344" spans="3:6" x14ac:dyDescent="0.25">
      <c r="C1344" s="2" t="s">
        <v>11937</v>
      </c>
      <c r="D1344" s="2" t="s">
        <v>30</v>
      </c>
      <c r="E1344" s="2">
        <v>36</v>
      </c>
      <c r="F1344" s="2">
        <v>734.78</v>
      </c>
    </row>
    <row r="1345" spans="3:6" x14ac:dyDescent="0.25">
      <c r="C1345" s="2" t="s">
        <v>11938</v>
      </c>
      <c r="D1345" s="2" t="s">
        <v>30</v>
      </c>
      <c r="E1345" s="2">
        <v>33</v>
      </c>
      <c r="F1345" s="2">
        <v>569.42</v>
      </c>
    </row>
    <row r="1346" spans="3:6" x14ac:dyDescent="0.25">
      <c r="C1346" s="2" t="s">
        <v>11939</v>
      </c>
      <c r="D1346" s="2" t="s">
        <v>30</v>
      </c>
      <c r="E1346" s="2">
        <v>63</v>
      </c>
      <c r="F1346" s="2">
        <v>1219.65</v>
      </c>
    </row>
    <row r="1347" spans="3:6" x14ac:dyDescent="0.25">
      <c r="C1347" s="2" t="s">
        <v>11940</v>
      </c>
      <c r="D1347" s="2" t="s">
        <v>42</v>
      </c>
      <c r="E1347" s="2">
        <v>9</v>
      </c>
      <c r="F1347" s="2">
        <v>112</v>
      </c>
    </row>
    <row r="1348" spans="3:6" x14ac:dyDescent="0.25">
      <c r="C1348" s="2" t="s">
        <v>11941</v>
      </c>
      <c r="D1348" s="2" t="s">
        <v>42</v>
      </c>
      <c r="E1348" s="2">
        <v>100</v>
      </c>
      <c r="F1348" s="2">
        <v>1943.144</v>
      </c>
    </row>
    <row r="1349" spans="3:6" x14ac:dyDescent="0.25">
      <c r="C1349" s="2" t="s">
        <v>11942</v>
      </c>
      <c r="D1349" s="2" t="s">
        <v>42</v>
      </c>
      <c r="E1349" s="2">
        <v>31</v>
      </c>
      <c r="F1349" s="2">
        <v>624.844</v>
      </c>
    </row>
    <row r="1350" spans="3:6" x14ac:dyDescent="0.25">
      <c r="C1350" s="2" t="s">
        <v>11943</v>
      </c>
      <c r="D1350" s="2" t="s">
        <v>42</v>
      </c>
      <c r="E1350" s="2">
        <v>17</v>
      </c>
      <c r="F1350" s="2">
        <v>302.73</v>
      </c>
    </row>
    <row r="1351" spans="3:6" x14ac:dyDescent="0.25">
      <c r="C1351" s="2" t="s">
        <v>11944</v>
      </c>
      <c r="D1351" s="2" t="s">
        <v>15</v>
      </c>
      <c r="E1351" s="2">
        <v>156</v>
      </c>
      <c r="F1351" s="2">
        <v>3150.51</v>
      </c>
    </row>
    <row r="1352" spans="3:6" x14ac:dyDescent="0.25">
      <c r="C1352" s="2" t="s">
        <v>11945</v>
      </c>
      <c r="D1352" s="2" t="s">
        <v>136</v>
      </c>
      <c r="E1352" s="2">
        <v>52</v>
      </c>
      <c r="F1352" s="2">
        <v>936.57</v>
      </c>
    </row>
    <row r="1353" spans="3:6" x14ac:dyDescent="0.25">
      <c r="C1353" s="2" t="s">
        <v>11946</v>
      </c>
      <c r="D1353" s="2" t="s">
        <v>15</v>
      </c>
      <c r="E1353" s="2">
        <v>163</v>
      </c>
      <c r="F1353" s="2">
        <v>3171.729</v>
      </c>
    </row>
    <row r="1354" spans="3:6" x14ac:dyDescent="0.25">
      <c r="C1354" s="2" t="s">
        <v>11947</v>
      </c>
      <c r="D1354" s="2" t="s">
        <v>36</v>
      </c>
      <c r="E1354" s="2">
        <v>36</v>
      </c>
      <c r="F1354" s="2">
        <v>617.71</v>
      </c>
    </row>
    <row r="1355" spans="3:6" x14ac:dyDescent="0.25">
      <c r="C1355" s="2" t="s">
        <v>11948</v>
      </c>
      <c r="D1355" s="2" t="s">
        <v>36</v>
      </c>
      <c r="E1355" s="2">
        <v>60</v>
      </c>
      <c r="F1355" s="2">
        <v>1096.47</v>
      </c>
    </row>
    <row r="1356" spans="3:6" x14ac:dyDescent="0.25">
      <c r="C1356" s="2" t="s">
        <v>11949</v>
      </c>
      <c r="D1356" s="2" t="s">
        <v>36</v>
      </c>
      <c r="E1356" s="2">
        <v>60</v>
      </c>
      <c r="F1356" s="2">
        <v>1157.42</v>
      </c>
    </row>
    <row r="1357" spans="3:6" x14ac:dyDescent="0.25">
      <c r="C1357" s="2" t="s">
        <v>11950</v>
      </c>
      <c r="D1357" s="2" t="s">
        <v>15</v>
      </c>
      <c r="E1357" s="2">
        <v>163</v>
      </c>
      <c r="F1357" s="2">
        <v>3014.078</v>
      </c>
    </row>
    <row r="1358" spans="3:6" x14ac:dyDescent="0.25">
      <c r="C1358" s="2" t="s">
        <v>11951</v>
      </c>
      <c r="D1358" s="2" t="s">
        <v>30</v>
      </c>
      <c r="E1358" s="2">
        <v>134</v>
      </c>
      <c r="F1358" s="2">
        <v>2665.749</v>
      </c>
    </row>
    <row r="1359" spans="3:6" x14ac:dyDescent="0.25">
      <c r="C1359" s="2" t="s">
        <v>11952</v>
      </c>
      <c r="D1359" s="2" t="s">
        <v>30</v>
      </c>
      <c r="E1359" s="2">
        <v>134</v>
      </c>
      <c r="F1359" s="2">
        <v>2696.44</v>
      </c>
    </row>
    <row r="1360" spans="3:6" x14ac:dyDescent="0.25">
      <c r="C1360" s="2" t="s">
        <v>11953</v>
      </c>
      <c r="D1360" s="2" t="s">
        <v>30</v>
      </c>
      <c r="E1360" s="2">
        <v>134</v>
      </c>
      <c r="F1360" s="2">
        <v>2676.878</v>
      </c>
    </row>
    <row r="1361" spans="3:6" x14ac:dyDescent="0.25">
      <c r="C1361" s="2" t="s">
        <v>11954</v>
      </c>
      <c r="D1361" s="2" t="s">
        <v>30</v>
      </c>
      <c r="E1361" s="2">
        <v>134</v>
      </c>
      <c r="F1361" s="2">
        <v>2725.92</v>
      </c>
    </row>
    <row r="1362" spans="3:6" x14ac:dyDescent="0.25">
      <c r="C1362" s="2" t="s">
        <v>11955</v>
      </c>
      <c r="D1362" s="2" t="s">
        <v>30</v>
      </c>
      <c r="E1362" s="2">
        <v>134</v>
      </c>
      <c r="F1362" s="2">
        <v>2715.6</v>
      </c>
    </row>
    <row r="1363" spans="3:6" x14ac:dyDescent="0.25">
      <c r="C1363" s="2" t="s">
        <v>11956</v>
      </c>
      <c r="D1363" s="2" t="s">
        <v>30</v>
      </c>
      <c r="E1363" s="2">
        <v>134</v>
      </c>
      <c r="F1363" s="2">
        <v>2687.06</v>
      </c>
    </row>
    <row r="1364" spans="3:6" x14ac:dyDescent="0.25">
      <c r="C1364" s="2" t="s">
        <v>11957</v>
      </c>
      <c r="D1364" s="2" t="s">
        <v>36</v>
      </c>
      <c r="E1364" s="2">
        <v>66</v>
      </c>
      <c r="F1364" s="2">
        <v>1258.18</v>
      </c>
    </row>
    <row r="1365" spans="3:6" x14ac:dyDescent="0.25">
      <c r="C1365" s="2" t="s">
        <v>11958</v>
      </c>
      <c r="D1365" s="2" t="s">
        <v>36</v>
      </c>
      <c r="E1365" s="2">
        <v>80</v>
      </c>
      <c r="F1365" s="2">
        <v>1527.61</v>
      </c>
    </row>
    <row r="1366" spans="3:6" x14ac:dyDescent="0.25">
      <c r="C1366" s="2" t="s">
        <v>11959</v>
      </c>
      <c r="D1366" s="2" t="s">
        <v>15</v>
      </c>
      <c r="E1366" s="2">
        <v>116</v>
      </c>
      <c r="F1366" s="2">
        <v>2155.57</v>
      </c>
    </row>
    <row r="1367" spans="3:6" x14ac:dyDescent="0.25">
      <c r="C1367" s="2" t="s">
        <v>11960</v>
      </c>
      <c r="D1367" s="2" t="s">
        <v>15</v>
      </c>
      <c r="E1367" s="2">
        <v>163</v>
      </c>
      <c r="F1367" s="2">
        <v>3048.829</v>
      </c>
    </row>
    <row r="1368" spans="3:6" x14ac:dyDescent="0.25">
      <c r="C1368" s="2" t="s">
        <v>11961</v>
      </c>
      <c r="D1368" s="2" t="s">
        <v>15</v>
      </c>
      <c r="E1368" s="2">
        <v>163</v>
      </c>
      <c r="F1368" s="2">
        <v>3102.98</v>
      </c>
    </row>
    <row r="1369" spans="3:6" x14ac:dyDescent="0.25">
      <c r="C1369" s="2" t="s">
        <v>11962</v>
      </c>
      <c r="D1369" s="2" t="s">
        <v>15</v>
      </c>
      <c r="E1369" s="2">
        <v>47</v>
      </c>
      <c r="F1369" s="2">
        <v>901</v>
      </c>
    </row>
    <row r="1370" spans="3:6" x14ac:dyDescent="0.25">
      <c r="C1370" s="2" t="s">
        <v>11963</v>
      </c>
      <c r="D1370" s="2" t="s">
        <v>15</v>
      </c>
      <c r="E1370" s="2">
        <v>66</v>
      </c>
      <c r="F1370" s="2">
        <v>792</v>
      </c>
    </row>
    <row r="1371" spans="3:6" x14ac:dyDescent="0.25">
      <c r="C1371" s="2" t="s">
        <v>11964</v>
      </c>
      <c r="D1371" s="2" t="s">
        <v>15</v>
      </c>
      <c r="E1371" s="2">
        <v>73</v>
      </c>
      <c r="F1371" s="2">
        <v>884</v>
      </c>
    </row>
    <row r="1372" spans="3:6" x14ac:dyDescent="0.25">
      <c r="C1372" s="2" t="s">
        <v>11965</v>
      </c>
      <c r="D1372" s="2" t="s">
        <v>15</v>
      </c>
      <c r="E1372" s="2">
        <v>74</v>
      </c>
      <c r="F1372" s="2">
        <v>846</v>
      </c>
    </row>
    <row r="1373" spans="3:6" x14ac:dyDescent="0.25">
      <c r="C1373" s="2" t="s">
        <v>11966</v>
      </c>
      <c r="D1373" s="2" t="s">
        <v>15</v>
      </c>
      <c r="E1373" s="2">
        <v>79</v>
      </c>
      <c r="F1373" s="2">
        <v>834</v>
      </c>
    </row>
    <row r="1374" spans="3:6" x14ac:dyDescent="0.25">
      <c r="C1374" s="2" t="s">
        <v>11967</v>
      </c>
      <c r="D1374" s="2" t="s">
        <v>36</v>
      </c>
      <c r="E1374" s="2">
        <v>10</v>
      </c>
      <c r="F1374" s="2">
        <v>212</v>
      </c>
    </row>
    <row r="1376" spans="1:7" x14ac:dyDescent="0.25">
      <c r="A1376" s="1">
        <v>46125</v>
      </c>
      <c r="B1376" s="2" t="s">
        <v>347</v>
      </c>
      <c r="C1376" s="2" t="s">
        <v>11968</v>
      </c>
      <c r="D1376" s="2" t="s">
        <v>59</v>
      </c>
      <c r="E1376" s="2">
        <v>255</v>
      </c>
      <c r="F1376" s="2">
        <v>4884.929</v>
      </c>
      <c r="G1376" s="1">
        <v>46123</v>
      </c>
    </row>
    <row r="1377" spans="3:6" x14ac:dyDescent="0.25">
      <c r="C1377" s="2" t="s">
        <v>11969</v>
      </c>
      <c r="D1377" s="2" t="s">
        <v>59</v>
      </c>
      <c r="E1377" s="2">
        <v>160</v>
      </c>
      <c r="F1377" s="2">
        <v>2944.431</v>
      </c>
    </row>
    <row r="1378" spans="3:6" x14ac:dyDescent="0.25">
      <c r="C1378" s="2" t="s">
        <v>11970</v>
      </c>
      <c r="D1378" s="2" t="s">
        <v>59</v>
      </c>
      <c r="E1378" s="2">
        <v>320</v>
      </c>
      <c r="F1378" s="2">
        <v>6588.029</v>
      </c>
    </row>
    <row r="1379" spans="3:6" x14ac:dyDescent="0.25">
      <c r="C1379" s="2" t="s">
        <v>11971</v>
      </c>
      <c r="D1379" s="2" t="s">
        <v>59</v>
      </c>
      <c r="E1379" s="2">
        <v>165</v>
      </c>
      <c r="F1379" s="2">
        <v>3026.14</v>
      </c>
    </row>
    <row r="1380" spans="3:6" x14ac:dyDescent="0.25">
      <c r="C1380" s="2" t="s">
        <v>11972</v>
      </c>
      <c r="D1380" s="2" t="s">
        <v>59</v>
      </c>
      <c r="E1380" s="2">
        <v>155</v>
      </c>
      <c r="F1380" s="2">
        <v>2918.529</v>
      </c>
    </row>
    <row r="1381" spans="3:6" x14ac:dyDescent="0.25">
      <c r="C1381" s="2" t="s">
        <v>11973</v>
      </c>
      <c r="D1381" s="2" t="s">
        <v>59</v>
      </c>
      <c r="E1381" s="2">
        <v>240</v>
      </c>
      <c r="F1381" s="2">
        <v>4998.719</v>
      </c>
    </row>
    <row r="1382" spans="3:6" x14ac:dyDescent="0.25">
      <c r="C1382" s="2" t="s">
        <v>11974</v>
      </c>
      <c r="D1382" s="2" t="s">
        <v>59</v>
      </c>
      <c r="E1382" s="2">
        <v>240</v>
      </c>
      <c r="F1382" s="2">
        <v>4455.338</v>
      </c>
    </row>
    <row r="1383" spans="3:6" x14ac:dyDescent="0.25">
      <c r="C1383" s="2" t="s">
        <v>11975</v>
      </c>
      <c r="D1383" s="2" t="s">
        <v>59</v>
      </c>
      <c r="E1383" s="2">
        <v>240</v>
      </c>
      <c r="F1383" s="2">
        <v>4318.779</v>
      </c>
    </row>
    <row r="1384" spans="3:6" x14ac:dyDescent="0.25">
      <c r="C1384" s="2" t="s">
        <v>11976</v>
      </c>
      <c r="D1384" s="2" t="s">
        <v>59</v>
      </c>
      <c r="E1384" s="2">
        <v>260</v>
      </c>
      <c r="F1384" s="2">
        <v>4912.12</v>
      </c>
    </row>
    <row r="1385" spans="3:6" x14ac:dyDescent="0.25">
      <c r="C1385" s="2" t="s">
        <v>11977</v>
      </c>
      <c r="D1385" s="2" t="s">
        <v>59</v>
      </c>
      <c r="E1385" s="2">
        <v>345</v>
      </c>
      <c r="F1385" s="2">
        <v>6719.34</v>
      </c>
    </row>
    <row r="1386" spans="3:6" x14ac:dyDescent="0.25">
      <c r="C1386" s="2" t="s">
        <v>11978</v>
      </c>
      <c r="D1386" s="2" t="s">
        <v>59</v>
      </c>
      <c r="E1386" s="2">
        <v>195</v>
      </c>
      <c r="F1386" s="2">
        <v>3646.13</v>
      </c>
    </row>
    <row r="1387" spans="3:6" x14ac:dyDescent="0.25">
      <c r="C1387" s="2" t="s">
        <v>11979</v>
      </c>
      <c r="D1387" s="2" t="s">
        <v>59</v>
      </c>
      <c r="E1387" s="2">
        <v>195</v>
      </c>
      <c r="F1387" s="2">
        <v>3741.699</v>
      </c>
    </row>
    <row r="1388" spans="3:6" x14ac:dyDescent="0.25">
      <c r="C1388" s="2" t="s">
        <v>11980</v>
      </c>
      <c r="D1388" s="2" t="s">
        <v>59</v>
      </c>
      <c r="E1388" s="2">
        <v>247</v>
      </c>
      <c r="F1388" s="2">
        <v>5815.826</v>
      </c>
    </row>
    <row r="1389" spans="3:6" x14ac:dyDescent="0.25">
      <c r="C1389" s="2" t="s">
        <v>11981</v>
      </c>
      <c r="D1389" s="2" t="s">
        <v>59</v>
      </c>
      <c r="E1389" s="2">
        <v>220</v>
      </c>
      <c r="F1389" s="2">
        <v>3991.238</v>
      </c>
    </row>
    <row r="1390" spans="3:6" x14ac:dyDescent="0.25">
      <c r="C1390" s="2" t="s">
        <v>11982</v>
      </c>
      <c r="D1390" s="2" t="s">
        <v>59</v>
      </c>
      <c r="E1390" s="2">
        <v>220</v>
      </c>
      <c r="F1390" s="2">
        <v>4254.139</v>
      </c>
    </row>
    <row r="1391" spans="3:6" x14ac:dyDescent="0.25">
      <c r="C1391" s="2" t="s">
        <v>11983</v>
      </c>
      <c r="D1391" s="2" t="s">
        <v>59</v>
      </c>
      <c r="E1391" s="2">
        <v>220</v>
      </c>
      <c r="F1391" s="2">
        <v>4048.628</v>
      </c>
    </row>
    <row r="1392" spans="3:6" x14ac:dyDescent="0.25">
      <c r="C1392" s="2" t="s">
        <v>11984</v>
      </c>
      <c r="D1392" s="2" t="s">
        <v>59</v>
      </c>
      <c r="E1392" s="2">
        <v>298</v>
      </c>
      <c r="F1392" s="2">
        <v>5485.049</v>
      </c>
    </row>
    <row r="1393" spans="3:6" x14ac:dyDescent="0.25">
      <c r="C1393" s="2" t="s">
        <v>11985</v>
      </c>
      <c r="D1393" s="2" t="s">
        <v>59</v>
      </c>
      <c r="E1393" s="2">
        <v>298</v>
      </c>
      <c r="F1393" s="2">
        <v>5373.807</v>
      </c>
    </row>
    <row r="1394" spans="3:6" x14ac:dyDescent="0.25">
      <c r="C1394" s="2" t="s">
        <v>11986</v>
      </c>
      <c r="D1394" s="2" t="s">
        <v>59</v>
      </c>
      <c r="E1394" s="2">
        <v>298</v>
      </c>
      <c r="F1394" s="2">
        <v>5483.349</v>
      </c>
    </row>
    <row r="1396" spans="1:7" x14ac:dyDescent="0.25">
      <c r="A1396" s="1">
        <v>46126</v>
      </c>
      <c r="B1396" s="2" t="s">
        <v>1012</v>
      </c>
      <c r="C1396" s="2" t="s">
        <v>11987</v>
      </c>
      <c r="D1396" s="2" t="s">
        <v>73</v>
      </c>
      <c r="E1396" s="2">
        <v>80</v>
      </c>
      <c r="F1396" s="2">
        <v>1475.06</v>
      </c>
      <c r="G1396" s="1">
        <v>46125</v>
      </c>
    </row>
    <row r="1397" spans="3:6" x14ac:dyDescent="0.25">
      <c r="C1397" s="2" t="s">
        <v>11988</v>
      </c>
      <c r="D1397" s="2" t="s">
        <v>73</v>
      </c>
      <c r="E1397" s="2">
        <v>21</v>
      </c>
      <c r="F1397" s="2">
        <v>368.82</v>
      </c>
    </row>
    <row r="1398" spans="3:6" x14ac:dyDescent="0.25">
      <c r="C1398" s="2" t="s">
        <v>11989</v>
      </c>
      <c r="D1398" s="2" t="s">
        <v>73</v>
      </c>
      <c r="E1398" s="2">
        <v>101</v>
      </c>
      <c r="F1398" s="2">
        <v>1997.33</v>
      </c>
    </row>
    <row r="1399" spans="3:6" x14ac:dyDescent="0.25">
      <c r="C1399" s="2" t="s">
        <v>11990</v>
      </c>
      <c r="D1399" s="2" t="s">
        <v>73</v>
      </c>
      <c r="E1399" s="2">
        <v>101</v>
      </c>
      <c r="F1399" s="2">
        <v>2006.61</v>
      </c>
    </row>
    <row r="1400" spans="3:6" x14ac:dyDescent="0.25">
      <c r="C1400" s="2" t="s">
        <v>11991</v>
      </c>
      <c r="D1400" s="2" t="s">
        <v>73</v>
      </c>
      <c r="E1400" s="2">
        <v>92</v>
      </c>
      <c r="F1400" s="2">
        <v>1773.689</v>
      </c>
    </row>
    <row r="1401" spans="3:6" x14ac:dyDescent="0.25">
      <c r="C1401" s="2" t="s">
        <v>11992</v>
      </c>
      <c r="D1401" s="2" t="s">
        <v>73</v>
      </c>
      <c r="E1401" s="2">
        <v>16</v>
      </c>
      <c r="F1401" s="2">
        <v>255.33</v>
      </c>
    </row>
    <row r="1402" spans="3:6" x14ac:dyDescent="0.25">
      <c r="C1402" s="2" t="s">
        <v>11993</v>
      </c>
      <c r="D1402" s="2" t="s">
        <v>73</v>
      </c>
      <c r="E1402" s="2">
        <v>11</v>
      </c>
      <c r="F1402" s="2">
        <v>183.36</v>
      </c>
    </row>
    <row r="1403" spans="3:6" x14ac:dyDescent="0.25">
      <c r="C1403" s="2" t="s">
        <v>11994</v>
      </c>
      <c r="D1403" s="2" t="s">
        <v>73</v>
      </c>
      <c r="E1403" s="2">
        <v>8</v>
      </c>
      <c r="F1403" s="2">
        <v>149.4</v>
      </c>
    </row>
    <row r="1405" spans="1:7" x14ac:dyDescent="0.25">
      <c r="A1405" s="1">
        <v>46126</v>
      </c>
      <c r="B1405" s="2" t="s">
        <v>7</v>
      </c>
      <c r="C1405" s="2" t="s">
        <v>11995</v>
      </c>
      <c r="D1405" s="2" t="s">
        <v>9</v>
      </c>
      <c r="E1405" s="2">
        <v>93</v>
      </c>
      <c r="F1405" s="2">
        <v>1740.353</v>
      </c>
      <c r="G1405" s="1">
        <v>46125</v>
      </c>
    </row>
    <row r="1406" spans="3:6" x14ac:dyDescent="0.25">
      <c r="C1406" s="2" t="s">
        <v>11996</v>
      </c>
      <c r="D1406" s="2" t="s">
        <v>9</v>
      </c>
      <c r="E1406" s="2">
        <v>94</v>
      </c>
      <c r="F1406" s="2">
        <v>1797.397</v>
      </c>
    </row>
    <row r="1408" spans="1:7" x14ac:dyDescent="0.25">
      <c r="A1408" s="1">
        <v>46126</v>
      </c>
      <c r="B1408" s="2" t="s">
        <v>11997</v>
      </c>
      <c r="C1408" s="2" t="s">
        <v>11998</v>
      </c>
      <c r="D1408" s="2" t="s">
        <v>136</v>
      </c>
      <c r="E1408" s="2">
        <v>139</v>
      </c>
      <c r="F1408" s="2">
        <v>2786.94</v>
      </c>
      <c r="G1408" s="1">
        <v>46125</v>
      </c>
    </row>
    <row r="1409" spans="3:6" x14ac:dyDescent="0.25">
      <c r="C1409" s="2" t="s">
        <v>11999</v>
      </c>
      <c r="D1409" s="2" t="s">
        <v>136</v>
      </c>
      <c r="E1409" s="2">
        <v>139</v>
      </c>
      <c r="F1409" s="2">
        <v>2738.3</v>
      </c>
    </row>
    <row r="1411" spans="1:7" x14ac:dyDescent="0.25">
      <c r="A1411" s="1">
        <v>46126</v>
      </c>
      <c r="B1411" s="2" t="s">
        <v>361</v>
      </c>
      <c r="C1411" s="2" t="s">
        <v>12000</v>
      </c>
      <c r="D1411" s="2" t="s">
        <v>70</v>
      </c>
      <c r="E1411" s="2">
        <v>154</v>
      </c>
      <c r="F1411" s="2">
        <v>2851.428</v>
      </c>
      <c r="G1411" s="1">
        <v>46124</v>
      </c>
    </row>
    <row r="1413" spans="1:7" x14ac:dyDescent="0.25">
      <c r="A1413" s="1">
        <v>46126</v>
      </c>
      <c r="B1413" s="2" t="s">
        <v>11412</v>
      </c>
      <c r="C1413" s="2" t="s">
        <v>12001</v>
      </c>
      <c r="D1413" s="2" t="s">
        <v>4096</v>
      </c>
      <c r="E1413" s="2">
        <v>141</v>
      </c>
      <c r="F1413" s="2">
        <v>3011.21</v>
      </c>
      <c r="G1413" s="1">
        <v>46126</v>
      </c>
    </row>
    <row r="1414" spans="3:6" x14ac:dyDescent="0.25">
      <c r="C1414" s="2" t="s">
        <v>12002</v>
      </c>
      <c r="D1414" s="2" t="s">
        <v>4096</v>
      </c>
      <c r="E1414" s="2">
        <v>55</v>
      </c>
      <c r="F1414" s="2">
        <v>1152.16</v>
      </c>
    </row>
    <row r="1415" spans="3:6" x14ac:dyDescent="0.25">
      <c r="C1415" s="2" t="s">
        <v>12003</v>
      </c>
      <c r="D1415" s="2" t="s">
        <v>4096</v>
      </c>
      <c r="E1415" s="2">
        <v>86</v>
      </c>
      <c r="F1415" s="2">
        <v>1826.9</v>
      </c>
    </row>
    <row r="1416" spans="3:6" x14ac:dyDescent="0.25">
      <c r="C1416" s="2" t="s">
        <v>12004</v>
      </c>
      <c r="D1416" s="2" t="s">
        <v>4096</v>
      </c>
      <c r="E1416" s="2">
        <v>141</v>
      </c>
      <c r="F1416" s="2">
        <v>2863.8</v>
      </c>
    </row>
    <row r="1417" spans="3:6" x14ac:dyDescent="0.25">
      <c r="C1417" s="2" t="s">
        <v>12005</v>
      </c>
      <c r="D1417" s="2" t="s">
        <v>4096</v>
      </c>
      <c r="E1417" s="2">
        <v>38</v>
      </c>
      <c r="F1417" s="2">
        <v>838.67</v>
      </c>
    </row>
    <row r="1418" spans="3:6" x14ac:dyDescent="0.25">
      <c r="C1418" s="2" t="s">
        <v>12006</v>
      </c>
      <c r="D1418" s="2" t="s">
        <v>4096</v>
      </c>
      <c r="E1418" s="2">
        <v>48</v>
      </c>
      <c r="F1418" s="2">
        <v>997.47</v>
      </c>
    </row>
    <row r="1419" spans="3:6" x14ac:dyDescent="0.25">
      <c r="C1419" s="2" t="s">
        <v>12007</v>
      </c>
      <c r="D1419" s="2" t="s">
        <v>4096</v>
      </c>
      <c r="E1419" s="2">
        <v>55</v>
      </c>
      <c r="F1419" s="2">
        <v>1145.16</v>
      </c>
    </row>
    <row r="1420" spans="3:6" x14ac:dyDescent="0.25">
      <c r="C1420" s="2" t="s">
        <v>12008</v>
      </c>
      <c r="D1420" s="2" t="s">
        <v>4096</v>
      </c>
      <c r="E1420" s="2">
        <v>41</v>
      </c>
      <c r="F1420" s="2">
        <v>875.62</v>
      </c>
    </row>
    <row r="1421" spans="3:6" x14ac:dyDescent="0.25">
      <c r="C1421" s="2" t="s">
        <v>12009</v>
      </c>
      <c r="D1421" s="2" t="s">
        <v>4096</v>
      </c>
      <c r="E1421" s="2">
        <v>100</v>
      </c>
      <c r="F1421" s="2">
        <v>2075.32</v>
      </c>
    </row>
    <row r="1423" spans="1:7" x14ac:dyDescent="0.25">
      <c r="A1423" s="1">
        <v>46127</v>
      </c>
      <c r="B1423" s="2" t="s">
        <v>7</v>
      </c>
      <c r="C1423" s="2" t="s">
        <v>12010</v>
      </c>
      <c r="D1423" s="2" t="s">
        <v>9</v>
      </c>
      <c r="E1423" s="2">
        <v>85</v>
      </c>
      <c r="F1423" s="2">
        <v>1774.76</v>
      </c>
      <c r="G1423" s="1">
        <v>46126</v>
      </c>
    </row>
    <row r="1424" spans="3:6" x14ac:dyDescent="0.25">
      <c r="C1424" s="2" t="s">
        <v>12011</v>
      </c>
      <c r="D1424" s="2" t="s">
        <v>9</v>
      </c>
      <c r="E1424" s="2">
        <v>81</v>
      </c>
      <c r="F1424" s="2">
        <v>1615.429</v>
      </c>
    </row>
    <row r="1426" spans="1:7" x14ac:dyDescent="0.25">
      <c r="A1426" s="1">
        <v>46127</v>
      </c>
      <c r="B1426" s="2" t="s">
        <v>3948</v>
      </c>
      <c r="C1426" s="2" t="s">
        <v>12012</v>
      </c>
      <c r="D1426" s="2" t="s">
        <v>178</v>
      </c>
      <c r="E1426" s="2">
        <v>278</v>
      </c>
      <c r="F1426" s="2">
        <v>5799.4</v>
      </c>
      <c r="G1426" s="1">
        <v>46126</v>
      </c>
    </row>
    <row r="1427" spans="3:6" x14ac:dyDescent="0.25">
      <c r="C1427" s="2" t="s">
        <v>12013</v>
      </c>
      <c r="D1427" s="2" t="s">
        <v>178</v>
      </c>
      <c r="E1427" s="2" t="s">
        <v>4167</v>
      </c>
      <c r="F1427" s="2" t="s">
        <v>4167</v>
      </c>
    </row>
    <row r="1428" spans="3:6" x14ac:dyDescent="0.25">
      <c r="C1428" s="2" t="s">
        <v>11824</v>
      </c>
      <c r="D1428" s="2" t="s">
        <v>178</v>
      </c>
      <c r="E1428" s="2" t="s">
        <v>4167</v>
      </c>
      <c r="F1428" s="2" t="s">
        <v>4167</v>
      </c>
    </row>
    <row r="1429" spans="3:6" x14ac:dyDescent="0.25">
      <c r="C1429" s="2" t="s">
        <v>11825</v>
      </c>
      <c r="D1429" s="2" t="s">
        <v>178</v>
      </c>
      <c r="E1429" s="2" t="s">
        <v>4167</v>
      </c>
      <c r="F1429" s="2" t="s">
        <v>4167</v>
      </c>
    </row>
    <row r="1430" spans="3:6" x14ac:dyDescent="0.25">
      <c r="C1430" s="2" t="s">
        <v>11808</v>
      </c>
      <c r="D1430" s="2" t="s">
        <v>178</v>
      </c>
      <c r="E1430" s="2" t="s">
        <v>4167</v>
      </c>
      <c r="F1430" s="2" t="s">
        <v>4167</v>
      </c>
    </row>
    <row r="1431" spans="3:6" x14ac:dyDescent="0.25">
      <c r="C1431" s="2" t="s">
        <v>11809</v>
      </c>
      <c r="D1431" s="2" t="s">
        <v>178</v>
      </c>
      <c r="E1431" s="2" t="s">
        <v>4167</v>
      </c>
      <c r="F1431" s="2" t="s">
        <v>4167</v>
      </c>
    </row>
    <row r="1432" spans="3:6" x14ac:dyDescent="0.25">
      <c r="C1432" s="2" t="s">
        <v>12014</v>
      </c>
      <c r="D1432" s="2" t="s">
        <v>178</v>
      </c>
      <c r="E1432" s="2">
        <v>306</v>
      </c>
      <c r="F1432" s="2">
        <v>6235.729</v>
      </c>
    </row>
    <row r="1433" spans="3:6" x14ac:dyDescent="0.25">
      <c r="C1433" s="2" t="s">
        <v>12015</v>
      </c>
      <c r="D1433" s="2" t="s">
        <v>178</v>
      </c>
      <c r="E1433" s="2">
        <v>103</v>
      </c>
      <c r="F1433" s="2">
        <v>2028.95</v>
      </c>
    </row>
    <row r="1434" spans="3:6" x14ac:dyDescent="0.25">
      <c r="C1434" s="2" t="s">
        <v>12016</v>
      </c>
      <c r="D1434" s="2" t="s">
        <v>178</v>
      </c>
      <c r="E1434" s="2">
        <v>123</v>
      </c>
      <c r="F1434" s="2">
        <v>2594.29</v>
      </c>
    </row>
    <row r="1435" spans="3:6" x14ac:dyDescent="0.25">
      <c r="C1435" s="2" t="s">
        <v>12017</v>
      </c>
      <c r="D1435" s="2" t="s">
        <v>178</v>
      </c>
      <c r="E1435" s="2">
        <v>204</v>
      </c>
      <c r="F1435" s="2">
        <v>4286.81</v>
      </c>
    </row>
    <row r="1436" spans="3:6" x14ac:dyDescent="0.25">
      <c r="C1436" s="2" t="s">
        <v>12018</v>
      </c>
      <c r="D1436" s="2" t="s">
        <v>178</v>
      </c>
      <c r="E1436" s="2">
        <v>80</v>
      </c>
      <c r="F1436" s="2">
        <v>340.089</v>
      </c>
    </row>
    <row r="1437" spans="3:6" x14ac:dyDescent="0.25">
      <c r="C1437" s="2" t="s">
        <v>12019</v>
      </c>
      <c r="D1437" s="2" t="s">
        <v>178</v>
      </c>
      <c r="E1437" s="2">
        <v>282</v>
      </c>
      <c r="F1437" s="2">
        <v>5953.32</v>
      </c>
    </row>
    <row r="1438" spans="3:6" x14ac:dyDescent="0.25">
      <c r="C1438" s="2" t="s">
        <v>12020</v>
      </c>
      <c r="D1438" s="2" t="s">
        <v>178</v>
      </c>
      <c r="E1438" s="2">
        <v>246</v>
      </c>
      <c r="F1438" s="2">
        <v>5070.75</v>
      </c>
    </row>
    <row r="1439" spans="3:6" x14ac:dyDescent="0.25">
      <c r="C1439" s="2" t="s">
        <v>12021</v>
      </c>
      <c r="D1439" s="2" t="s">
        <v>178</v>
      </c>
      <c r="E1439" s="2">
        <v>36</v>
      </c>
      <c r="F1439" s="2">
        <v>746.75</v>
      </c>
    </row>
    <row r="1440" spans="3:6" x14ac:dyDescent="0.25">
      <c r="C1440" s="2" t="s">
        <v>12022</v>
      </c>
      <c r="D1440" s="2" t="s">
        <v>178</v>
      </c>
      <c r="E1440" s="2">
        <v>87</v>
      </c>
      <c r="F1440" s="2">
        <v>1830.35</v>
      </c>
    </row>
    <row r="1441" spans="3:6" x14ac:dyDescent="0.25">
      <c r="C1441" s="2" t="s">
        <v>12023</v>
      </c>
      <c r="D1441" s="2" t="s">
        <v>178</v>
      </c>
      <c r="E1441" s="2">
        <v>75</v>
      </c>
      <c r="F1441" s="2">
        <v>1336.168</v>
      </c>
    </row>
    <row r="1442" spans="3:6" x14ac:dyDescent="0.25">
      <c r="C1442" s="2" t="s">
        <v>12024</v>
      </c>
      <c r="D1442" s="2" t="s">
        <v>178</v>
      </c>
      <c r="E1442" s="2">
        <v>141</v>
      </c>
      <c r="F1442" s="2">
        <v>2912.597</v>
      </c>
    </row>
    <row r="1443" spans="3:6" x14ac:dyDescent="0.25">
      <c r="C1443" s="2" t="s">
        <v>12025</v>
      </c>
      <c r="D1443" s="2" t="s">
        <v>178</v>
      </c>
      <c r="E1443" s="2">
        <v>71</v>
      </c>
      <c r="F1443" s="2">
        <v>1358.84</v>
      </c>
    </row>
    <row r="1444" spans="3:6" x14ac:dyDescent="0.25">
      <c r="C1444" s="2" t="s">
        <v>12026</v>
      </c>
      <c r="D1444" s="2" t="s">
        <v>178</v>
      </c>
      <c r="E1444" s="2">
        <v>70</v>
      </c>
      <c r="F1444" s="2">
        <v>1308.85</v>
      </c>
    </row>
    <row r="1445" spans="3:6" x14ac:dyDescent="0.25">
      <c r="C1445" s="2" t="s">
        <v>12027</v>
      </c>
      <c r="D1445" s="2" t="s">
        <v>178</v>
      </c>
      <c r="E1445" s="2">
        <v>108</v>
      </c>
      <c r="F1445" s="2">
        <v>2097.999</v>
      </c>
    </row>
    <row r="1446" spans="3:6" x14ac:dyDescent="0.25">
      <c r="C1446" s="2" t="s">
        <v>12028</v>
      </c>
      <c r="D1446" s="2" t="s">
        <v>178</v>
      </c>
      <c r="E1446" s="2">
        <v>26</v>
      </c>
      <c r="F1446" s="2">
        <v>561.48</v>
      </c>
    </row>
    <row r="1447" spans="3:6" x14ac:dyDescent="0.25">
      <c r="C1447" s="2" t="s">
        <v>12029</v>
      </c>
      <c r="D1447" s="2" t="s">
        <v>178</v>
      </c>
      <c r="E1447" s="2">
        <v>141</v>
      </c>
      <c r="F1447" s="2">
        <v>2659.717</v>
      </c>
    </row>
    <row r="1448" spans="3:6" x14ac:dyDescent="0.25">
      <c r="C1448" s="2" t="s">
        <v>12030</v>
      </c>
      <c r="D1448" s="2" t="s">
        <v>178</v>
      </c>
      <c r="E1448" s="2">
        <v>141</v>
      </c>
      <c r="F1448" s="2">
        <v>2654.328</v>
      </c>
    </row>
    <row r="1449" spans="3:6" x14ac:dyDescent="0.25">
      <c r="C1449" s="2" t="s">
        <v>12031</v>
      </c>
      <c r="D1449" s="2" t="s">
        <v>178</v>
      </c>
      <c r="E1449" s="2">
        <v>70</v>
      </c>
      <c r="F1449" s="2">
        <v>1284.059</v>
      </c>
    </row>
    <row r="1450" spans="3:6" x14ac:dyDescent="0.25">
      <c r="C1450" s="2" t="s">
        <v>12032</v>
      </c>
      <c r="D1450" s="2" t="s">
        <v>178</v>
      </c>
      <c r="E1450" s="2">
        <v>71</v>
      </c>
      <c r="F1450" s="2">
        <v>1349.809</v>
      </c>
    </row>
    <row r="1451" spans="3:6" x14ac:dyDescent="0.25">
      <c r="C1451" s="2" t="s">
        <v>12033</v>
      </c>
      <c r="D1451" s="2" t="s">
        <v>178</v>
      </c>
      <c r="E1451" s="2">
        <v>107</v>
      </c>
      <c r="F1451" s="2">
        <v>1862.05</v>
      </c>
    </row>
    <row r="1452" spans="3:6" x14ac:dyDescent="0.25">
      <c r="C1452" s="2" t="s">
        <v>12034</v>
      </c>
      <c r="D1452" s="2" t="s">
        <v>178</v>
      </c>
      <c r="E1452" s="2">
        <v>35</v>
      </c>
      <c r="F1452" s="2">
        <v>624.42</v>
      </c>
    </row>
    <row r="1453" spans="3:6" x14ac:dyDescent="0.25">
      <c r="C1453" s="2" t="s">
        <v>12035</v>
      </c>
      <c r="D1453" s="2" t="s">
        <v>178</v>
      </c>
      <c r="E1453" s="2">
        <v>141</v>
      </c>
      <c r="F1453" s="2">
        <v>2966.53</v>
      </c>
    </row>
    <row r="1454" spans="3:6" x14ac:dyDescent="0.25">
      <c r="C1454" s="2" t="s">
        <v>12036</v>
      </c>
      <c r="D1454" s="2" t="s">
        <v>178</v>
      </c>
      <c r="E1454" s="2">
        <v>141</v>
      </c>
      <c r="F1454" s="2">
        <v>2930.32</v>
      </c>
    </row>
    <row r="1455" spans="3:6" x14ac:dyDescent="0.25">
      <c r="C1455" s="2" t="s">
        <v>12037</v>
      </c>
      <c r="D1455" s="2" t="s">
        <v>178</v>
      </c>
      <c r="E1455" s="2">
        <v>141</v>
      </c>
      <c r="F1455" s="2">
        <v>2949.969</v>
      </c>
    </row>
    <row r="1456" spans="3:6" x14ac:dyDescent="0.25">
      <c r="C1456" s="2" t="s">
        <v>12038</v>
      </c>
      <c r="D1456" s="2" t="s">
        <v>178</v>
      </c>
      <c r="E1456" s="2">
        <v>141</v>
      </c>
      <c r="F1456" s="2">
        <v>3038.75</v>
      </c>
    </row>
    <row r="1457" spans="3:6" x14ac:dyDescent="0.25">
      <c r="C1457" s="2" t="s">
        <v>12039</v>
      </c>
      <c r="D1457" s="2" t="s">
        <v>178</v>
      </c>
      <c r="E1457" s="2">
        <v>141</v>
      </c>
      <c r="F1457" s="2">
        <v>2928.19</v>
      </c>
    </row>
    <row r="1458" spans="3:6" x14ac:dyDescent="0.25">
      <c r="C1458" s="2" t="s">
        <v>12040</v>
      </c>
      <c r="D1458" s="2" t="s">
        <v>178</v>
      </c>
      <c r="E1458" s="2">
        <v>47</v>
      </c>
      <c r="F1458" s="2">
        <v>954.19</v>
      </c>
    </row>
    <row r="1459" spans="3:6" x14ac:dyDescent="0.25">
      <c r="C1459" s="2" t="s">
        <v>12041</v>
      </c>
      <c r="D1459" s="2" t="s">
        <v>178</v>
      </c>
      <c r="E1459" s="2">
        <v>94</v>
      </c>
      <c r="F1459" s="2">
        <v>1959.9</v>
      </c>
    </row>
    <row r="1461" spans="1:7" x14ac:dyDescent="0.25">
      <c r="A1461" s="1">
        <v>46127</v>
      </c>
      <c r="B1461" s="2" t="s">
        <v>229</v>
      </c>
      <c r="C1461" s="2" t="s">
        <v>12042</v>
      </c>
      <c r="D1461" s="2" t="s">
        <v>292</v>
      </c>
      <c r="E1461" s="2">
        <v>66</v>
      </c>
      <c r="F1461" s="2">
        <v>1259.049</v>
      </c>
      <c r="G1461" s="1">
        <v>46126</v>
      </c>
    </row>
    <row r="1462" spans="3:6" x14ac:dyDescent="0.25">
      <c r="C1462" s="2" t="s">
        <v>12043</v>
      </c>
      <c r="D1462" s="2" t="s">
        <v>292</v>
      </c>
      <c r="E1462" s="2">
        <v>57</v>
      </c>
      <c r="F1462" s="2">
        <v>1184.98</v>
      </c>
    </row>
    <row r="1463" spans="3:6" x14ac:dyDescent="0.25">
      <c r="C1463" s="2" t="s">
        <v>12044</v>
      </c>
      <c r="D1463" s="2" t="s">
        <v>292</v>
      </c>
      <c r="E1463" s="2">
        <v>65</v>
      </c>
      <c r="F1463" s="2">
        <v>1274.09</v>
      </c>
    </row>
    <row r="1464" spans="3:6" x14ac:dyDescent="0.25">
      <c r="C1464" s="2" t="s">
        <v>12045</v>
      </c>
      <c r="D1464" s="2" t="s">
        <v>292</v>
      </c>
      <c r="E1464" s="2">
        <v>10</v>
      </c>
      <c r="F1464" s="2">
        <v>196.65</v>
      </c>
    </row>
    <row r="1465" spans="3:6" x14ac:dyDescent="0.25">
      <c r="C1465" s="2" t="s">
        <v>12046</v>
      </c>
      <c r="D1465" s="2" t="s">
        <v>292</v>
      </c>
      <c r="E1465" s="2">
        <v>123</v>
      </c>
      <c r="F1465" s="2">
        <v>2478.29</v>
      </c>
    </row>
    <row r="1466" spans="3:6" x14ac:dyDescent="0.25">
      <c r="C1466" s="2" t="s">
        <v>12047</v>
      </c>
      <c r="D1466" s="2" t="s">
        <v>292</v>
      </c>
      <c r="E1466" s="2">
        <v>100</v>
      </c>
      <c r="F1466" s="2">
        <v>2016.39</v>
      </c>
    </row>
    <row r="1467" spans="3:6" x14ac:dyDescent="0.25">
      <c r="C1467" s="2" t="s">
        <v>12048</v>
      </c>
      <c r="D1467" s="2" t="s">
        <v>292</v>
      </c>
      <c r="E1467" s="2">
        <v>124</v>
      </c>
      <c r="F1467" s="2">
        <v>2027.542</v>
      </c>
    </row>
    <row r="1468" spans="3:6" x14ac:dyDescent="0.25">
      <c r="C1468" s="2" t="s">
        <v>12049</v>
      </c>
      <c r="D1468" s="2" t="s">
        <v>292</v>
      </c>
      <c r="E1468" s="2">
        <v>141</v>
      </c>
      <c r="F1468" s="2">
        <v>2921.659</v>
      </c>
    </row>
    <row r="1469" spans="3:6" x14ac:dyDescent="0.25">
      <c r="C1469" s="2" t="s">
        <v>12050</v>
      </c>
      <c r="D1469" s="2" t="s">
        <v>292</v>
      </c>
      <c r="E1469" s="2">
        <v>141</v>
      </c>
      <c r="F1469" s="2">
        <v>2864.379</v>
      </c>
    </row>
    <row r="1470" spans="3:6" x14ac:dyDescent="0.25">
      <c r="C1470" s="2" t="s">
        <v>12051</v>
      </c>
      <c r="D1470" s="2" t="s">
        <v>292</v>
      </c>
      <c r="E1470" s="2">
        <v>143</v>
      </c>
      <c r="F1470" s="2">
        <v>2893.96</v>
      </c>
    </row>
    <row r="1471" spans="3:6" x14ac:dyDescent="0.25">
      <c r="C1471" s="2" t="s">
        <v>12052</v>
      </c>
      <c r="D1471" s="2" t="s">
        <v>292</v>
      </c>
      <c r="E1471" s="2">
        <v>143</v>
      </c>
      <c r="F1471" s="2">
        <v>3053.5</v>
      </c>
    </row>
    <row r="1472" spans="3:6" x14ac:dyDescent="0.25">
      <c r="C1472" s="2" t="s">
        <v>12053</v>
      </c>
      <c r="D1472" s="2" t="s">
        <v>292</v>
      </c>
      <c r="E1472" s="2">
        <v>143</v>
      </c>
      <c r="F1472" s="2">
        <v>3021.27</v>
      </c>
    </row>
    <row r="1473" spans="3:6" x14ac:dyDescent="0.25">
      <c r="C1473" s="2" t="s">
        <v>12054</v>
      </c>
      <c r="D1473" s="2" t="s">
        <v>292</v>
      </c>
      <c r="E1473" s="2">
        <v>75</v>
      </c>
      <c r="F1473" s="2">
        <v>1631.43</v>
      </c>
    </row>
    <row r="1474" spans="3:6" x14ac:dyDescent="0.25">
      <c r="C1474" s="2" t="s">
        <v>12055</v>
      </c>
      <c r="D1474" s="2" t="s">
        <v>292</v>
      </c>
      <c r="E1474" s="2">
        <v>66</v>
      </c>
      <c r="F1474" s="2">
        <v>1334.712</v>
      </c>
    </row>
    <row r="1475" spans="3:6" x14ac:dyDescent="0.25">
      <c r="C1475" s="2" t="s">
        <v>12056</v>
      </c>
      <c r="D1475" s="2" t="s">
        <v>292</v>
      </c>
      <c r="E1475" s="2">
        <v>73</v>
      </c>
      <c r="F1475" s="2">
        <v>1436.63</v>
      </c>
    </row>
    <row r="1476" spans="3:6" x14ac:dyDescent="0.25">
      <c r="C1476" s="2" t="s">
        <v>12057</v>
      </c>
      <c r="D1476" s="2" t="s">
        <v>292</v>
      </c>
      <c r="E1476" s="2">
        <v>100</v>
      </c>
      <c r="F1476" s="2">
        <v>2055.84</v>
      </c>
    </row>
    <row r="1477" spans="3:6" x14ac:dyDescent="0.25">
      <c r="C1477" s="2" t="s">
        <v>12058</v>
      </c>
      <c r="D1477" s="2" t="s">
        <v>292</v>
      </c>
      <c r="E1477" s="2">
        <v>68</v>
      </c>
      <c r="F1477" s="2">
        <v>1374.42</v>
      </c>
    </row>
    <row r="1478" spans="3:6" x14ac:dyDescent="0.25">
      <c r="C1478" s="2" t="s">
        <v>12059</v>
      </c>
      <c r="D1478" s="2" t="s">
        <v>292</v>
      </c>
      <c r="E1478" s="2">
        <v>20</v>
      </c>
      <c r="F1478" s="2">
        <v>103.04</v>
      </c>
    </row>
    <row r="1479" spans="3:6" x14ac:dyDescent="0.25">
      <c r="C1479" s="2" t="s">
        <v>12060</v>
      </c>
      <c r="D1479" s="2" t="s">
        <v>292</v>
      </c>
      <c r="E1479" s="2">
        <v>76</v>
      </c>
      <c r="F1479" s="2">
        <v>1056.684</v>
      </c>
    </row>
    <row r="1480" spans="3:6" x14ac:dyDescent="0.25">
      <c r="C1480" s="2" t="s">
        <v>12061</v>
      </c>
      <c r="D1480" s="2" t="s">
        <v>292</v>
      </c>
      <c r="E1480" s="2">
        <v>31</v>
      </c>
      <c r="F1480" s="2">
        <v>635.2</v>
      </c>
    </row>
    <row r="1481" spans="3:6" x14ac:dyDescent="0.25">
      <c r="C1481" s="2" t="s">
        <v>12062</v>
      </c>
      <c r="D1481" s="2" t="s">
        <v>292</v>
      </c>
      <c r="E1481" s="2">
        <v>8</v>
      </c>
      <c r="F1481" s="2">
        <v>147.15</v>
      </c>
    </row>
    <row r="1482" spans="3:6" x14ac:dyDescent="0.25">
      <c r="C1482" s="2" t="s">
        <v>12063</v>
      </c>
      <c r="D1482" s="2" t="s">
        <v>292</v>
      </c>
      <c r="E1482" s="2">
        <v>102</v>
      </c>
      <c r="F1482" s="2">
        <v>2197.03</v>
      </c>
    </row>
    <row r="1483" spans="3:6" x14ac:dyDescent="0.25">
      <c r="C1483" s="2" t="s">
        <v>12064</v>
      </c>
      <c r="D1483" s="2" t="s">
        <v>292</v>
      </c>
      <c r="E1483" s="2">
        <v>14</v>
      </c>
      <c r="F1483" s="2">
        <v>307.05</v>
      </c>
    </row>
    <row r="1484" spans="3:6" x14ac:dyDescent="0.25">
      <c r="C1484" s="2" t="s">
        <v>12065</v>
      </c>
      <c r="D1484" s="2" t="s">
        <v>292</v>
      </c>
      <c r="E1484" s="2">
        <v>10</v>
      </c>
      <c r="F1484" s="2">
        <v>172.9</v>
      </c>
    </row>
    <row r="1485" spans="3:6" x14ac:dyDescent="0.25">
      <c r="C1485" s="2" t="s">
        <v>12066</v>
      </c>
      <c r="D1485" s="2" t="s">
        <v>292</v>
      </c>
      <c r="E1485" s="2">
        <v>117</v>
      </c>
      <c r="F1485" s="2">
        <v>2481.48</v>
      </c>
    </row>
    <row r="1486" spans="3:6" x14ac:dyDescent="0.25">
      <c r="C1486" s="2" t="s">
        <v>12067</v>
      </c>
      <c r="D1486" s="2" t="s">
        <v>292</v>
      </c>
      <c r="E1486" s="2">
        <v>75</v>
      </c>
      <c r="F1486" s="2">
        <v>392.93</v>
      </c>
    </row>
    <row r="1487" spans="3:6" x14ac:dyDescent="0.25">
      <c r="C1487" s="2" t="s">
        <v>12068</v>
      </c>
      <c r="D1487" s="2" t="s">
        <v>292</v>
      </c>
      <c r="E1487" s="2">
        <v>141</v>
      </c>
      <c r="F1487" s="2">
        <v>2187.829</v>
      </c>
    </row>
    <row r="1488" spans="3:6" x14ac:dyDescent="0.25">
      <c r="C1488" s="2" t="s">
        <v>12069</v>
      </c>
      <c r="D1488" s="2" t="s">
        <v>292</v>
      </c>
      <c r="E1488" s="2">
        <v>26</v>
      </c>
      <c r="F1488" s="2">
        <v>544.04</v>
      </c>
    </row>
    <row r="1489" spans="3:6" x14ac:dyDescent="0.25">
      <c r="C1489" s="2" t="s">
        <v>12070</v>
      </c>
      <c r="D1489" s="2" t="s">
        <v>292</v>
      </c>
      <c r="E1489" s="2">
        <v>62</v>
      </c>
      <c r="F1489" s="2">
        <v>1283.37</v>
      </c>
    </row>
    <row r="1490" spans="3:6" x14ac:dyDescent="0.25">
      <c r="C1490" s="2" t="s">
        <v>12071</v>
      </c>
      <c r="D1490" s="2" t="s">
        <v>292</v>
      </c>
      <c r="E1490" s="2">
        <v>35</v>
      </c>
      <c r="F1490" s="2">
        <v>696.57</v>
      </c>
    </row>
    <row r="1491" spans="3:6" x14ac:dyDescent="0.25">
      <c r="C1491" s="2" t="s">
        <v>12072</v>
      </c>
      <c r="D1491" s="2" t="s">
        <v>292</v>
      </c>
      <c r="E1491" s="2">
        <v>24</v>
      </c>
      <c r="F1491" s="2">
        <v>494.7</v>
      </c>
    </row>
    <row r="1492" spans="3:6" x14ac:dyDescent="0.25">
      <c r="C1492" s="2" t="s">
        <v>12073</v>
      </c>
      <c r="D1492" s="2" t="s">
        <v>292</v>
      </c>
      <c r="E1492" s="2">
        <v>96</v>
      </c>
      <c r="F1492" s="2">
        <v>2121.53</v>
      </c>
    </row>
    <row r="1493" spans="3:6" x14ac:dyDescent="0.25">
      <c r="C1493" s="2" t="s">
        <v>12074</v>
      </c>
      <c r="D1493" s="2" t="s">
        <v>292</v>
      </c>
      <c r="E1493" s="2">
        <v>45</v>
      </c>
      <c r="F1493" s="2">
        <v>229.72</v>
      </c>
    </row>
    <row r="1494" spans="3:6" x14ac:dyDescent="0.25">
      <c r="C1494" s="2" t="s">
        <v>12075</v>
      </c>
      <c r="D1494" s="2" t="s">
        <v>292</v>
      </c>
      <c r="E1494" s="2">
        <v>30</v>
      </c>
      <c r="F1494" s="2">
        <v>660.92</v>
      </c>
    </row>
    <row r="1495" spans="3:6" x14ac:dyDescent="0.25">
      <c r="C1495" s="2" t="s">
        <v>12076</v>
      </c>
      <c r="D1495" s="2" t="s">
        <v>292</v>
      </c>
      <c r="E1495" s="2">
        <v>111</v>
      </c>
      <c r="F1495" s="2">
        <v>2337.63</v>
      </c>
    </row>
    <row r="1496" spans="3:6" x14ac:dyDescent="0.25">
      <c r="C1496" s="2" t="s">
        <v>12077</v>
      </c>
      <c r="D1496" s="2" t="s">
        <v>292</v>
      </c>
      <c r="E1496" s="2">
        <v>141</v>
      </c>
      <c r="F1496" s="2">
        <v>2920.18</v>
      </c>
    </row>
    <row r="1497" spans="3:6" x14ac:dyDescent="0.25">
      <c r="C1497" s="2" t="s">
        <v>12078</v>
      </c>
      <c r="D1497" s="2" t="s">
        <v>292</v>
      </c>
      <c r="E1497" s="2">
        <v>102</v>
      </c>
      <c r="F1497" s="2">
        <v>2120.78</v>
      </c>
    </row>
    <row r="1498" spans="3:6" x14ac:dyDescent="0.25">
      <c r="C1498" s="2" t="s">
        <v>12079</v>
      </c>
      <c r="D1498" s="2" t="s">
        <v>292</v>
      </c>
      <c r="E1498" s="2">
        <v>102</v>
      </c>
      <c r="F1498" s="2">
        <v>2145.36</v>
      </c>
    </row>
    <row r="1499" spans="3:6" x14ac:dyDescent="0.25">
      <c r="C1499" s="2" t="s">
        <v>12080</v>
      </c>
      <c r="D1499" s="2" t="s">
        <v>292</v>
      </c>
      <c r="E1499" s="2">
        <v>143</v>
      </c>
      <c r="F1499" s="2">
        <v>2954.42</v>
      </c>
    </row>
    <row r="1500" spans="3:6" x14ac:dyDescent="0.25">
      <c r="C1500" s="2" t="s">
        <v>12081</v>
      </c>
      <c r="D1500" s="2" t="s">
        <v>292</v>
      </c>
      <c r="E1500" s="2">
        <v>123</v>
      </c>
      <c r="F1500" s="2">
        <v>2557.21</v>
      </c>
    </row>
    <row r="1501" spans="3:6" x14ac:dyDescent="0.25">
      <c r="C1501" s="2" t="s">
        <v>12082</v>
      </c>
      <c r="D1501" s="2" t="s">
        <v>292</v>
      </c>
      <c r="E1501" s="2">
        <v>29</v>
      </c>
      <c r="F1501" s="2">
        <v>588.12</v>
      </c>
    </row>
    <row r="1502" spans="3:6" x14ac:dyDescent="0.25">
      <c r="C1502" s="2" t="s">
        <v>12083</v>
      </c>
      <c r="D1502" s="2" t="s">
        <v>292</v>
      </c>
      <c r="E1502" s="2">
        <v>51</v>
      </c>
      <c r="F1502" s="2">
        <v>1004.49</v>
      </c>
    </row>
    <row r="1503" spans="3:6" x14ac:dyDescent="0.25">
      <c r="C1503" s="2" t="s">
        <v>12084</v>
      </c>
      <c r="D1503" s="2" t="s">
        <v>292</v>
      </c>
      <c r="E1503" s="2">
        <v>8</v>
      </c>
      <c r="F1503" s="2">
        <v>139.52</v>
      </c>
    </row>
    <row r="1504" spans="3:6" x14ac:dyDescent="0.25">
      <c r="C1504" s="2" t="s">
        <v>12085</v>
      </c>
      <c r="D1504" s="2" t="s">
        <v>292</v>
      </c>
      <c r="E1504" s="2">
        <v>57</v>
      </c>
      <c r="F1504" s="2">
        <v>1194.32</v>
      </c>
    </row>
    <row r="1505" spans="3:6" x14ac:dyDescent="0.25">
      <c r="C1505" s="2" t="s">
        <v>12086</v>
      </c>
      <c r="D1505" s="2" t="s">
        <v>292</v>
      </c>
      <c r="E1505" s="2">
        <v>43</v>
      </c>
      <c r="F1505" s="2">
        <v>974.49</v>
      </c>
    </row>
    <row r="1506" spans="3:6" x14ac:dyDescent="0.25">
      <c r="C1506" s="2" t="s">
        <v>12087</v>
      </c>
      <c r="D1506" s="2" t="s">
        <v>292</v>
      </c>
      <c r="E1506" s="2">
        <v>12</v>
      </c>
      <c r="F1506" s="2">
        <v>235.53</v>
      </c>
    </row>
    <row r="1507" spans="3:6" x14ac:dyDescent="0.25">
      <c r="C1507" s="2" t="s">
        <v>12088</v>
      </c>
      <c r="D1507" s="2" t="s">
        <v>292</v>
      </c>
      <c r="E1507" s="2">
        <v>14</v>
      </c>
      <c r="F1507" s="2">
        <v>278.9</v>
      </c>
    </row>
    <row r="1509" spans="1:7" x14ac:dyDescent="0.25">
      <c r="A1509" s="1">
        <v>46127</v>
      </c>
      <c r="B1509" s="2" t="s">
        <v>12089</v>
      </c>
      <c r="C1509" s="2" t="s">
        <v>12090</v>
      </c>
      <c r="D1509" s="2" t="s">
        <v>53</v>
      </c>
      <c r="E1509" s="2">
        <v>156</v>
      </c>
      <c r="F1509" s="2">
        <v>3218</v>
      </c>
      <c r="G1509" s="1">
        <v>46126</v>
      </c>
    </row>
    <row r="1510" spans="3:6" x14ac:dyDescent="0.25">
      <c r="C1510" s="2" t="s">
        <v>12091</v>
      </c>
      <c r="D1510" s="2" t="s">
        <v>53</v>
      </c>
      <c r="E1510" s="2">
        <v>156</v>
      </c>
      <c r="F1510" s="2">
        <v>3089</v>
      </c>
    </row>
    <row r="1511" spans="3:6" x14ac:dyDescent="0.25">
      <c r="C1511" s="2" t="s">
        <v>12092</v>
      </c>
      <c r="D1511" s="2" t="s">
        <v>30</v>
      </c>
      <c r="E1511" s="2">
        <v>105</v>
      </c>
      <c r="F1511" s="2">
        <v>1789</v>
      </c>
    </row>
    <row r="1512" spans="3:6" x14ac:dyDescent="0.25">
      <c r="C1512" s="2" t="s">
        <v>12093</v>
      </c>
      <c r="D1512" s="2" t="s">
        <v>26</v>
      </c>
      <c r="E1512" s="2">
        <v>156</v>
      </c>
      <c r="F1512" s="2">
        <v>2745</v>
      </c>
    </row>
    <row r="1513" spans="3:6" x14ac:dyDescent="0.25">
      <c r="C1513" s="2" t="s">
        <v>12094</v>
      </c>
      <c r="D1513" s="2" t="s">
        <v>26</v>
      </c>
      <c r="E1513" s="2">
        <v>157</v>
      </c>
      <c r="F1513" s="2">
        <v>2755</v>
      </c>
    </row>
    <row r="1514" spans="3:6" x14ac:dyDescent="0.25">
      <c r="C1514" s="2" t="s">
        <v>12095</v>
      </c>
      <c r="D1514" s="2" t="s">
        <v>30</v>
      </c>
      <c r="E1514" s="2">
        <v>105</v>
      </c>
      <c r="F1514" s="2">
        <v>1967</v>
      </c>
    </row>
    <row r="1515" spans="3:6" x14ac:dyDescent="0.25">
      <c r="C1515" s="2" t="s">
        <v>12096</v>
      </c>
      <c r="D1515" s="2" t="s">
        <v>15</v>
      </c>
      <c r="E1515" s="2">
        <v>105</v>
      </c>
      <c r="F1515" s="2">
        <v>1844</v>
      </c>
    </row>
    <row r="1517" spans="2:7" x14ac:dyDescent="0.25">
      <c r="B1517" s="2" t="s">
        <v>378</v>
      </c>
      <c r="C1517" s="2" t="s">
        <v>12097</v>
      </c>
      <c r="D1517" s="2" t="s">
        <v>15</v>
      </c>
      <c r="E1517" s="2">
        <v>163</v>
      </c>
      <c r="F1517" s="2">
        <v>3079.352</v>
      </c>
      <c r="G1517" s="1">
        <v>46126</v>
      </c>
    </row>
    <row r="1518" spans="3:6" x14ac:dyDescent="0.25">
      <c r="C1518" s="2" t="s">
        <v>12098</v>
      </c>
      <c r="D1518" s="2" t="s">
        <v>15</v>
      </c>
      <c r="E1518" s="2">
        <v>163</v>
      </c>
      <c r="F1518" s="2">
        <v>2866.422</v>
      </c>
    </row>
    <row r="1519" spans="3:6" x14ac:dyDescent="0.25">
      <c r="C1519" s="2" t="s">
        <v>12099</v>
      </c>
      <c r="D1519" s="2" t="s">
        <v>15</v>
      </c>
      <c r="E1519" s="2">
        <v>163</v>
      </c>
      <c r="F1519" s="2">
        <v>3100.309</v>
      </c>
    </row>
    <row r="1520" spans="3:6" x14ac:dyDescent="0.25">
      <c r="C1520" s="2" t="s">
        <v>12100</v>
      </c>
      <c r="D1520" s="2" t="s">
        <v>15</v>
      </c>
      <c r="E1520" s="2">
        <v>163</v>
      </c>
      <c r="F1520" s="2">
        <v>3156.92</v>
      </c>
    </row>
    <row r="1521" spans="3:6" x14ac:dyDescent="0.25">
      <c r="C1521" s="2" t="s">
        <v>12101</v>
      </c>
      <c r="D1521" s="2" t="s">
        <v>15</v>
      </c>
      <c r="E1521" s="2">
        <v>163</v>
      </c>
      <c r="F1521" s="2">
        <v>3094.981</v>
      </c>
    </row>
    <row r="1522" spans="3:6" x14ac:dyDescent="0.25">
      <c r="C1522" s="2" t="s">
        <v>12102</v>
      </c>
      <c r="D1522" s="2" t="s">
        <v>15</v>
      </c>
      <c r="E1522" s="2">
        <v>163</v>
      </c>
      <c r="F1522" s="2">
        <v>3129.087</v>
      </c>
    </row>
    <row r="1523" spans="3:6" x14ac:dyDescent="0.25">
      <c r="C1523" s="2" t="s">
        <v>12103</v>
      </c>
      <c r="D1523" s="2" t="s">
        <v>15</v>
      </c>
      <c r="E1523" s="2">
        <v>163</v>
      </c>
      <c r="F1523" s="2">
        <v>3094.119</v>
      </c>
    </row>
    <row r="1524" spans="3:6" x14ac:dyDescent="0.25">
      <c r="C1524" s="2" t="s">
        <v>12104</v>
      </c>
      <c r="D1524" s="2" t="s">
        <v>15</v>
      </c>
      <c r="E1524" s="2">
        <v>163</v>
      </c>
      <c r="F1524" s="2">
        <v>3078.344</v>
      </c>
    </row>
    <row r="1525" spans="3:6" x14ac:dyDescent="0.25">
      <c r="C1525" s="2" t="s">
        <v>12105</v>
      </c>
      <c r="D1525" s="2" t="s">
        <v>15</v>
      </c>
      <c r="E1525" s="2">
        <v>35</v>
      </c>
      <c r="F1525" s="2">
        <v>673</v>
      </c>
    </row>
    <row r="1526" spans="3:6" x14ac:dyDescent="0.25">
      <c r="C1526" s="2" t="s">
        <v>12106</v>
      </c>
      <c r="D1526" s="2" t="s">
        <v>15</v>
      </c>
      <c r="E1526" s="2">
        <v>128</v>
      </c>
      <c r="F1526" s="2">
        <v>2489.316</v>
      </c>
    </row>
    <row r="1527" spans="3:6" x14ac:dyDescent="0.25">
      <c r="C1527" s="2" t="s">
        <v>12107</v>
      </c>
      <c r="D1527" s="2" t="s">
        <v>15</v>
      </c>
      <c r="E1527" s="2">
        <v>105</v>
      </c>
      <c r="F1527" s="2">
        <v>800</v>
      </c>
    </row>
    <row r="1528" spans="3:6" x14ac:dyDescent="0.25">
      <c r="C1528" s="2" t="s">
        <v>12108</v>
      </c>
      <c r="D1528" s="2" t="s">
        <v>15</v>
      </c>
      <c r="E1528" s="2">
        <v>163</v>
      </c>
      <c r="F1528" s="2">
        <v>3049.41</v>
      </c>
    </row>
    <row r="1529" spans="3:6" x14ac:dyDescent="0.25">
      <c r="C1529" s="2" t="s">
        <v>12109</v>
      </c>
      <c r="D1529" s="2" t="s">
        <v>15</v>
      </c>
      <c r="E1529" s="2">
        <v>105</v>
      </c>
      <c r="F1529" s="2">
        <v>2115.579</v>
      </c>
    </row>
    <row r="1530" spans="3:6" x14ac:dyDescent="0.25">
      <c r="C1530" s="2" t="s">
        <v>12110</v>
      </c>
      <c r="D1530" s="2" t="s">
        <v>15</v>
      </c>
      <c r="E1530" s="2">
        <v>105</v>
      </c>
      <c r="F1530" s="2">
        <v>2159.702</v>
      </c>
    </row>
    <row r="1531" spans="3:6" x14ac:dyDescent="0.25">
      <c r="C1531" s="2" t="s">
        <v>12111</v>
      </c>
      <c r="D1531" s="2" t="s">
        <v>26</v>
      </c>
      <c r="E1531" s="2">
        <v>156</v>
      </c>
      <c r="F1531" s="2">
        <v>3178.391</v>
      </c>
    </row>
    <row r="1532" spans="3:6" x14ac:dyDescent="0.25">
      <c r="C1532" s="2" t="s">
        <v>12112</v>
      </c>
      <c r="D1532" s="2" t="s">
        <v>30</v>
      </c>
      <c r="E1532" s="2">
        <v>134</v>
      </c>
      <c r="F1532" s="2">
        <v>2685.78</v>
      </c>
    </row>
    <row r="1533" spans="3:6" x14ac:dyDescent="0.25">
      <c r="C1533" s="2" t="s">
        <v>12113</v>
      </c>
      <c r="D1533" s="2" t="s">
        <v>30</v>
      </c>
      <c r="E1533" s="2">
        <v>134</v>
      </c>
      <c r="F1533" s="2">
        <v>2723.89</v>
      </c>
    </row>
    <row r="1534" spans="3:6" x14ac:dyDescent="0.25">
      <c r="C1534" s="2" t="s">
        <v>12114</v>
      </c>
      <c r="D1534" s="2" t="s">
        <v>30</v>
      </c>
      <c r="E1534" s="2">
        <v>134</v>
      </c>
      <c r="F1534" s="2">
        <v>2693.8</v>
      </c>
    </row>
    <row r="1535" spans="3:6" x14ac:dyDescent="0.25">
      <c r="C1535" s="2" t="s">
        <v>12115</v>
      </c>
      <c r="D1535" s="2" t="s">
        <v>30</v>
      </c>
      <c r="E1535" s="2">
        <v>134</v>
      </c>
      <c r="F1535" s="2">
        <v>2710.17</v>
      </c>
    </row>
    <row r="1536" spans="3:6" x14ac:dyDescent="0.25">
      <c r="C1536" s="2" t="s">
        <v>12116</v>
      </c>
      <c r="D1536" s="2" t="s">
        <v>30</v>
      </c>
      <c r="E1536" s="2">
        <v>134</v>
      </c>
      <c r="F1536" s="2">
        <v>2717.78</v>
      </c>
    </row>
    <row r="1537" spans="3:6" x14ac:dyDescent="0.25">
      <c r="C1537" s="2" t="s">
        <v>12117</v>
      </c>
      <c r="D1537" s="2" t="s">
        <v>30</v>
      </c>
      <c r="E1537" s="2">
        <v>134</v>
      </c>
      <c r="F1537" s="2">
        <v>2709.26</v>
      </c>
    </row>
    <row r="1538" spans="3:6" x14ac:dyDescent="0.25">
      <c r="C1538" s="2" t="s">
        <v>12118</v>
      </c>
      <c r="D1538" s="2" t="s">
        <v>30</v>
      </c>
      <c r="E1538" s="2">
        <v>105</v>
      </c>
      <c r="F1538" s="2">
        <v>2141.18</v>
      </c>
    </row>
    <row r="1539" spans="3:6" x14ac:dyDescent="0.25">
      <c r="C1539" s="2" t="s">
        <v>12119</v>
      </c>
      <c r="D1539" s="2" t="s">
        <v>30</v>
      </c>
      <c r="E1539" s="2">
        <v>20</v>
      </c>
      <c r="F1539" s="2">
        <v>333.35</v>
      </c>
    </row>
    <row r="1540" spans="3:6" x14ac:dyDescent="0.25">
      <c r="C1540" s="2" t="s">
        <v>12120</v>
      </c>
      <c r="D1540" s="2" t="s">
        <v>30</v>
      </c>
      <c r="E1540" s="2">
        <v>16</v>
      </c>
      <c r="F1540" s="2">
        <v>321.6</v>
      </c>
    </row>
    <row r="1541" spans="3:6" x14ac:dyDescent="0.25">
      <c r="C1541" s="2" t="s">
        <v>12121</v>
      </c>
      <c r="D1541" s="2" t="s">
        <v>36</v>
      </c>
      <c r="E1541" s="2">
        <v>5</v>
      </c>
      <c r="F1541" s="2">
        <v>103</v>
      </c>
    </row>
    <row r="1542" spans="3:6" x14ac:dyDescent="0.25">
      <c r="C1542" s="2" t="s">
        <v>12122</v>
      </c>
      <c r="D1542" s="2" t="s">
        <v>36</v>
      </c>
      <c r="E1542" s="2">
        <v>60</v>
      </c>
      <c r="F1542" s="2">
        <v>1099.86</v>
      </c>
    </row>
    <row r="1543" spans="3:6" x14ac:dyDescent="0.25">
      <c r="C1543" s="2" t="s">
        <v>12123</v>
      </c>
      <c r="D1543" s="2" t="s">
        <v>36</v>
      </c>
      <c r="E1543" s="2">
        <v>13</v>
      </c>
      <c r="F1543" s="2">
        <v>242.15</v>
      </c>
    </row>
    <row r="1544" spans="3:6" x14ac:dyDescent="0.25">
      <c r="C1544" s="2" t="s">
        <v>12124</v>
      </c>
      <c r="D1544" s="2" t="s">
        <v>36</v>
      </c>
      <c r="E1544" s="2">
        <v>78</v>
      </c>
      <c r="F1544" s="2">
        <v>1500.09</v>
      </c>
    </row>
    <row r="1545" spans="3:6" x14ac:dyDescent="0.25">
      <c r="C1545" s="2" t="s">
        <v>12125</v>
      </c>
      <c r="D1545" s="2" t="s">
        <v>36</v>
      </c>
      <c r="E1545" s="2">
        <v>80</v>
      </c>
      <c r="F1545" s="2">
        <v>1549.93</v>
      </c>
    </row>
    <row r="1546" spans="3:6" x14ac:dyDescent="0.25">
      <c r="C1546" s="2" t="s">
        <v>12126</v>
      </c>
      <c r="D1546" s="2" t="s">
        <v>36</v>
      </c>
      <c r="E1546" s="2">
        <v>42</v>
      </c>
      <c r="F1546" s="2">
        <v>783.44</v>
      </c>
    </row>
    <row r="1547" spans="3:6" x14ac:dyDescent="0.25">
      <c r="C1547" s="2" t="s">
        <v>12127</v>
      </c>
      <c r="D1547" s="2" t="s">
        <v>36</v>
      </c>
      <c r="E1547" s="2">
        <v>34</v>
      </c>
      <c r="F1547" s="2">
        <v>616.02</v>
      </c>
    </row>
    <row r="1548" spans="3:6" x14ac:dyDescent="0.25">
      <c r="C1548" s="2" t="s">
        <v>12128</v>
      </c>
      <c r="D1548" s="2" t="s">
        <v>36</v>
      </c>
      <c r="E1548" s="2">
        <v>60</v>
      </c>
      <c r="F1548" s="2">
        <v>1132.97</v>
      </c>
    </row>
    <row r="1549" spans="3:6" x14ac:dyDescent="0.25">
      <c r="C1549" s="2" t="s">
        <v>12129</v>
      </c>
      <c r="D1549" s="2" t="s">
        <v>36</v>
      </c>
      <c r="E1549" s="2">
        <v>45</v>
      </c>
      <c r="F1549" s="2">
        <v>820.82</v>
      </c>
    </row>
    <row r="1551" spans="1:7" x14ac:dyDescent="0.25">
      <c r="A1551" s="1">
        <v>46127</v>
      </c>
      <c r="B1551" s="2" t="s">
        <v>7875</v>
      </c>
      <c r="C1551" s="2" t="s">
        <v>12130</v>
      </c>
      <c r="D1551" s="2" t="s">
        <v>59</v>
      </c>
      <c r="E1551" s="2">
        <v>134</v>
      </c>
      <c r="F1551" s="2" t="s">
        <v>12131</v>
      </c>
      <c r="G1551" s="1">
        <v>46125</v>
      </c>
    </row>
    <row r="1552" spans="3:6" x14ac:dyDescent="0.25">
      <c r="C1552" s="2" t="s">
        <v>12132</v>
      </c>
      <c r="D1552" s="2" t="s">
        <v>59</v>
      </c>
      <c r="E1552" s="2">
        <v>148</v>
      </c>
      <c r="F1552" s="2">
        <v>3016.361</v>
      </c>
    </row>
    <row r="1553" spans="3:6" x14ac:dyDescent="0.25">
      <c r="C1553" s="2" t="s">
        <v>12133</v>
      </c>
      <c r="D1553" s="2" t="s">
        <v>59</v>
      </c>
      <c r="E1553" s="2">
        <v>145</v>
      </c>
      <c r="F1553" s="2">
        <v>2485.759</v>
      </c>
    </row>
    <row r="1554" spans="3:6" x14ac:dyDescent="0.25">
      <c r="C1554" s="2" t="s">
        <v>12134</v>
      </c>
      <c r="D1554" s="2" t="s">
        <v>59</v>
      </c>
      <c r="E1554" s="2">
        <v>94</v>
      </c>
      <c r="F1554" s="2">
        <v>1526.886</v>
      </c>
    </row>
    <row r="1555" spans="3:6" x14ac:dyDescent="0.25">
      <c r="C1555" s="2" t="s">
        <v>12135</v>
      </c>
      <c r="D1555" s="2" t="s">
        <v>59</v>
      </c>
      <c r="E1555" s="2">
        <v>81</v>
      </c>
      <c r="F1555" s="2">
        <v>1539.247</v>
      </c>
    </row>
    <row r="1556" spans="3:6" x14ac:dyDescent="0.25">
      <c r="C1556" s="2" t="s">
        <v>12136</v>
      </c>
      <c r="D1556" s="2" t="s">
        <v>59</v>
      </c>
      <c r="E1556" s="2">
        <v>15</v>
      </c>
      <c r="F1556" s="2">
        <v>328.23</v>
      </c>
    </row>
    <row r="1557" spans="3:6" x14ac:dyDescent="0.25">
      <c r="C1557" s="2" t="s">
        <v>12137</v>
      </c>
      <c r="D1557" s="2" t="s">
        <v>59</v>
      </c>
      <c r="E1557" s="2">
        <v>95</v>
      </c>
      <c r="F1557" s="2">
        <v>1834.78</v>
      </c>
    </row>
    <row r="1558" spans="3:6" x14ac:dyDescent="0.25">
      <c r="C1558" s="2" t="s">
        <v>12138</v>
      </c>
      <c r="D1558" s="2" t="s">
        <v>59</v>
      </c>
      <c r="E1558" s="2">
        <v>102</v>
      </c>
      <c r="F1558" s="2">
        <v>1984.52</v>
      </c>
    </row>
    <row r="1559" spans="3:6" x14ac:dyDescent="0.25">
      <c r="C1559" s="2" t="s">
        <v>12139</v>
      </c>
      <c r="D1559" s="2" t="s">
        <v>59</v>
      </c>
      <c r="E1559" s="2">
        <v>149</v>
      </c>
      <c r="F1559" s="2">
        <v>2650.269</v>
      </c>
    </row>
    <row r="1560" spans="3:6" x14ac:dyDescent="0.25">
      <c r="C1560" s="2" t="s">
        <v>12140</v>
      </c>
      <c r="D1560" s="2" t="s">
        <v>59</v>
      </c>
      <c r="E1560" s="2">
        <v>149</v>
      </c>
      <c r="F1560" s="2">
        <v>2655.53</v>
      </c>
    </row>
    <row r="1561" spans="3:6" x14ac:dyDescent="0.25">
      <c r="C1561" s="2" t="s">
        <v>12141</v>
      </c>
      <c r="D1561" s="2" t="s">
        <v>59</v>
      </c>
      <c r="E1561" s="2">
        <v>149</v>
      </c>
      <c r="F1561" s="2">
        <v>2669.96</v>
      </c>
    </row>
    <row r="1562" spans="3:6" x14ac:dyDescent="0.25">
      <c r="C1562" s="2" t="s">
        <v>12142</v>
      </c>
      <c r="D1562" s="2" t="s">
        <v>59</v>
      </c>
      <c r="E1562" s="2">
        <v>102</v>
      </c>
      <c r="F1562" s="2">
        <v>1834.099</v>
      </c>
    </row>
    <row r="1564" spans="1:7" x14ac:dyDescent="0.25">
      <c r="A1564" s="1">
        <v>46127</v>
      </c>
      <c r="B1564" s="2" t="s">
        <v>427</v>
      </c>
      <c r="C1564" s="2" t="s">
        <v>12143</v>
      </c>
      <c r="D1564" s="2" t="s">
        <v>59</v>
      </c>
      <c r="E1564" s="2">
        <v>149</v>
      </c>
      <c r="F1564" s="2">
        <v>2890.61</v>
      </c>
      <c r="G1564" s="1">
        <v>46124</v>
      </c>
    </row>
    <row r="1565" spans="3:6" x14ac:dyDescent="0.25">
      <c r="C1565" s="2" t="s">
        <v>12144</v>
      </c>
      <c r="D1565" s="2" t="s">
        <v>59</v>
      </c>
      <c r="E1565" s="2">
        <v>149</v>
      </c>
      <c r="F1565" s="2">
        <v>2743.088</v>
      </c>
    </row>
    <row r="1566" spans="3:6" x14ac:dyDescent="0.25">
      <c r="C1566" s="2" t="s">
        <v>12145</v>
      </c>
      <c r="D1566" s="2" t="s">
        <v>59</v>
      </c>
      <c r="E1566" s="2">
        <v>149</v>
      </c>
      <c r="F1566" s="2">
        <v>2636.18</v>
      </c>
    </row>
    <row r="1567" spans="3:6" x14ac:dyDescent="0.25">
      <c r="C1567" s="2" t="s">
        <v>12146</v>
      </c>
      <c r="D1567" s="2" t="s">
        <v>59</v>
      </c>
      <c r="E1567" s="2">
        <v>105</v>
      </c>
      <c r="F1567" s="2">
        <v>1985.89</v>
      </c>
    </row>
    <row r="1568" spans="3:6" x14ac:dyDescent="0.25">
      <c r="C1568" s="2" t="s">
        <v>12147</v>
      </c>
      <c r="D1568" s="2" t="s">
        <v>59</v>
      </c>
      <c r="E1568" s="2">
        <v>105</v>
      </c>
      <c r="F1568" s="2">
        <v>2024.34</v>
      </c>
    </row>
    <row r="1569" spans="3:6" x14ac:dyDescent="0.25">
      <c r="C1569" s="2" t="s">
        <v>12148</v>
      </c>
      <c r="D1569" s="2" t="s">
        <v>59</v>
      </c>
      <c r="E1569" s="2">
        <v>149</v>
      </c>
      <c r="F1569" s="2">
        <v>2528.629</v>
      </c>
    </row>
    <row r="1570" spans="3:6" x14ac:dyDescent="0.25">
      <c r="C1570" s="2" t="s">
        <v>12149</v>
      </c>
      <c r="D1570" s="2" t="s">
        <v>59</v>
      </c>
      <c r="E1570" s="2">
        <v>149</v>
      </c>
      <c r="F1570" s="2">
        <v>2809.579</v>
      </c>
    </row>
    <row r="1571" spans="3:6" x14ac:dyDescent="0.25">
      <c r="C1571" s="2" t="s">
        <v>12150</v>
      </c>
      <c r="D1571" s="2" t="s">
        <v>59</v>
      </c>
      <c r="E1571" s="2">
        <v>149</v>
      </c>
      <c r="F1571" s="2">
        <v>2723.12</v>
      </c>
    </row>
    <row r="1572" spans="3:6" x14ac:dyDescent="0.25">
      <c r="C1572" s="2" t="s">
        <v>12151</v>
      </c>
      <c r="D1572" s="2" t="s">
        <v>59</v>
      </c>
      <c r="E1572" s="2">
        <v>149</v>
      </c>
      <c r="F1572" s="2">
        <v>2801.44</v>
      </c>
    </row>
    <row r="1573" spans="3:6" x14ac:dyDescent="0.25">
      <c r="C1573" s="2" t="s">
        <v>12152</v>
      </c>
      <c r="D1573" s="2" t="s">
        <v>59</v>
      </c>
      <c r="E1573" s="2">
        <v>149</v>
      </c>
      <c r="F1573" s="2">
        <v>2682.409</v>
      </c>
    </row>
    <row r="1575" spans="1:7" x14ac:dyDescent="0.25">
      <c r="A1575" s="1">
        <v>46128</v>
      </c>
      <c r="B1575" s="2" t="s">
        <v>433</v>
      </c>
      <c r="C1575" s="2" t="s">
        <v>12153</v>
      </c>
      <c r="D1575" s="2" t="s">
        <v>73</v>
      </c>
      <c r="E1575" s="2">
        <v>91</v>
      </c>
      <c r="F1575" s="2">
        <v>1763.359</v>
      </c>
      <c r="G1575" s="1">
        <v>46126</v>
      </c>
    </row>
    <row r="1576" spans="3:6" x14ac:dyDescent="0.25">
      <c r="C1576" s="2" t="s">
        <v>12154</v>
      </c>
      <c r="D1576" s="2" t="s">
        <v>73</v>
      </c>
      <c r="E1576" s="2">
        <v>85</v>
      </c>
      <c r="F1576" s="2">
        <v>1710.299</v>
      </c>
    </row>
    <row r="1577" spans="3:6" x14ac:dyDescent="0.25">
      <c r="C1577" s="2" t="s">
        <v>12155</v>
      </c>
      <c r="D1577" s="2" t="s">
        <v>73</v>
      </c>
      <c r="E1577" s="2">
        <v>87</v>
      </c>
      <c r="F1577" s="2">
        <v>1740.077</v>
      </c>
    </row>
    <row r="1578" spans="3:6" x14ac:dyDescent="0.25">
      <c r="C1578" s="2" t="s">
        <v>12156</v>
      </c>
      <c r="D1578" s="2" t="s">
        <v>73</v>
      </c>
      <c r="E1578" s="2">
        <v>99</v>
      </c>
      <c r="F1578" s="2">
        <v>1700.26</v>
      </c>
    </row>
    <row r="1579" spans="3:6" x14ac:dyDescent="0.25">
      <c r="C1579" s="2" t="s">
        <v>12157</v>
      </c>
      <c r="D1579" s="2" t="s">
        <v>73</v>
      </c>
      <c r="E1579" s="2">
        <v>16</v>
      </c>
      <c r="F1579" s="2">
        <v>292.29</v>
      </c>
    </row>
    <row r="1580" spans="3:6" x14ac:dyDescent="0.25">
      <c r="C1580" s="2" t="s">
        <v>12158</v>
      </c>
      <c r="D1580" s="2" t="s">
        <v>73</v>
      </c>
      <c r="E1580" s="2">
        <v>118</v>
      </c>
      <c r="F1580" s="2">
        <v>2310.87</v>
      </c>
    </row>
    <row r="1581" spans="3:6" x14ac:dyDescent="0.25">
      <c r="C1581" s="2" t="s">
        <v>12159</v>
      </c>
      <c r="D1581" s="2" t="s">
        <v>73</v>
      </c>
      <c r="E1581" s="2">
        <v>8</v>
      </c>
      <c r="F1581" s="2">
        <v>165.16</v>
      </c>
    </row>
    <row r="1582" spans="3:6" x14ac:dyDescent="0.25">
      <c r="C1582" s="2" t="s">
        <v>12160</v>
      </c>
      <c r="D1582" s="2" t="s">
        <v>73</v>
      </c>
      <c r="E1582" s="2">
        <v>107</v>
      </c>
      <c r="F1582" s="2">
        <v>2248.729</v>
      </c>
    </row>
    <row r="1583" spans="3:6" x14ac:dyDescent="0.25">
      <c r="C1583" s="2" t="s">
        <v>12161</v>
      </c>
      <c r="D1583" s="2" t="s">
        <v>73</v>
      </c>
      <c r="E1583" s="2">
        <v>27</v>
      </c>
      <c r="F1583" s="2">
        <v>586.6</v>
      </c>
    </row>
    <row r="1584" spans="3:6" x14ac:dyDescent="0.25">
      <c r="C1584" s="2" t="s">
        <v>12162</v>
      </c>
      <c r="D1584" s="2" t="s">
        <v>73</v>
      </c>
      <c r="E1584" s="2">
        <v>104</v>
      </c>
      <c r="F1584" s="2">
        <v>1873.42</v>
      </c>
    </row>
    <row r="1586" spans="1:7" x14ac:dyDescent="0.25">
      <c r="A1586" s="1">
        <v>46128</v>
      </c>
      <c r="B1586" s="2" t="s">
        <v>7</v>
      </c>
      <c r="C1586" s="2" t="s">
        <v>12163</v>
      </c>
      <c r="D1586" s="2" t="s">
        <v>9</v>
      </c>
      <c r="E1586" s="2">
        <v>99</v>
      </c>
      <c r="F1586" s="2">
        <v>1855.302</v>
      </c>
      <c r="G1586" s="1">
        <v>46128</v>
      </c>
    </row>
    <row r="1587" spans="3:6" x14ac:dyDescent="0.25">
      <c r="C1587" s="2" t="s">
        <v>12164</v>
      </c>
      <c r="D1587" s="2" t="s">
        <v>9</v>
      </c>
      <c r="E1587" s="2">
        <v>99</v>
      </c>
      <c r="F1587" s="2">
        <v>2074.729</v>
      </c>
    </row>
    <row r="1589" spans="1:7" x14ac:dyDescent="0.25">
      <c r="A1589" s="1">
        <v>46128</v>
      </c>
      <c r="B1589" s="2" t="s">
        <v>8809</v>
      </c>
      <c r="C1589" s="2" t="s">
        <v>12165</v>
      </c>
      <c r="D1589" s="2" t="s">
        <v>3848</v>
      </c>
      <c r="E1589" s="2">
        <v>67</v>
      </c>
      <c r="F1589" s="2">
        <v>1112.005</v>
      </c>
      <c r="G1589" s="1">
        <v>46126</v>
      </c>
    </row>
    <row r="1590" spans="3:6" x14ac:dyDescent="0.25">
      <c r="C1590" s="2" t="s">
        <v>12166</v>
      </c>
      <c r="D1590" s="2" t="s">
        <v>3848</v>
      </c>
      <c r="E1590" s="2">
        <v>67</v>
      </c>
      <c r="F1590" s="2">
        <v>1102.006</v>
      </c>
    </row>
    <row r="1592" spans="1:7" x14ac:dyDescent="0.25">
      <c r="A1592" s="1">
        <v>46128</v>
      </c>
      <c r="B1592" s="2" t="s">
        <v>7875</v>
      </c>
      <c r="C1592" s="2" t="s">
        <v>12167</v>
      </c>
      <c r="D1592" s="2" t="s">
        <v>59</v>
      </c>
      <c r="E1592" s="2">
        <v>170</v>
      </c>
      <c r="F1592" s="2">
        <v>3265.228</v>
      </c>
      <c r="G1592" s="1">
        <v>46126</v>
      </c>
    </row>
    <row r="1593" spans="3:6" x14ac:dyDescent="0.25">
      <c r="C1593" s="2" t="s">
        <v>12168</v>
      </c>
      <c r="D1593" s="2" t="s">
        <v>59</v>
      </c>
      <c r="E1593" s="2">
        <v>170</v>
      </c>
      <c r="F1593" s="2">
        <v>3199.489</v>
      </c>
    </row>
    <row r="1594" spans="3:6" x14ac:dyDescent="0.25">
      <c r="C1594" s="2" t="s">
        <v>12169</v>
      </c>
      <c r="D1594" s="2" t="s">
        <v>59</v>
      </c>
      <c r="E1594" s="2">
        <v>234</v>
      </c>
      <c r="F1594" s="2">
        <v>4253.7</v>
      </c>
    </row>
    <row r="1595" spans="3:6" x14ac:dyDescent="0.25">
      <c r="C1595" s="2" t="s">
        <v>12170</v>
      </c>
      <c r="D1595" s="2" t="s">
        <v>59</v>
      </c>
      <c r="E1595" s="2">
        <v>174</v>
      </c>
      <c r="F1595" s="2">
        <v>3166.449</v>
      </c>
    </row>
    <row r="1596" spans="3:6" x14ac:dyDescent="0.25">
      <c r="C1596" s="2" t="s">
        <v>12171</v>
      </c>
      <c r="D1596" s="2" t="s">
        <v>59</v>
      </c>
      <c r="E1596" s="2">
        <v>174</v>
      </c>
      <c r="F1596" s="2">
        <v>2979.769</v>
      </c>
    </row>
    <row r="1597" spans="3:6" x14ac:dyDescent="0.25">
      <c r="C1597" s="2" t="s">
        <v>12172</v>
      </c>
      <c r="D1597" s="2" t="s">
        <v>59</v>
      </c>
      <c r="E1597" s="2">
        <v>147</v>
      </c>
      <c r="F1597" s="2">
        <v>2621.494</v>
      </c>
    </row>
    <row r="1598" spans="3:6" x14ac:dyDescent="0.25">
      <c r="C1598" s="2" t="s">
        <v>12173</v>
      </c>
      <c r="D1598" s="2" t="s">
        <v>59</v>
      </c>
      <c r="E1598" s="2">
        <v>184</v>
      </c>
      <c r="F1598" s="2">
        <v>3153.13</v>
      </c>
    </row>
    <row r="1599" spans="3:6" x14ac:dyDescent="0.25">
      <c r="C1599" s="2" t="s">
        <v>12174</v>
      </c>
      <c r="D1599" s="2" t="s">
        <v>59</v>
      </c>
      <c r="E1599" s="2">
        <v>298</v>
      </c>
      <c r="F1599" s="2">
        <v>5187.147</v>
      </c>
    </row>
    <row r="1600" spans="3:6" x14ac:dyDescent="0.25">
      <c r="C1600" s="2" t="s">
        <v>12175</v>
      </c>
      <c r="D1600" s="2" t="s">
        <v>59</v>
      </c>
      <c r="E1600" s="2">
        <v>298</v>
      </c>
      <c r="F1600" s="2">
        <v>5227.778</v>
      </c>
    </row>
    <row r="1601" spans="3:6" x14ac:dyDescent="0.25">
      <c r="C1601" s="2" t="s">
        <v>12176</v>
      </c>
      <c r="D1601" s="2" t="s">
        <v>59</v>
      </c>
      <c r="E1601" s="2">
        <v>298</v>
      </c>
      <c r="F1601" s="2">
        <v>5548.129</v>
      </c>
    </row>
    <row r="1602" spans="3:6" x14ac:dyDescent="0.25">
      <c r="C1602" s="2" t="s">
        <v>12177</v>
      </c>
      <c r="D1602" s="2" t="s">
        <v>59</v>
      </c>
      <c r="E1602" s="2">
        <v>90</v>
      </c>
      <c r="F1602" s="2">
        <v>1683.948</v>
      </c>
    </row>
    <row r="1603" spans="3:6" x14ac:dyDescent="0.25">
      <c r="C1603" s="2" t="s">
        <v>12136</v>
      </c>
      <c r="D1603" s="2" t="s">
        <v>59</v>
      </c>
      <c r="E1603" s="2">
        <v>15</v>
      </c>
      <c r="F1603" s="2">
        <v>328.23</v>
      </c>
    </row>
    <row r="1604" spans="3:6" x14ac:dyDescent="0.25">
      <c r="C1604" s="2" t="s">
        <v>12137</v>
      </c>
      <c r="D1604" s="2" t="s">
        <v>59</v>
      </c>
      <c r="E1604" s="2">
        <v>95</v>
      </c>
      <c r="F1604" s="2">
        <v>1834.78</v>
      </c>
    </row>
    <row r="1605" spans="3:6" x14ac:dyDescent="0.25">
      <c r="C1605" s="2" t="s">
        <v>12142</v>
      </c>
      <c r="D1605" s="2" t="s">
        <v>59</v>
      </c>
      <c r="E1605" s="2">
        <v>102</v>
      </c>
      <c r="F1605" s="2">
        <v>1834.099</v>
      </c>
    </row>
    <row r="1606" spans="3:6" x14ac:dyDescent="0.25">
      <c r="C1606" s="2" t="s">
        <v>12141</v>
      </c>
      <c r="D1606" s="2" t="s">
        <v>59</v>
      </c>
      <c r="E1606" s="2">
        <v>149</v>
      </c>
      <c r="F1606" s="2">
        <v>2669.96</v>
      </c>
    </row>
    <row r="1607" spans="3:6" x14ac:dyDescent="0.25">
      <c r="C1607" s="2" t="s">
        <v>12140</v>
      </c>
      <c r="D1607" s="2" t="s">
        <v>59</v>
      </c>
      <c r="E1607" s="2">
        <v>149</v>
      </c>
      <c r="F1607" s="2">
        <v>2655.53</v>
      </c>
    </row>
    <row r="1608" spans="3:6" x14ac:dyDescent="0.25">
      <c r="C1608" s="2" t="s">
        <v>12139</v>
      </c>
      <c r="D1608" s="2" t="s">
        <v>59</v>
      </c>
      <c r="E1608" s="2">
        <v>149</v>
      </c>
      <c r="F1608" s="2">
        <v>2650.269</v>
      </c>
    </row>
    <row r="1609" spans="3:6" x14ac:dyDescent="0.25">
      <c r="C1609" s="2" t="s">
        <v>12134</v>
      </c>
      <c r="D1609" s="2" t="s">
        <v>59</v>
      </c>
      <c r="E1609" s="2">
        <v>94</v>
      </c>
      <c r="F1609" s="2">
        <v>1526.886</v>
      </c>
    </row>
    <row r="1610" spans="3:6" x14ac:dyDescent="0.25">
      <c r="C1610" s="2" t="s">
        <v>12135</v>
      </c>
      <c r="D1610" s="2" t="s">
        <v>59</v>
      </c>
      <c r="E1610" s="2">
        <v>81</v>
      </c>
      <c r="F1610" s="2">
        <v>1539.247</v>
      </c>
    </row>
    <row r="1611" spans="3:6" x14ac:dyDescent="0.25">
      <c r="C1611" s="2" t="s">
        <v>12138</v>
      </c>
      <c r="D1611" s="2" t="s">
        <v>59</v>
      </c>
      <c r="E1611" s="2">
        <v>102</v>
      </c>
      <c r="F1611" s="2">
        <v>1984.52</v>
      </c>
    </row>
    <row r="1612" spans="3:6" x14ac:dyDescent="0.25">
      <c r="C1612" s="2" t="s">
        <v>12130</v>
      </c>
      <c r="D1612" s="2" t="s">
        <v>59</v>
      </c>
      <c r="E1612" s="2">
        <v>134</v>
      </c>
      <c r="F1612" s="2">
        <v>2973.81</v>
      </c>
    </row>
    <row r="1613" spans="3:6" x14ac:dyDescent="0.25">
      <c r="C1613" s="2" t="s">
        <v>12132</v>
      </c>
      <c r="D1613" s="2" t="s">
        <v>59</v>
      </c>
      <c r="E1613" s="2">
        <v>148</v>
      </c>
      <c r="F1613" s="2">
        <v>3016.361</v>
      </c>
    </row>
    <row r="1614" spans="3:6" x14ac:dyDescent="0.25">
      <c r="C1614" s="2" t="s">
        <v>12133</v>
      </c>
      <c r="D1614" s="2" t="s">
        <v>59</v>
      </c>
      <c r="E1614" s="2">
        <v>145</v>
      </c>
      <c r="F1614" s="2">
        <v>2485.759</v>
      </c>
    </row>
    <row r="1615" spans="3:6" x14ac:dyDescent="0.25">
      <c r="C1615" s="2" t="s">
        <v>12178</v>
      </c>
      <c r="D1615" s="2" t="s">
        <v>59</v>
      </c>
      <c r="E1615" s="2">
        <v>234</v>
      </c>
      <c r="F1615" s="2">
        <v>4081.308</v>
      </c>
    </row>
    <row r="1616" spans="3:6" x14ac:dyDescent="0.25">
      <c r="C1616" s="2" t="s">
        <v>12179</v>
      </c>
      <c r="D1616" s="2" t="s">
        <v>59</v>
      </c>
      <c r="E1616" s="2">
        <v>234</v>
      </c>
      <c r="F1616" s="2">
        <v>4151.149</v>
      </c>
    </row>
    <row r="1617" spans="3:6" x14ac:dyDescent="0.25">
      <c r="C1617" s="2" t="s">
        <v>12180</v>
      </c>
      <c r="D1617" s="2" t="s">
        <v>59</v>
      </c>
      <c r="E1617" s="2">
        <v>117</v>
      </c>
      <c r="F1617" s="2">
        <v>2149.61</v>
      </c>
    </row>
    <row r="1618" spans="3:6" x14ac:dyDescent="0.25">
      <c r="C1618" s="2" t="s">
        <v>12181</v>
      </c>
      <c r="D1618" s="2" t="s">
        <v>59</v>
      </c>
      <c r="E1618" s="2">
        <v>110</v>
      </c>
      <c r="F1618" s="2">
        <v>2196.029</v>
      </c>
    </row>
    <row r="1619" spans="3:6" x14ac:dyDescent="0.25">
      <c r="C1619" s="2" t="s">
        <v>12182</v>
      </c>
      <c r="D1619" s="2" t="s">
        <v>59</v>
      </c>
      <c r="E1619" s="2">
        <v>170</v>
      </c>
      <c r="F1619" s="2">
        <v>3187.74</v>
      </c>
    </row>
    <row r="1620" spans="3:6" x14ac:dyDescent="0.25">
      <c r="C1620" s="2" t="s">
        <v>12183</v>
      </c>
      <c r="D1620" s="2" t="s">
        <v>59</v>
      </c>
      <c r="E1620" s="2">
        <v>170</v>
      </c>
      <c r="F1620" s="2">
        <v>3186.84</v>
      </c>
    </row>
    <row r="1621" spans="3:6" x14ac:dyDescent="0.25">
      <c r="C1621" s="2" t="s">
        <v>12184</v>
      </c>
      <c r="D1621" s="2" t="s">
        <v>59</v>
      </c>
      <c r="E1621" s="2">
        <v>270</v>
      </c>
      <c r="F1621" s="2">
        <v>5163.699</v>
      </c>
    </row>
    <row r="1622" spans="3:6" x14ac:dyDescent="0.25">
      <c r="C1622" s="2" t="s">
        <v>12185</v>
      </c>
      <c r="D1622" s="2" t="s">
        <v>59</v>
      </c>
      <c r="E1622" s="2">
        <v>110</v>
      </c>
      <c r="F1622" s="2">
        <v>2018.414</v>
      </c>
    </row>
    <row r="1624" spans="1:7" x14ac:dyDescent="0.25">
      <c r="A1624" s="1">
        <v>46128</v>
      </c>
      <c r="B1624" s="2" t="s">
        <v>347</v>
      </c>
      <c r="C1624" s="2" t="s">
        <v>12186</v>
      </c>
      <c r="D1624" s="2" t="s">
        <v>59</v>
      </c>
      <c r="E1624" s="2">
        <v>102</v>
      </c>
      <c r="F1624" s="2">
        <v>1942.51</v>
      </c>
      <c r="G1624" s="1">
        <v>46128</v>
      </c>
    </row>
    <row r="1625" spans="3:6" x14ac:dyDescent="0.25">
      <c r="C1625" s="2" t="s">
        <v>12187</v>
      </c>
      <c r="D1625" s="2" t="s">
        <v>59</v>
      </c>
      <c r="E1625" s="2">
        <v>102</v>
      </c>
      <c r="F1625" s="2">
        <v>2031.829</v>
      </c>
    </row>
    <row r="1626" spans="3:6" x14ac:dyDescent="0.25">
      <c r="C1626" s="2" t="s">
        <v>12188</v>
      </c>
      <c r="D1626" s="2" t="s">
        <v>59</v>
      </c>
      <c r="E1626" s="2">
        <v>241</v>
      </c>
      <c r="F1626" s="2">
        <v>4891.726</v>
      </c>
    </row>
    <row r="1627" spans="3:6" x14ac:dyDescent="0.25">
      <c r="C1627" s="2" t="s">
        <v>12189</v>
      </c>
      <c r="D1627" s="2" t="s">
        <v>59</v>
      </c>
      <c r="E1627" s="2">
        <v>298</v>
      </c>
      <c r="F1627" s="2">
        <v>5454.768</v>
      </c>
    </row>
    <row r="1628" spans="3:6" x14ac:dyDescent="0.25">
      <c r="C1628" s="2" t="s">
        <v>12190</v>
      </c>
      <c r="D1628" s="2" t="s">
        <v>59</v>
      </c>
      <c r="E1628" s="2">
        <v>251</v>
      </c>
      <c r="F1628" s="2">
        <v>4679.509</v>
      </c>
    </row>
    <row r="1629" spans="3:6" x14ac:dyDescent="0.25">
      <c r="C1629" s="2" t="s">
        <v>12191</v>
      </c>
      <c r="D1629" s="2" t="s">
        <v>59</v>
      </c>
      <c r="E1629" s="2">
        <v>251</v>
      </c>
      <c r="F1629" s="2">
        <v>4573.408</v>
      </c>
    </row>
    <row r="1630" spans="3:6" x14ac:dyDescent="0.25">
      <c r="C1630" s="2" t="s">
        <v>12192</v>
      </c>
      <c r="D1630" s="2" t="s">
        <v>59</v>
      </c>
      <c r="E1630" s="2">
        <v>149</v>
      </c>
      <c r="F1630" s="2">
        <v>2671.13</v>
      </c>
    </row>
    <row r="1631" spans="3:6" x14ac:dyDescent="0.25">
      <c r="C1631" s="2" t="s">
        <v>12193</v>
      </c>
      <c r="D1631" s="2" t="s">
        <v>59</v>
      </c>
      <c r="E1631" s="2">
        <v>154</v>
      </c>
      <c r="F1631" s="2">
        <v>3675.38</v>
      </c>
    </row>
    <row r="1633" spans="1:7" x14ac:dyDescent="0.25">
      <c r="A1633" s="1">
        <v>46129</v>
      </c>
      <c r="B1633" s="2" t="s">
        <v>71</v>
      </c>
      <c r="C1633" s="2" t="s">
        <v>12194</v>
      </c>
      <c r="D1633" s="2" t="s">
        <v>73</v>
      </c>
      <c r="E1633" s="2">
        <v>101</v>
      </c>
      <c r="F1633" s="2">
        <v>1898.56</v>
      </c>
      <c r="G1633" s="1">
        <v>46128</v>
      </c>
    </row>
    <row r="1634" spans="3:6" x14ac:dyDescent="0.25">
      <c r="C1634" s="2" t="s">
        <v>12195</v>
      </c>
      <c r="D1634" s="2" t="s">
        <v>73</v>
      </c>
      <c r="E1634" s="2">
        <v>46</v>
      </c>
      <c r="F1634" s="2">
        <v>783.999</v>
      </c>
    </row>
    <row r="1635" spans="3:6" x14ac:dyDescent="0.25">
      <c r="C1635" s="2" t="s">
        <v>12196</v>
      </c>
      <c r="D1635" s="2" t="s">
        <v>73</v>
      </c>
      <c r="E1635" s="2">
        <v>55</v>
      </c>
      <c r="F1635" s="2">
        <v>1004.75</v>
      </c>
    </row>
    <row r="1636" spans="3:6" x14ac:dyDescent="0.25">
      <c r="C1636" s="2" t="s">
        <v>12197</v>
      </c>
      <c r="D1636" s="2" t="s">
        <v>73</v>
      </c>
      <c r="E1636" s="2">
        <v>88</v>
      </c>
      <c r="F1636" s="2">
        <v>1730.45</v>
      </c>
    </row>
    <row r="1637" spans="3:6" x14ac:dyDescent="0.25">
      <c r="C1637" s="2" t="s">
        <v>12198</v>
      </c>
      <c r="D1637" s="2" t="s">
        <v>73</v>
      </c>
      <c r="E1637" s="2">
        <v>12</v>
      </c>
      <c r="F1637" s="2">
        <v>212.6</v>
      </c>
    </row>
    <row r="1639" spans="1:7" x14ac:dyDescent="0.25">
      <c r="A1639" s="1">
        <v>46129</v>
      </c>
      <c r="B1639" s="2" t="s">
        <v>5137</v>
      </c>
      <c r="C1639" s="2" t="s">
        <v>12199</v>
      </c>
      <c r="D1639" s="2" t="s">
        <v>178</v>
      </c>
      <c r="E1639" s="2">
        <v>204</v>
      </c>
      <c r="F1639" s="2">
        <v>3960.659</v>
      </c>
      <c r="G1639" s="1">
        <v>46128</v>
      </c>
    </row>
    <row r="1640" spans="3:6" x14ac:dyDescent="0.25">
      <c r="C1640" s="2" t="s">
        <v>12031</v>
      </c>
      <c r="D1640" s="2" t="s">
        <v>178</v>
      </c>
      <c r="E1640" s="2">
        <v>70</v>
      </c>
      <c r="F1640" s="2">
        <v>1284.059</v>
      </c>
    </row>
    <row r="1641" spans="3:6" x14ac:dyDescent="0.25">
      <c r="C1641" s="2" t="s">
        <v>12032</v>
      </c>
      <c r="D1641" s="2" t="s">
        <v>178</v>
      </c>
      <c r="E1641" s="2">
        <v>71</v>
      </c>
      <c r="F1641" s="2">
        <v>1349.809</v>
      </c>
    </row>
    <row r="1642" spans="3:6" x14ac:dyDescent="0.25">
      <c r="C1642" s="2" t="s">
        <v>12034</v>
      </c>
      <c r="D1642" s="2" t="s">
        <v>178</v>
      </c>
      <c r="E1642" s="2">
        <v>35</v>
      </c>
      <c r="F1642" s="2">
        <v>624.42</v>
      </c>
    </row>
    <row r="1643" spans="3:6" x14ac:dyDescent="0.25">
      <c r="C1643" s="2" t="s">
        <v>12033</v>
      </c>
      <c r="D1643" s="2" t="s">
        <v>178</v>
      </c>
      <c r="E1643" s="2">
        <v>107</v>
      </c>
      <c r="F1643" s="2">
        <v>1862.05</v>
      </c>
    </row>
    <row r="1644" spans="3:6" x14ac:dyDescent="0.25">
      <c r="C1644" s="2" t="s">
        <v>12200</v>
      </c>
      <c r="D1644" s="2" t="s">
        <v>178</v>
      </c>
      <c r="E1644" s="2">
        <v>307</v>
      </c>
      <c r="F1644" s="2">
        <v>6303.2</v>
      </c>
    </row>
    <row r="1645" spans="3:6" x14ac:dyDescent="0.25">
      <c r="C1645" s="2" t="s">
        <v>12201</v>
      </c>
      <c r="D1645" s="2" t="s">
        <v>178</v>
      </c>
      <c r="E1645" s="2">
        <v>102</v>
      </c>
      <c r="F1645" s="2">
        <v>2087.67</v>
      </c>
    </row>
    <row r="1646" spans="3:6" x14ac:dyDescent="0.25">
      <c r="C1646" s="2" t="s">
        <v>12202</v>
      </c>
      <c r="D1646" s="2" t="s">
        <v>178</v>
      </c>
      <c r="E1646" s="2">
        <v>123</v>
      </c>
      <c r="F1646" s="2">
        <v>2593.68</v>
      </c>
    </row>
    <row r="1647" spans="3:6" x14ac:dyDescent="0.25">
      <c r="C1647" s="2" t="s">
        <v>12203</v>
      </c>
      <c r="D1647" s="2" t="s">
        <v>178</v>
      </c>
      <c r="E1647" s="2">
        <v>141</v>
      </c>
      <c r="F1647" s="2">
        <v>2882.69</v>
      </c>
    </row>
    <row r="1648" spans="3:6" x14ac:dyDescent="0.25">
      <c r="C1648" s="2" t="s">
        <v>12204</v>
      </c>
      <c r="D1648" s="2" t="s">
        <v>178</v>
      </c>
      <c r="E1648" s="2">
        <v>282</v>
      </c>
      <c r="F1648" s="2">
        <v>5827.75</v>
      </c>
    </row>
    <row r="1649" spans="3:6" x14ac:dyDescent="0.25">
      <c r="C1649" s="2" t="s">
        <v>12205</v>
      </c>
      <c r="D1649" s="2" t="s">
        <v>178</v>
      </c>
      <c r="E1649" s="2">
        <v>102</v>
      </c>
      <c r="F1649" s="2">
        <v>2156.368</v>
      </c>
    </row>
    <row r="1650" spans="3:6" x14ac:dyDescent="0.25">
      <c r="C1650" s="2" t="s">
        <v>12206</v>
      </c>
      <c r="D1650" s="2" t="s">
        <v>178</v>
      </c>
      <c r="E1650" s="2">
        <v>282</v>
      </c>
      <c r="F1650" s="2">
        <v>5906.3</v>
      </c>
    </row>
    <row r="1651" spans="3:6" x14ac:dyDescent="0.25">
      <c r="C1651" s="2" t="s">
        <v>12207</v>
      </c>
      <c r="D1651" s="2" t="s">
        <v>178</v>
      </c>
      <c r="E1651" s="2">
        <v>30</v>
      </c>
      <c r="F1651" s="2">
        <v>125.779</v>
      </c>
    </row>
    <row r="1652" spans="3:6" x14ac:dyDescent="0.25">
      <c r="C1652" s="2" t="s">
        <v>12208</v>
      </c>
      <c r="D1652" s="2" t="s">
        <v>178</v>
      </c>
      <c r="E1652" s="2">
        <v>52</v>
      </c>
      <c r="F1652" s="2">
        <v>219.36</v>
      </c>
    </row>
    <row r="1653" spans="3:6" x14ac:dyDescent="0.25">
      <c r="C1653" s="2" t="s">
        <v>12209</v>
      </c>
      <c r="D1653" s="2" t="s">
        <v>178</v>
      </c>
      <c r="E1653" s="2">
        <v>123</v>
      </c>
      <c r="F1653" s="2">
        <v>2528.58</v>
      </c>
    </row>
    <row r="1654" spans="3:6" x14ac:dyDescent="0.25">
      <c r="C1654" s="2" t="s">
        <v>12210</v>
      </c>
      <c r="D1654" s="2" t="s">
        <v>178</v>
      </c>
      <c r="E1654" s="2">
        <v>65</v>
      </c>
      <c r="F1654" s="2">
        <v>1096.501</v>
      </c>
    </row>
    <row r="1655" spans="3:6" x14ac:dyDescent="0.25">
      <c r="C1655" s="2" t="s">
        <v>12211</v>
      </c>
      <c r="D1655" s="2" t="s">
        <v>178</v>
      </c>
      <c r="E1655" s="2">
        <v>10</v>
      </c>
      <c r="F1655" s="2">
        <v>187.23</v>
      </c>
    </row>
    <row r="1656" spans="3:6" x14ac:dyDescent="0.25">
      <c r="C1656" s="2" t="s">
        <v>12212</v>
      </c>
      <c r="D1656" s="2" t="s">
        <v>178</v>
      </c>
      <c r="E1656" s="2">
        <v>282</v>
      </c>
      <c r="F1656" s="2">
        <v>5901.4</v>
      </c>
    </row>
    <row r="1657" spans="3:6" x14ac:dyDescent="0.25">
      <c r="C1657" s="2" t="s">
        <v>12213</v>
      </c>
      <c r="D1657" s="2" t="s">
        <v>178</v>
      </c>
      <c r="E1657" s="2">
        <v>220</v>
      </c>
      <c r="F1657" s="2">
        <v>4558.09</v>
      </c>
    </row>
    <row r="1658" spans="3:6" x14ac:dyDescent="0.25">
      <c r="C1658" s="2" t="s">
        <v>12214</v>
      </c>
      <c r="D1658" s="2" t="s">
        <v>178</v>
      </c>
      <c r="E1658" s="2">
        <v>55</v>
      </c>
      <c r="F1658" s="2">
        <v>976.34</v>
      </c>
    </row>
    <row r="1659" spans="3:6" x14ac:dyDescent="0.25">
      <c r="C1659" s="2" t="s">
        <v>12215</v>
      </c>
      <c r="D1659" s="2" t="s">
        <v>178</v>
      </c>
      <c r="E1659" s="2">
        <v>282</v>
      </c>
      <c r="F1659" s="2">
        <v>5837.56</v>
      </c>
    </row>
    <row r="1660" spans="3:6" x14ac:dyDescent="0.25">
      <c r="C1660" s="2" t="s">
        <v>12216</v>
      </c>
      <c r="D1660" s="2" t="s">
        <v>178</v>
      </c>
      <c r="E1660" s="2">
        <v>144</v>
      </c>
      <c r="F1660" s="2">
        <v>2917.739</v>
      </c>
    </row>
    <row r="1661" spans="3:6" x14ac:dyDescent="0.25">
      <c r="C1661" s="2" t="s">
        <v>12217</v>
      </c>
      <c r="D1661" s="2" t="s">
        <v>178</v>
      </c>
      <c r="E1661" s="2">
        <v>102</v>
      </c>
      <c r="F1661" s="2">
        <v>2108.53</v>
      </c>
    </row>
    <row r="1662" spans="3:6" x14ac:dyDescent="0.25">
      <c r="C1662" s="2" t="s">
        <v>12218</v>
      </c>
      <c r="D1662" s="2" t="s">
        <v>178</v>
      </c>
      <c r="E1662" s="2">
        <v>141</v>
      </c>
      <c r="F1662" s="2">
        <v>2698.49</v>
      </c>
    </row>
    <row r="1663" spans="3:6" x14ac:dyDescent="0.25">
      <c r="C1663" s="2" t="s">
        <v>12219</v>
      </c>
      <c r="D1663" s="2" t="s">
        <v>178</v>
      </c>
      <c r="E1663" s="2">
        <v>28</v>
      </c>
      <c r="F1663" s="2">
        <v>584.33</v>
      </c>
    </row>
    <row r="1664" spans="3:6" x14ac:dyDescent="0.25">
      <c r="C1664" s="2" t="s">
        <v>12220</v>
      </c>
      <c r="D1664" s="2" t="s">
        <v>178</v>
      </c>
      <c r="E1664" s="2">
        <v>113</v>
      </c>
      <c r="F1664" s="2">
        <v>2399.22</v>
      </c>
    </row>
    <row r="1665" spans="3:6" x14ac:dyDescent="0.25">
      <c r="C1665" s="2" t="s">
        <v>12221</v>
      </c>
      <c r="D1665" s="2" t="s">
        <v>178</v>
      </c>
      <c r="E1665" s="2">
        <v>122</v>
      </c>
      <c r="F1665" s="2">
        <v>2599.32</v>
      </c>
    </row>
    <row r="1666" spans="3:6" x14ac:dyDescent="0.25">
      <c r="C1666" s="2" t="s">
        <v>12222</v>
      </c>
      <c r="D1666" s="2" t="s">
        <v>178</v>
      </c>
      <c r="E1666" s="2">
        <v>19</v>
      </c>
      <c r="F1666" s="2">
        <v>402.13</v>
      </c>
    </row>
    <row r="1667" spans="3:6" x14ac:dyDescent="0.25">
      <c r="C1667" s="2" t="s">
        <v>12223</v>
      </c>
      <c r="D1667" s="2" t="s">
        <v>178</v>
      </c>
      <c r="E1667" s="2">
        <v>51</v>
      </c>
      <c r="F1667" s="2">
        <v>956.569</v>
      </c>
    </row>
    <row r="1668" spans="3:6" x14ac:dyDescent="0.25">
      <c r="C1668" s="2" t="s">
        <v>12224</v>
      </c>
      <c r="D1668" s="2" t="s">
        <v>178</v>
      </c>
      <c r="E1668" s="2">
        <v>35</v>
      </c>
      <c r="F1668" s="2">
        <v>659.49</v>
      </c>
    </row>
    <row r="1669" spans="3:6" x14ac:dyDescent="0.25">
      <c r="C1669" s="2" t="s">
        <v>12225</v>
      </c>
      <c r="D1669" s="2" t="s">
        <v>178</v>
      </c>
      <c r="E1669" s="2">
        <v>56</v>
      </c>
      <c r="F1669" s="2">
        <v>1060.659</v>
      </c>
    </row>
    <row r="1670" spans="3:6" x14ac:dyDescent="0.25">
      <c r="C1670" s="2" t="s">
        <v>12226</v>
      </c>
      <c r="D1670" s="2" t="s">
        <v>178</v>
      </c>
      <c r="E1670" s="2">
        <v>67</v>
      </c>
      <c r="F1670" s="2">
        <v>1465.81</v>
      </c>
    </row>
    <row r="1671" spans="3:6" x14ac:dyDescent="0.25">
      <c r="C1671" s="2" t="s">
        <v>12227</v>
      </c>
      <c r="D1671" s="2" t="s">
        <v>178</v>
      </c>
      <c r="E1671" s="2">
        <v>74</v>
      </c>
      <c r="F1671" s="2">
        <v>1545.42</v>
      </c>
    </row>
    <row r="1672" spans="3:6" x14ac:dyDescent="0.25">
      <c r="C1672" s="2" t="s">
        <v>12228</v>
      </c>
      <c r="D1672" s="2" t="s">
        <v>178</v>
      </c>
      <c r="E1672" s="2">
        <v>50</v>
      </c>
      <c r="F1672" s="2">
        <v>925.89</v>
      </c>
    </row>
    <row r="1673" spans="3:6" x14ac:dyDescent="0.25">
      <c r="C1673" s="2" t="s">
        <v>12229</v>
      </c>
      <c r="D1673" s="2" t="s">
        <v>178</v>
      </c>
      <c r="E1673" s="2">
        <v>91</v>
      </c>
      <c r="F1673" s="2">
        <v>1860.3</v>
      </c>
    </row>
    <row r="1674" spans="3:6" x14ac:dyDescent="0.25">
      <c r="C1674" s="2" t="s">
        <v>12230</v>
      </c>
      <c r="D1674" s="2" t="s">
        <v>178</v>
      </c>
      <c r="E1674" s="2">
        <v>141</v>
      </c>
      <c r="F1674" s="2">
        <v>2805.33</v>
      </c>
    </row>
    <row r="1675" spans="3:6" x14ac:dyDescent="0.25">
      <c r="C1675" s="2" t="s">
        <v>12231</v>
      </c>
      <c r="D1675" s="2" t="s">
        <v>178</v>
      </c>
      <c r="E1675" s="2">
        <v>141</v>
      </c>
      <c r="F1675" s="2">
        <v>2683.11</v>
      </c>
    </row>
    <row r="1677" spans="1:7" x14ac:dyDescent="0.25">
      <c r="A1677" s="1">
        <v>46129</v>
      </c>
      <c r="B1677" s="2" t="s">
        <v>12232</v>
      </c>
      <c r="C1677" s="2" t="s">
        <v>12233</v>
      </c>
      <c r="D1677" s="2" t="s">
        <v>292</v>
      </c>
      <c r="E1677" s="2">
        <v>68</v>
      </c>
      <c r="F1677" s="2">
        <v>1393.269</v>
      </c>
      <c r="G1677" s="1">
        <v>46128</v>
      </c>
    </row>
    <row r="1678" spans="3:6" x14ac:dyDescent="0.25">
      <c r="C1678" s="2" t="s">
        <v>12234</v>
      </c>
      <c r="D1678" s="2" t="s">
        <v>292</v>
      </c>
      <c r="E1678" s="2">
        <v>31</v>
      </c>
      <c r="F1678" s="2">
        <v>664.31</v>
      </c>
    </row>
    <row r="1679" spans="3:6" x14ac:dyDescent="0.25">
      <c r="C1679" s="2" t="s">
        <v>12235</v>
      </c>
      <c r="D1679" s="2" t="s">
        <v>292</v>
      </c>
      <c r="E1679" s="2">
        <v>24</v>
      </c>
      <c r="F1679" s="2">
        <v>443.21</v>
      </c>
    </row>
    <row r="1680" spans="3:6" x14ac:dyDescent="0.25">
      <c r="C1680" s="2" t="s">
        <v>12236</v>
      </c>
      <c r="D1680" s="2" t="s">
        <v>292</v>
      </c>
      <c r="E1680" s="2">
        <v>123</v>
      </c>
      <c r="F1680" s="2">
        <v>2422.119</v>
      </c>
    </row>
    <row r="1681" spans="3:6" x14ac:dyDescent="0.25">
      <c r="C1681" s="2" t="s">
        <v>12237</v>
      </c>
      <c r="D1681" s="2" t="s">
        <v>292</v>
      </c>
      <c r="E1681" s="2">
        <v>20</v>
      </c>
      <c r="F1681" s="2">
        <v>109.34</v>
      </c>
    </row>
    <row r="1682" spans="3:6" x14ac:dyDescent="0.25">
      <c r="C1682" s="2" t="s">
        <v>12238</v>
      </c>
      <c r="D1682" s="2" t="s">
        <v>292</v>
      </c>
      <c r="E1682" s="2">
        <v>117</v>
      </c>
      <c r="F1682" s="2">
        <v>2208.985</v>
      </c>
    </row>
    <row r="1683" spans="3:6" x14ac:dyDescent="0.25">
      <c r="C1683" s="2" t="s">
        <v>12239</v>
      </c>
      <c r="D1683" s="2" t="s">
        <v>292</v>
      </c>
      <c r="E1683" s="2">
        <v>73</v>
      </c>
      <c r="F1683" s="2">
        <v>1491.57</v>
      </c>
    </row>
    <row r="1684" spans="3:6" x14ac:dyDescent="0.25">
      <c r="C1684" s="2" t="s">
        <v>12240</v>
      </c>
      <c r="D1684" s="2" t="s">
        <v>292</v>
      </c>
      <c r="E1684" s="2">
        <v>48</v>
      </c>
      <c r="F1684" s="2">
        <v>794.229</v>
      </c>
    </row>
    <row r="1685" spans="3:6" x14ac:dyDescent="0.25">
      <c r="C1685" s="2" t="s">
        <v>12241</v>
      </c>
      <c r="D1685" s="2" t="s">
        <v>292</v>
      </c>
      <c r="E1685" s="2">
        <v>107</v>
      </c>
      <c r="F1685" s="2">
        <v>2008.92</v>
      </c>
    </row>
    <row r="1686" spans="3:6" x14ac:dyDescent="0.25">
      <c r="C1686" s="2" t="s">
        <v>12242</v>
      </c>
      <c r="D1686" s="2" t="s">
        <v>292</v>
      </c>
      <c r="E1686" s="2">
        <v>34</v>
      </c>
      <c r="F1686" s="2">
        <v>727.1</v>
      </c>
    </row>
    <row r="1687" spans="3:6" x14ac:dyDescent="0.25">
      <c r="C1687" s="2" t="s">
        <v>12243</v>
      </c>
      <c r="D1687" s="2" t="s">
        <v>292</v>
      </c>
      <c r="E1687" s="2">
        <v>58</v>
      </c>
      <c r="F1687" s="2">
        <v>1215.01</v>
      </c>
    </row>
    <row r="1688" spans="3:6" x14ac:dyDescent="0.25">
      <c r="C1688" s="2" t="s">
        <v>12244</v>
      </c>
      <c r="D1688" s="2" t="s">
        <v>292</v>
      </c>
      <c r="E1688" s="2">
        <v>43</v>
      </c>
      <c r="F1688" s="2">
        <v>888.3</v>
      </c>
    </row>
    <row r="1689" spans="3:6" x14ac:dyDescent="0.25">
      <c r="C1689" s="2" t="s">
        <v>12245</v>
      </c>
      <c r="D1689" s="2" t="s">
        <v>292</v>
      </c>
      <c r="E1689" s="2">
        <v>30</v>
      </c>
      <c r="F1689" s="2">
        <v>635.85</v>
      </c>
    </row>
    <row r="1690" spans="3:6" x14ac:dyDescent="0.25">
      <c r="C1690" s="2" t="s">
        <v>12246</v>
      </c>
      <c r="D1690" s="2" t="s">
        <v>292</v>
      </c>
      <c r="E1690" s="2">
        <v>45</v>
      </c>
      <c r="F1690" s="2">
        <v>242.91</v>
      </c>
    </row>
    <row r="1691" spans="3:6" x14ac:dyDescent="0.25">
      <c r="C1691" s="2" t="s">
        <v>12247</v>
      </c>
      <c r="D1691" s="2" t="s">
        <v>292</v>
      </c>
      <c r="E1691" s="2">
        <v>141</v>
      </c>
      <c r="F1691" s="2">
        <v>2958.17</v>
      </c>
    </row>
    <row r="1692" spans="3:6" x14ac:dyDescent="0.25">
      <c r="C1692" s="2" t="s">
        <v>12248</v>
      </c>
      <c r="D1692" s="2" t="s">
        <v>292</v>
      </c>
      <c r="E1692" s="2">
        <v>66</v>
      </c>
      <c r="F1692" s="2">
        <v>1278.359</v>
      </c>
    </row>
    <row r="1693" spans="3:6" x14ac:dyDescent="0.25">
      <c r="C1693" s="2" t="s">
        <v>12249</v>
      </c>
      <c r="D1693" s="2" t="s">
        <v>292</v>
      </c>
      <c r="E1693" s="2">
        <v>95</v>
      </c>
      <c r="F1693" s="2">
        <v>959.317</v>
      </c>
    </row>
    <row r="1694" spans="3:6" x14ac:dyDescent="0.25">
      <c r="C1694" s="2" t="s">
        <v>12250</v>
      </c>
      <c r="D1694" s="2" t="s">
        <v>292</v>
      </c>
      <c r="E1694" s="2">
        <v>141</v>
      </c>
      <c r="F1694" s="2">
        <v>2881.18</v>
      </c>
    </row>
    <row r="1695" spans="3:6" x14ac:dyDescent="0.25">
      <c r="C1695" s="2" t="s">
        <v>12251</v>
      </c>
      <c r="D1695" s="2" t="s">
        <v>292</v>
      </c>
      <c r="E1695" s="2">
        <v>14</v>
      </c>
      <c r="F1695" s="2">
        <v>303.38</v>
      </c>
    </row>
    <row r="1696" spans="3:6" x14ac:dyDescent="0.25">
      <c r="C1696" s="2" t="s">
        <v>12252</v>
      </c>
      <c r="D1696" s="2" t="s">
        <v>292</v>
      </c>
      <c r="E1696" s="2">
        <v>127</v>
      </c>
      <c r="F1696" s="2">
        <v>2562.918</v>
      </c>
    </row>
    <row r="1697" spans="3:6" x14ac:dyDescent="0.25">
      <c r="C1697" s="2" t="s">
        <v>12253</v>
      </c>
      <c r="D1697" s="2" t="s">
        <v>292</v>
      </c>
      <c r="E1697" s="2">
        <v>141</v>
      </c>
      <c r="F1697" s="2">
        <v>2954.88</v>
      </c>
    </row>
    <row r="1698" spans="3:6" x14ac:dyDescent="0.25">
      <c r="C1698" s="2" t="s">
        <v>12254</v>
      </c>
      <c r="D1698" s="2" t="s">
        <v>292</v>
      </c>
      <c r="E1698" s="2">
        <v>131</v>
      </c>
      <c r="F1698" s="2">
        <v>1746.721</v>
      </c>
    </row>
    <row r="1699" spans="3:6" x14ac:dyDescent="0.25">
      <c r="C1699" s="2" t="s">
        <v>12255</v>
      </c>
      <c r="D1699" s="2" t="s">
        <v>292</v>
      </c>
      <c r="E1699" s="2">
        <v>75</v>
      </c>
      <c r="F1699" s="2">
        <v>376.78</v>
      </c>
    </row>
    <row r="1700" spans="3:6" x14ac:dyDescent="0.25">
      <c r="C1700" s="2" t="s">
        <v>12256</v>
      </c>
      <c r="D1700" s="2" t="s">
        <v>292</v>
      </c>
      <c r="E1700" s="2">
        <v>126</v>
      </c>
      <c r="F1700" s="2">
        <v>2811.27</v>
      </c>
    </row>
    <row r="1701" spans="3:6" x14ac:dyDescent="0.25">
      <c r="C1701" s="2" t="s">
        <v>12257</v>
      </c>
      <c r="D1701" s="2" t="s">
        <v>292</v>
      </c>
      <c r="E1701" s="2">
        <v>8</v>
      </c>
      <c r="F1701" s="2">
        <v>137.7</v>
      </c>
    </row>
    <row r="1702" spans="3:6" x14ac:dyDescent="0.25">
      <c r="C1702" s="2" t="s">
        <v>12258</v>
      </c>
      <c r="D1702" s="2" t="s">
        <v>292</v>
      </c>
      <c r="E1702" s="2">
        <v>48</v>
      </c>
      <c r="F1702" s="2">
        <v>996.288</v>
      </c>
    </row>
    <row r="1703" spans="3:6" x14ac:dyDescent="0.25">
      <c r="C1703" s="2" t="s">
        <v>12259</v>
      </c>
      <c r="D1703" s="2" t="s">
        <v>292</v>
      </c>
      <c r="E1703" s="2">
        <v>52</v>
      </c>
      <c r="F1703" s="2">
        <v>967.32</v>
      </c>
    </row>
    <row r="1704" spans="3:6" x14ac:dyDescent="0.25">
      <c r="C1704" s="2" t="s">
        <v>12260</v>
      </c>
      <c r="D1704" s="2" t="s">
        <v>292</v>
      </c>
      <c r="E1704" s="2">
        <v>9</v>
      </c>
      <c r="F1704" s="2">
        <v>128.38</v>
      </c>
    </row>
    <row r="1705" spans="3:6" x14ac:dyDescent="0.25">
      <c r="C1705" s="2" t="s">
        <v>12261</v>
      </c>
      <c r="D1705" s="2" t="s">
        <v>292</v>
      </c>
      <c r="E1705" s="2">
        <v>92</v>
      </c>
      <c r="F1705" s="2">
        <v>1903.54</v>
      </c>
    </row>
    <row r="1706" spans="3:6" x14ac:dyDescent="0.25">
      <c r="C1706" s="2" t="s">
        <v>12262</v>
      </c>
      <c r="D1706" s="2" t="s">
        <v>292</v>
      </c>
      <c r="E1706" s="2">
        <v>37</v>
      </c>
      <c r="F1706" s="2">
        <v>760</v>
      </c>
    </row>
    <row r="1707" spans="3:6" x14ac:dyDescent="0.25">
      <c r="C1707" s="2" t="s">
        <v>12263</v>
      </c>
      <c r="D1707" s="2" t="s">
        <v>292</v>
      </c>
      <c r="E1707" s="2">
        <v>63</v>
      </c>
      <c r="F1707" s="2">
        <v>1282.03</v>
      </c>
    </row>
    <row r="1708" spans="3:6" x14ac:dyDescent="0.25">
      <c r="C1708" s="2" t="s">
        <v>12264</v>
      </c>
      <c r="D1708" s="2" t="s">
        <v>292</v>
      </c>
      <c r="E1708" s="2">
        <v>90</v>
      </c>
      <c r="F1708" s="2">
        <v>2015.54</v>
      </c>
    </row>
    <row r="1709" spans="3:6" x14ac:dyDescent="0.25">
      <c r="C1709" s="2" t="s">
        <v>12265</v>
      </c>
      <c r="D1709" s="2" t="s">
        <v>292</v>
      </c>
      <c r="E1709" s="2">
        <v>14</v>
      </c>
      <c r="F1709" s="2">
        <v>265.82</v>
      </c>
    </row>
    <row r="1710" spans="3:6" x14ac:dyDescent="0.25">
      <c r="C1710" s="2" t="s">
        <v>12266</v>
      </c>
      <c r="D1710" s="2" t="s">
        <v>292</v>
      </c>
      <c r="E1710" s="2">
        <v>42</v>
      </c>
      <c r="F1710" s="2">
        <v>490.83</v>
      </c>
    </row>
    <row r="1711" spans="3:6" x14ac:dyDescent="0.25">
      <c r="C1711" s="2" t="s">
        <v>12267</v>
      </c>
      <c r="D1711" s="2" t="s">
        <v>292</v>
      </c>
      <c r="E1711" s="2">
        <v>44</v>
      </c>
      <c r="F1711" s="2">
        <v>898.86</v>
      </c>
    </row>
    <row r="1712" spans="3:6" x14ac:dyDescent="0.25">
      <c r="C1712" s="2" t="s">
        <v>12044</v>
      </c>
      <c r="D1712" s="2" t="s">
        <v>292</v>
      </c>
      <c r="E1712" s="2">
        <v>65</v>
      </c>
      <c r="F1712" s="2">
        <v>1274.09</v>
      </c>
    </row>
    <row r="1713" spans="3:6" x14ac:dyDescent="0.25">
      <c r="C1713" s="2" t="s">
        <v>12268</v>
      </c>
      <c r="D1713" s="2" t="s">
        <v>292</v>
      </c>
      <c r="E1713" s="2">
        <v>10</v>
      </c>
      <c r="F1713" s="2">
        <v>212.27</v>
      </c>
    </row>
    <row r="1714" spans="3:6" x14ac:dyDescent="0.25">
      <c r="C1714" s="2" t="s">
        <v>12269</v>
      </c>
      <c r="D1714" s="2" t="s">
        <v>292</v>
      </c>
      <c r="E1714" s="2">
        <v>141</v>
      </c>
      <c r="F1714" s="2">
        <v>2922.789</v>
      </c>
    </row>
    <row r="1715" spans="3:6" x14ac:dyDescent="0.25">
      <c r="C1715" s="2" t="s">
        <v>12270</v>
      </c>
      <c r="D1715" s="2" t="s">
        <v>292</v>
      </c>
      <c r="E1715" s="2">
        <v>123</v>
      </c>
      <c r="F1715" s="2">
        <v>2590.15</v>
      </c>
    </row>
    <row r="1716" spans="3:6" x14ac:dyDescent="0.25">
      <c r="C1716" s="2" t="s">
        <v>12271</v>
      </c>
      <c r="D1716" s="2" t="s">
        <v>292</v>
      </c>
      <c r="E1716" s="2">
        <v>143</v>
      </c>
      <c r="F1716" s="2">
        <v>2950.95</v>
      </c>
    </row>
    <row r="1717" spans="3:6" x14ac:dyDescent="0.25">
      <c r="C1717" s="2" t="s">
        <v>12272</v>
      </c>
      <c r="D1717" s="2" t="s">
        <v>292</v>
      </c>
      <c r="E1717" s="2">
        <v>143</v>
      </c>
      <c r="F1717" s="2">
        <v>2950.7</v>
      </c>
    </row>
    <row r="1718" spans="3:6" x14ac:dyDescent="0.25">
      <c r="C1718" s="2" t="s">
        <v>12273</v>
      </c>
      <c r="D1718" s="2" t="s">
        <v>292</v>
      </c>
      <c r="E1718" s="2">
        <v>143</v>
      </c>
      <c r="F1718" s="2">
        <v>3050.15</v>
      </c>
    </row>
    <row r="1719" spans="3:6" x14ac:dyDescent="0.25">
      <c r="C1719" s="2" t="s">
        <v>12274</v>
      </c>
      <c r="D1719" s="2" t="s">
        <v>292</v>
      </c>
      <c r="E1719" s="2">
        <v>143</v>
      </c>
      <c r="F1719" s="2">
        <v>3063.85</v>
      </c>
    </row>
    <row r="1720" spans="3:6" x14ac:dyDescent="0.25">
      <c r="C1720" s="2" t="s">
        <v>12275</v>
      </c>
      <c r="D1720" s="2" t="s">
        <v>292</v>
      </c>
      <c r="E1720" s="2">
        <v>102</v>
      </c>
      <c r="F1720" s="2">
        <v>2179.23</v>
      </c>
    </row>
    <row r="1721" spans="3:6" x14ac:dyDescent="0.25">
      <c r="C1721" s="2" t="s">
        <v>12276</v>
      </c>
      <c r="D1721" s="2" t="s">
        <v>292</v>
      </c>
      <c r="E1721" s="2">
        <v>102</v>
      </c>
      <c r="F1721" s="2">
        <v>2166.94</v>
      </c>
    </row>
    <row r="1723" spans="1:7" x14ac:dyDescent="0.25">
      <c r="A1723" s="1">
        <v>46129</v>
      </c>
      <c r="B1723" s="2" t="s">
        <v>229</v>
      </c>
      <c r="C1723" s="2" t="s">
        <v>12277</v>
      </c>
      <c r="D1723" s="2" t="s">
        <v>82</v>
      </c>
      <c r="E1723" s="2">
        <v>141</v>
      </c>
      <c r="F1723" s="2">
        <v>2915.8</v>
      </c>
      <c r="G1723" s="1">
        <v>46128</v>
      </c>
    </row>
    <row r="1724" spans="3:6" x14ac:dyDescent="0.25">
      <c r="C1724" s="2" t="s">
        <v>12278</v>
      </c>
      <c r="D1724" s="2" t="s">
        <v>82</v>
      </c>
      <c r="E1724" s="2">
        <v>142</v>
      </c>
      <c r="F1724" s="2">
        <v>2884.37</v>
      </c>
    </row>
    <row r="1725" spans="3:6" x14ac:dyDescent="0.25">
      <c r="C1725" s="2" t="s">
        <v>12279</v>
      </c>
      <c r="D1725" s="2" t="s">
        <v>82</v>
      </c>
      <c r="E1725" s="2">
        <v>141</v>
      </c>
      <c r="F1725" s="2">
        <v>2935.539</v>
      </c>
    </row>
    <row r="1726" spans="3:6" x14ac:dyDescent="0.25">
      <c r="C1726" s="2" t="s">
        <v>12280</v>
      </c>
      <c r="D1726" s="2" t="s">
        <v>82</v>
      </c>
      <c r="E1726" s="2">
        <v>30</v>
      </c>
      <c r="F1726" s="2">
        <v>614.87</v>
      </c>
    </row>
    <row r="1727" spans="3:6" x14ac:dyDescent="0.25">
      <c r="C1727" s="2" t="s">
        <v>12281</v>
      </c>
      <c r="D1727" s="2" t="s">
        <v>82</v>
      </c>
      <c r="E1727" s="2">
        <v>72</v>
      </c>
      <c r="F1727" s="2">
        <v>1503.65</v>
      </c>
    </row>
    <row r="1728" spans="3:6" x14ac:dyDescent="0.25">
      <c r="C1728" s="2" t="s">
        <v>12282</v>
      </c>
      <c r="D1728" s="2" t="s">
        <v>82</v>
      </c>
      <c r="E1728" s="2">
        <f>130+115</f>
        <v>245</v>
      </c>
      <c r="F1728" s="2">
        <f>559.419+490.19</f>
        <v>1049.609</v>
      </c>
    </row>
    <row r="1729" spans="3:6" x14ac:dyDescent="0.25">
      <c r="C1729" s="2" t="s">
        <v>12283</v>
      </c>
      <c r="D1729" s="2" t="s">
        <v>82</v>
      </c>
      <c r="E1729" s="2">
        <v>132</v>
      </c>
      <c r="F1729" s="2">
        <v>1556.328</v>
      </c>
    </row>
    <row r="1730" spans="3:6" x14ac:dyDescent="0.25">
      <c r="C1730" s="2" t="s">
        <v>12284</v>
      </c>
      <c r="D1730" s="2" t="s">
        <v>82</v>
      </c>
      <c r="E1730" s="2">
        <v>144</v>
      </c>
      <c r="F1730" s="2">
        <v>1904.186</v>
      </c>
    </row>
    <row r="1731" spans="3:6" x14ac:dyDescent="0.25">
      <c r="C1731" s="2" t="s">
        <v>12285</v>
      </c>
      <c r="D1731" s="2" t="s">
        <v>82</v>
      </c>
      <c r="E1731" s="2">
        <v>73</v>
      </c>
      <c r="F1731" s="2">
        <v>1506.02</v>
      </c>
    </row>
    <row r="1732" spans="3:6" x14ac:dyDescent="0.25">
      <c r="C1732" s="2" t="s">
        <v>12286</v>
      </c>
      <c r="D1732" s="2" t="s">
        <v>82</v>
      </c>
      <c r="E1732" s="2">
        <v>50</v>
      </c>
      <c r="F1732" s="2">
        <v>1014</v>
      </c>
    </row>
    <row r="1733" spans="3:6" x14ac:dyDescent="0.25">
      <c r="C1733" s="2" t="s">
        <v>12287</v>
      </c>
      <c r="D1733" s="2" t="s">
        <v>82</v>
      </c>
      <c r="E1733" s="2">
        <v>141</v>
      </c>
      <c r="F1733" s="2">
        <v>2981</v>
      </c>
    </row>
    <row r="1734" spans="3:6" x14ac:dyDescent="0.25">
      <c r="C1734" s="2" t="s">
        <v>12288</v>
      </c>
      <c r="D1734" s="2" t="s">
        <v>82</v>
      </c>
      <c r="E1734" s="2">
        <v>141</v>
      </c>
      <c r="F1734" s="2">
        <v>3008.69</v>
      </c>
    </row>
    <row r="1735" spans="3:6" x14ac:dyDescent="0.25">
      <c r="C1735" s="2" t="s">
        <v>12289</v>
      </c>
      <c r="D1735" s="2" t="s">
        <v>82</v>
      </c>
      <c r="E1735" s="2">
        <v>141</v>
      </c>
      <c r="F1735" s="2">
        <v>2906.85</v>
      </c>
    </row>
    <row r="1736" spans="3:6" x14ac:dyDescent="0.25">
      <c r="C1736" s="2" t="s">
        <v>12290</v>
      </c>
      <c r="D1736" s="2" t="s">
        <v>82</v>
      </c>
      <c r="E1736" s="2">
        <v>141</v>
      </c>
      <c r="F1736" s="2">
        <v>2753.059</v>
      </c>
    </row>
    <row r="1737" spans="3:6" x14ac:dyDescent="0.25">
      <c r="C1737" s="2" t="s">
        <v>12291</v>
      </c>
      <c r="D1737" s="2" t="s">
        <v>82</v>
      </c>
      <c r="E1737" s="2">
        <v>142</v>
      </c>
      <c r="F1737" s="2">
        <v>907.407</v>
      </c>
    </row>
    <row r="1738" spans="3:6" x14ac:dyDescent="0.25">
      <c r="C1738" s="2" t="s">
        <v>12292</v>
      </c>
      <c r="D1738" s="2" t="s">
        <v>82</v>
      </c>
      <c r="E1738" s="2">
        <f>119+22</f>
        <v>141</v>
      </c>
      <c r="F1738" s="2">
        <f>2465.71+405.2</f>
        <v>2870.91</v>
      </c>
    </row>
    <row r="1739" spans="3:6" x14ac:dyDescent="0.25">
      <c r="C1739" s="2" t="s">
        <v>12293</v>
      </c>
      <c r="D1739" s="2" t="s">
        <v>82</v>
      </c>
      <c r="E1739" s="2">
        <v>102</v>
      </c>
      <c r="F1739" s="2">
        <v>2110.2</v>
      </c>
    </row>
    <row r="1740" spans="3:6" x14ac:dyDescent="0.25">
      <c r="C1740" s="2" t="s">
        <v>12294</v>
      </c>
      <c r="D1740" s="2" t="s">
        <v>82</v>
      </c>
      <c r="E1740" s="2">
        <v>102</v>
      </c>
      <c r="F1740" s="2">
        <v>2220.26</v>
      </c>
    </row>
    <row r="1741" spans="3:6" x14ac:dyDescent="0.25">
      <c r="C1741" s="2" t="s">
        <v>12295</v>
      </c>
      <c r="D1741" s="2" t="s">
        <v>82</v>
      </c>
      <c r="E1741" s="2">
        <v>83</v>
      </c>
      <c r="F1741" s="2">
        <v>1768.6</v>
      </c>
    </row>
    <row r="1742" spans="3:6" x14ac:dyDescent="0.25">
      <c r="C1742" s="2" t="s">
        <v>12296</v>
      </c>
      <c r="D1742" s="2" t="s">
        <v>82</v>
      </c>
      <c r="E1742" s="2">
        <v>122</v>
      </c>
      <c r="F1742" s="2">
        <v>2510.6</v>
      </c>
    </row>
    <row r="1743" spans="3:6" x14ac:dyDescent="0.25">
      <c r="C1743" s="2" t="s">
        <v>12297</v>
      </c>
      <c r="D1743" s="2" t="s">
        <v>82</v>
      </c>
      <c r="E1743" s="2">
        <v>75</v>
      </c>
      <c r="F1743" s="2">
        <v>1500.65</v>
      </c>
    </row>
    <row r="1744" spans="3:6" x14ac:dyDescent="0.25">
      <c r="C1744" s="2" t="s">
        <v>12298</v>
      </c>
      <c r="D1744" s="2" t="s">
        <v>82</v>
      </c>
      <c r="E1744" s="2">
        <v>40</v>
      </c>
      <c r="F1744" s="2">
        <v>800.55</v>
      </c>
    </row>
    <row r="1745" spans="3:6" x14ac:dyDescent="0.25">
      <c r="C1745" s="2" t="s">
        <v>12299</v>
      </c>
      <c r="D1745" s="2" t="s">
        <v>82</v>
      </c>
      <c r="E1745" s="2">
        <v>101</v>
      </c>
      <c r="F1745" s="2">
        <v>2146.81</v>
      </c>
    </row>
    <row r="1746" spans="3:6" x14ac:dyDescent="0.25">
      <c r="C1746" s="2" t="s">
        <v>12300</v>
      </c>
      <c r="D1746" s="2" t="s">
        <v>82</v>
      </c>
      <c r="E1746" s="2">
        <v>85</v>
      </c>
      <c r="F1746" s="2">
        <v>1773.21</v>
      </c>
    </row>
    <row r="1747" spans="3:6" x14ac:dyDescent="0.25">
      <c r="C1747" s="2" t="s">
        <v>12301</v>
      </c>
      <c r="D1747" s="2" t="s">
        <v>82</v>
      </c>
      <c r="E1747" s="2">
        <v>34</v>
      </c>
      <c r="F1747" s="2">
        <v>739.93</v>
      </c>
    </row>
    <row r="1748" spans="3:6" x14ac:dyDescent="0.25">
      <c r="C1748" s="2" t="s">
        <v>12302</v>
      </c>
      <c r="D1748" s="2" t="s">
        <v>82</v>
      </c>
      <c r="E1748" s="2">
        <v>7</v>
      </c>
      <c r="F1748" s="2">
        <v>165.42</v>
      </c>
    </row>
    <row r="1749" spans="3:6" x14ac:dyDescent="0.25">
      <c r="C1749" s="2" t="s">
        <v>12303</v>
      </c>
      <c r="D1749" s="2" t="s">
        <v>82</v>
      </c>
      <c r="E1749" s="2">
        <v>15</v>
      </c>
      <c r="F1749" s="2">
        <v>294.63</v>
      </c>
    </row>
    <row r="1750" spans="3:6" x14ac:dyDescent="0.25">
      <c r="C1750" s="2" t="s">
        <v>12304</v>
      </c>
      <c r="D1750" s="2" t="s">
        <v>82</v>
      </c>
      <c r="E1750" s="2">
        <v>121</v>
      </c>
      <c r="F1750" s="2">
        <v>2411.779</v>
      </c>
    </row>
    <row r="1751" spans="3:6" x14ac:dyDescent="0.25">
      <c r="C1751" s="2" t="s">
        <v>12305</v>
      </c>
      <c r="D1751" s="2" t="s">
        <v>82</v>
      </c>
      <c r="E1751" s="2">
        <v>121</v>
      </c>
      <c r="F1751" s="2">
        <f>2137.8+421.3</f>
        <v>2559.1000000000004</v>
      </c>
    </row>
    <row r="1752" spans="3:6" x14ac:dyDescent="0.25">
      <c r="C1752" s="2" t="s">
        <v>12306</v>
      </c>
      <c r="D1752" s="2" t="s">
        <v>82</v>
      </c>
      <c r="E1752" s="2">
        <v>123</v>
      </c>
      <c r="F1752" s="2">
        <v>2398.37</v>
      </c>
    </row>
    <row r="1753" spans="3:6" x14ac:dyDescent="0.25">
      <c r="C1753" s="2" t="s">
        <v>12307</v>
      </c>
      <c r="D1753" s="2" t="s">
        <v>82</v>
      </c>
      <c r="E1753" s="2">
        <v>134</v>
      </c>
      <c r="F1753" s="2">
        <v>2888</v>
      </c>
    </row>
    <row r="1754" spans="3:6" x14ac:dyDescent="0.25">
      <c r="C1754" s="2" t="s">
        <v>12308</v>
      </c>
      <c r="D1754" s="2" t="s">
        <v>82</v>
      </c>
      <c r="E1754" s="2">
        <v>125</v>
      </c>
      <c r="F1754" s="2">
        <v>2564.49</v>
      </c>
    </row>
    <row r="1755" spans="3:6" x14ac:dyDescent="0.25">
      <c r="C1755" s="2" t="s">
        <v>12309</v>
      </c>
      <c r="D1755" s="2" t="s">
        <v>82</v>
      </c>
      <c r="E1755" s="2">
        <v>16</v>
      </c>
      <c r="F1755" s="2">
        <v>280.81</v>
      </c>
    </row>
    <row r="1756" spans="3:6" x14ac:dyDescent="0.25">
      <c r="C1756" s="2" t="s">
        <v>12310</v>
      </c>
      <c r="D1756" s="2" t="s">
        <v>82</v>
      </c>
      <c r="E1756" s="2">
        <v>52</v>
      </c>
      <c r="F1756" s="2">
        <v>1036.31</v>
      </c>
    </row>
    <row r="1757" spans="3:6" x14ac:dyDescent="0.25">
      <c r="C1757" s="2" t="s">
        <v>12311</v>
      </c>
      <c r="D1757" s="2" t="s">
        <v>82</v>
      </c>
      <c r="E1757" s="2">
        <v>72</v>
      </c>
      <c r="F1757" s="2">
        <v>1487.26</v>
      </c>
    </row>
    <row r="1758" spans="3:6" x14ac:dyDescent="0.25">
      <c r="C1758" s="2" t="s">
        <v>12312</v>
      </c>
      <c r="D1758" s="2" t="s">
        <v>82</v>
      </c>
      <c r="E1758" s="2">
        <v>17</v>
      </c>
      <c r="F1758" s="2">
        <v>367.08</v>
      </c>
    </row>
    <row r="1759" spans="3:6" x14ac:dyDescent="0.25">
      <c r="C1759" s="2" t="s">
        <v>12313</v>
      </c>
      <c r="D1759" s="2" t="s">
        <v>82</v>
      </c>
      <c r="E1759" s="2">
        <v>13</v>
      </c>
      <c r="F1759" s="2">
        <v>296.53</v>
      </c>
    </row>
    <row r="1760" spans="3:6" x14ac:dyDescent="0.25">
      <c r="C1760" s="2" t="s">
        <v>12314</v>
      </c>
      <c r="D1760" s="2" t="s">
        <v>82</v>
      </c>
      <c r="E1760" s="2">
        <v>128</v>
      </c>
      <c r="F1760" s="2">
        <v>2663.04</v>
      </c>
    </row>
    <row r="1761" spans="3:6" x14ac:dyDescent="0.25">
      <c r="C1761" s="2" t="s">
        <v>12315</v>
      </c>
      <c r="D1761" s="2" t="s">
        <v>82</v>
      </c>
      <c r="E1761" s="2">
        <v>141</v>
      </c>
      <c r="F1761" s="2">
        <v>2884.259</v>
      </c>
    </row>
    <row r="1762" spans="3:6" x14ac:dyDescent="0.25">
      <c r="C1762" s="2" t="s">
        <v>12316</v>
      </c>
      <c r="D1762" s="2" t="s">
        <v>82</v>
      </c>
      <c r="E1762" s="2">
        <v>102</v>
      </c>
      <c r="F1762" s="2">
        <v>2095.3</v>
      </c>
    </row>
    <row r="1763" spans="3:6" x14ac:dyDescent="0.25">
      <c r="C1763" s="2" t="s">
        <v>12317</v>
      </c>
      <c r="D1763" s="2" t="s">
        <v>82</v>
      </c>
      <c r="E1763" s="2">
        <v>102</v>
      </c>
      <c r="F1763" s="2">
        <v>2123.23</v>
      </c>
    </row>
    <row r="1765" spans="1:7" x14ac:dyDescent="0.25">
      <c r="A1765" s="1">
        <v>46129</v>
      </c>
      <c r="B1765" s="2" t="s">
        <v>4335</v>
      </c>
      <c r="C1765" s="2" t="s">
        <v>12318</v>
      </c>
      <c r="D1765" s="2" t="s">
        <v>82</v>
      </c>
      <c r="E1765" s="2">
        <v>140</v>
      </c>
      <c r="F1765" s="2">
        <v>3044.37</v>
      </c>
      <c r="G1765" s="1">
        <v>46128</v>
      </c>
    </row>
    <row r="1766" spans="3:6" x14ac:dyDescent="0.25">
      <c r="C1766" s="2" t="s">
        <v>12319</v>
      </c>
      <c r="D1766" s="2" t="s">
        <v>82</v>
      </c>
      <c r="E1766" s="2">
        <v>162</v>
      </c>
      <c r="F1766" s="2">
        <v>1001.526</v>
      </c>
    </row>
    <row r="1767" spans="3:6" x14ac:dyDescent="0.25">
      <c r="C1767" s="2" t="s">
        <v>12320</v>
      </c>
      <c r="D1767" s="2" t="s">
        <v>82</v>
      </c>
      <c r="E1767" s="2">
        <v>162</v>
      </c>
      <c r="F1767" s="2">
        <v>1379.394</v>
      </c>
    </row>
    <row r="1768" spans="3:6" x14ac:dyDescent="0.25">
      <c r="C1768" s="2" t="s">
        <v>12321</v>
      </c>
      <c r="D1768" s="2" t="s">
        <v>82</v>
      </c>
      <c r="E1768" s="2">
        <v>141</v>
      </c>
      <c r="F1768" s="2">
        <v>2951.24</v>
      </c>
    </row>
    <row r="1769" spans="3:6" x14ac:dyDescent="0.25">
      <c r="C1769" s="2" t="s">
        <v>12322</v>
      </c>
      <c r="D1769" s="2" t="s">
        <v>82</v>
      </c>
      <c r="E1769" s="2">
        <v>141</v>
      </c>
      <c r="F1769" s="2">
        <v>3041.26</v>
      </c>
    </row>
    <row r="1770" spans="3:6" x14ac:dyDescent="0.25">
      <c r="C1770" s="2" t="s">
        <v>12323</v>
      </c>
      <c r="D1770" s="2" t="s">
        <v>82</v>
      </c>
      <c r="E1770" s="2">
        <v>60</v>
      </c>
      <c r="F1770" s="2">
        <v>1362.57</v>
      </c>
    </row>
    <row r="1771" spans="3:6" x14ac:dyDescent="0.25">
      <c r="C1771" s="2" t="s">
        <v>12324</v>
      </c>
      <c r="D1771" s="2" t="s">
        <v>82</v>
      </c>
      <c r="E1771" s="2">
        <v>81</v>
      </c>
      <c r="F1771" s="2">
        <v>1684.86</v>
      </c>
    </row>
    <row r="1772" spans="3:6" x14ac:dyDescent="0.25">
      <c r="C1772" s="2" t="s">
        <v>12325</v>
      </c>
      <c r="D1772" s="2" t="s">
        <v>82</v>
      </c>
      <c r="E1772" s="2">
        <v>52</v>
      </c>
      <c r="F1772" s="2">
        <v>1059.82</v>
      </c>
    </row>
    <row r="1773" spans="3:6" x14ac:dyDescent="0.25">
      <c r="C1773" s="2" t="s">
        <v>12326</v>
      </c>
      <c r="D1773" s="2" t="s">
        <v>82</v>
      </c>
      <c r="E1773" s="2">
        <v>50</v>
      </c>
      <c r="F1773" s="2">
        <v>1045.02</v>
      </c>
    </row>
    <row r="1774" spans="3:6" x14ac:dyDescent="0.25">
      <c r="C1774" s="2" t="s">
        <v>12327</v>
      </c>
      <c r="D1774" s="2" t="s">
        <v>82</v>
      </c>
      <c r="E1774" s="2">
        <v>100</v>
      </c>
      <c r="F1774" s="2">
        <v>2098.19</v>
      </c>
    </row>
    <row r="1775" spans="3:6" x14ac:dyDescent="0.25">
      <c r="C1775" s="2" t="s">
        <v>12328</v>
      </c>
      <c r="D1775" s="2" t="s">
        <v>82</v>
      </c>
      <c r="E1775" s="2">
        <v>41</v>
      </c>
      <c r="F1775" s="2">
        <v>843.29</v>
      </c>
    </row>
    <row r="1776" spans="3:6" x14ac:dyDescent="0.25">
      <c r="C1776" s="2" t="s">
        <v>12329</v>
      </c>
      <c r="D1776" s="2" t="s">
        <v>82</v>
      </c>
      <c r="E1776" s="2">
        <v>141</v>
      </c>
      <c r="F1776" s="2">
        <v>2912</v>
      </c>
    </row>
    <row r="1777" spans="3:6" x14ac:dyDescent="0.25">
      <c r="C1777" s="2" t="s">
        <v>12330</v>
      </c>
      <c r="D1777" s="2" t="s">
        <v>82</v>
      </c>
      <c r="E1777" s="2">
        <v>141</v>
      </c>
      <c r="F1777" s="2">
        <v>2825.11</v>
      </c>
    </row>
    <row r="1778" spans="3:6" x14ac:dyDescent="0.25">
      <c r="C1778" s="2" t="s">
        <v>12331</v>
      </c>
      <c r="D1778" s="2" t="s">
        <v>82</v>
      </c>
      <c r="E1778" s="2">
        <v>141</v>
      </c>
      <c r="F1778" s="2">
        <v>2925.7</v>
      </c>
    </row>
    <row r="1779" spans="3:6" x14ac:dyDescent="0.25">
      <c r="C1779" s="2" t="s">
        <v>12332</v>
      </c>
      <c r="D1779" s="2" t="s">
        <v>82</v>
      </c>
      <c r="E1779" s="2">
        <v>98</v>
      </c>
      <c r="F1779" s="2">
        <v>1976.41</v>
      </c>
    </row>
    <row r="1780" spans="3:6" x14ac:dyDescent="0.25">
      <c r="C1780" s="2" t="s">
        <v>12333</v>
      </c>
      <c r="D1780" s="2" t="s">
        <v>82</v>
      </c>
      <c r="E1780" s="2">
        <v>43</v>
      </c>
      <c r="F1780" s="2">
        <v>901.1</v>
      </c>
    </row>
    <row r="1781" spans="3:6" x14ac:dyDescent="0.25">
      <c r="C1781" s="2" t="s">
        <v>12334</v>
      </c>
      <c r="D1781" s="2" t="s">
        <v>82</v>
      </c>
      <c r="E1781" s="2">
        <v>75</v>
      </c>
      <c r="F1781" s="2">
        <v>1498.25</v>
      </c>
    </row>
    <row r="1782" spans="3:6" x14ac:dyDescent="0.25">
      <c r="C1782" s="2" t="s">
        <v>12335</v>
      </c>
      <c r="D1782" s="2" t="s">
        <v>82</v>
      </c>
      <c r="E1782" s="2">
        <v>131</v>
      </c>
      <c r="F1782" s="2">
        <v>2717.12</v>
      </c>
    </row>
    <row r="1783" spans="3:6" x14ac:dyDescent="0.25">
      <c r="C1783" s="2" t="s">
        <v>12336</v>
      </c>
      <c r="D1783" s="2" t="s">
        <v>82</v>
      </c>
      <c r="E1783" s="2">
        <v>93</v>
      </c>
      <c r="F1783" s="2">
        <v>1965.27</v>
      </c>
    </row>
    <row r="1784" spans="3:6" x14ac:dyDescent="0.25">
      <c r="C1784" s="2" t="s">
        <v>12337</v>
      </c>
      <c r="D1784" s="2" t="s">
        <v>82</v>
      </c>
      <c r="E1784" s="2">
        <v>100</v>
      </c>
      <c r="F1784" s="2">
        <v>2063.34</v>
      </c>
    </row>
    <row r="1785" spans="3:6" x14ac:dyDescent="0.25">
      <c r="C1785" s="2" t="s">
        <v>12338</v>
      </c>
      <c r="D1785" s="2" t="s">
        <v>82</v>
      </c>
      <c r="E1785" s="2">
        <v>85</v>
      </c>
      <c r="F1785" s="2">
        <v>1841.13</v>
      </c>
    </row>
    <row r="1786" spans="3:6" x14ac:dyDescent="0.25">
      <c r="C1786" s="2" t="s">
        <v>12339</v>
      </c>
      <c r="D1786" s="2" t="s">
        <v>82</v>
      </c>
      <c r="E1786" s="2">
        <v>20</v>
      </c>
      <c r="F1786" s="2">
        <v>423.82</v>
      </c>
    </row>
    <row r="1787" spans="3:6" x14ac:dyDescent="0.25">
      <c r="C1787" s="2" t="s">
        <v>12340</v>
      </c>
      <c r="D1787" s="2" t="s">
        <v>82</v>
      </c>
      <c r="E1787" s="2">
        <v>58</v>
      </c>
      <c r="F1787" s="2">
        <v>1242.3</v>
      </c>
    </row>
    <row r="1788" spans="3:6" x14ac:dyDescent="0.25">
      <c r="C1788" s="2" t="s">
        <v>12341</v>
      </c>
      <c r="D1788" s="2" t="s">
        <v>82</v>
      </c>
      <c r="E1788" s="2">
        <v>83</v>
      </c>
      <c r="F1788" s="2">
        <v>1769.21</v>
      </c>
    </row>
    <row r="1789" spans="3:6" x14ac:dyDescent="0.25">
      <c r="C1789" s="2" t="s">
        <v>12342</v>
      </c>
      <c r="D1789" s="2" t="s">
        <v>82</v>
      </c>
      <c r="E1789" s="2">
        <v>89</v>
      </c>
      <c r="F1789" s="2">
        <v>1915.85</v>
      </c>
    </row>
    <row r="1790" spans="3:6" x14ac:dyDescent="0.25">
      <c r="C1790" s="2" t="s">
        <v>12343</v>
      </c>
      <c r="D1790" s="2" t="s">
        <v>82</v>
      </c>
      <c r="E1790" s="2">
        <v>3</v>
      </c>
      <c r="F1790" s="2">
        <v>40.401</v>
      </c>
    </row>
    <row r="1791" spans="3:6" x14ac:dyDescent="0.25">
      <c r="C1791" s="2" t="s">
        <v>12344</v>
      </c>
      <c r="D1791" s="2" t="s">
        <v>82</v>
      </c>
      <c r="E1791" s="2">
        <v>49</v>
      </c>
      <c r="F1791" s="2">
        <v>1027.76</v>
      </c>
    </row>
    <row r="1792" spans="3:6" x14ac:dyDescent="0.25">
      <c r="C1792" s="2" t="s">
        <v>12345</v>
      </c>
      <c r="D1792" s="2" t="s">
        <v>82</v>
      </c>
      <c r="E1792" s="2">
        <v>105</v>
      </c>
      <c r="F1792" s="2">
        <v>449.4</v>
      </c>
    </row>
    <row r="1793" spans="3:6" x14ac:dyDescent="0.25">
      <c r="C1793" s="2" t="s">
        <v>12346</v>
      </c>
      <c r="D1793" s="2" t="s">
        <v>82</v>
      </c>
      <c r="E1793" s="2">
        <v>84</v>
      </c>
      <c r="F1793" s="2">
        <v>1713.41</v>
      </c>
    </row>
    <row r="1794" spans="3:6" x14ac:dyDescent="0.25">
      <c r="C1794" s="2" t="s">
        <v>12347</v>
      </c>
      <c r="D1794" s="2" t="s">
        <v>82</v>
      </c>
      <c r="E1794" s="2">
        <v>39</v>
      </c>
      <c r="F1794" s="2">
        <v>849.86</v>
      </c>
    </row>
    <row r="1795" spans="3:6" x14ac:dyDescent="0.25">
      <c r="C1795" s="2" t="s">
        <v>12348</v>
      </c>
      <c r="D1795" s="2" t="s">
        <v>82</v>
      </c>
      <c r="E1795" s="2">
        <v>83</v>
      </c>
      <c r="F1795" s="2">
        <v>1682.82</v>
      </c>
    </row>
    <row r="1796" spans="3:6" x14ac:dyDescent="0.25">
      <c r="C1796" s="2" t="s">
        <v>12349</v>
      </c>
      <c r="D1796" s="2" t="s">
        <v>82</v>
      </c>
      <c r="E1796" s="2">
        <v>40</v>
      </c>
      <c r="F1796" s="2">
        <v>798.72</v>
      </c>
    </row>
    <row r="1797" spans="3:6" x14ac:dyDescent="0.25">
      <c r="C1797" s="2" t="s">
        <v>12350</v>
      </c>
      <c r="D1797" s="2" t="s">
        <v>82</v>
      </c>
      <c r="E1797" s="2">
        <v>123</v>
      </c>
      <c r="F1797" s="2" t="s">
        <v>12351</v>
      </c>
    </row>
    <row r="1798" spans="3:6" x14ac:dyDescent="0.25">
      <c r="C1798" s="2" t="s">
        <v>12352</v>
      </c>
      <c r="D1798" s="2" t="s">
        <v>82</v>
      </c>
      <c r="E1798" s="2">
        <v>123</v>
      </c>
      <c r="F1798" s="2">
        <v>2469.9</v>
      </c>
    </row>
    <row r="1799" spans="3:6" x14ac:dyDescent="0.25">
      <c r="C1799" s="2" t="s">
        <v>12353</v>
      </c>
      <c r="D1799" s="2" t="s">
        <v>82</v>
      </c>
      <c r="E1799" s="2">
        <v>134</v>
      </c>
      <c r="F1799" s="2">
        <v>2775.7</v>
      </c>
    </row>
    <row r="1800" spans="3:6" x14ac:dyDescent="0.25">
      <c r="C1800" s="2" t="s">
        <v>12354</v>
      </c>
      <c r="D1800" s="2" t="s">
        <v>82</v>
      </c>
      <c r="E1800" s="2">
        <v>76</v>
      </c>
      <c r="F1800" s="2">
        <v>1649.31</v>
      </c>
    </row>
    <row r="1801" spans="3:6" x14ac:dyDescent="0.25">
      <c r="C1801" s="2" t="s">
        <v>12355</v>
      </c>
      <c r="D1801" s="2" t="s">
        <v>82</v>
      </c>
      <c r="E1801" s="2">
        <v>26</v>
      </c>
      <c r="F1801" s="2">
        <v>530.94</v>
      </c>
    </row>
    <row r="1802" spans="3:6" x14ac:dyDescent="0.25">
      <c r="C1802" s="2" t="s">
        <v>12356</v>
      </c>
      <c r="D1802" s="2" t="s">
        <v>82</v>
      </c>
      <c r="E1802" s="2">
        <v>46</v>
      </c>
      <c r="F1802" s="2">
        <v>897.25</v>
      </c>
    </row>
    <row r="1803" spans="3:6" x14ac:dyDescent="0.25">
      <c r="C1803" s="2" t="s">
        <v>12357</v>
      </c>
      <c r="D1803" s="2" t="s">
        <v>82</v>
      </c>
      <c r="E1803" s="2">
        <v>26</v>
      </c>
      <c r="F1803" s="2">
        <v>570.22</v>
      </c>
    </row>
    <row r="1804" spans="3:6" x14ac:dyDescent="0.25">
      <c r="C1804" s="2" t="s">
        <v>12358</v>
      </c>
      <c r="D1804" s="2" t="s">
        <v>82</v>
      </c>
      <c r="E1804" s="2">
        <v>30</v>
      </c>
      <c r="F1804" s="2">
        <v>603.18</v>
      </c>
    </row>
    <row r="1805" spans="3:6" x14ac:dyDescent="0.25">
      <c r="C1805" s="2" t="s">
        <v>12359</v>
      </c>
      <c r="D1805" s="2" t="s">
        <v>82</v>
      </c>
      <c r="E1805" s="2">
        <v>102</v>
      </c>
      <c r="F1805" s="2">
        <v>2167.5</v>
      </c>
    </row>
    <row r="1806" spans="3:6" x14ac:dyDescent="0.25">
      <c r="C1806" s="2" t="s">
        <v>12360</v>
      </c>
      <c r="D1806" s="2" t="s">
        <v>82</v>
      </c>
      <c r="E1806" s="2">
        <v>102</v>
      </c>
      <c r="F1806" s="2">
        <v>2144.24</v>
      </c>
    </row>
    <row r="1807" spans="3:6" x14ac:dyDescent="0.25">
      <c r="C1807" s="2" t="s">
        <v>12361</v>
      </c>
      <c r="D1807" s="2" t="s">
        <v>82</v>
      </c>
      <c r="E1807" s="2">
        <v>38</v>
      </c>
      <c r="F1807" s="2">
        <v>691.073</v>
      </c>
    </row>
    <row r="1808" spans="3:6" x14ac:dyDescent="0.25">
      <c r="C1808" s="2" t="s">
        <v>12362</v>
      </c>
      <c r="D1808" s="2" t="s">
        <v>82</v>
      </c>
      <c r="E1808" s="2">
        <v>25</v>
      </c>
      <c r="F1808" s="2">
        <v>472.049</v>
      </c>
    </row>
    <row r="1809" spans="3:6" x14ac:dyDescent="0.25">
      <c r="C1809" s="2" t="s">
        <v>12363</v>
      </c>
      <c r="D1809" s="2" t="s">
        <v>82</v>
      </c>
      <c r="E1809" s="2">
        <v>14</v>
      </c>
      <c r="F1809" s="2">
        <v>239.58</v>
      </c>
    </row>
    <row r="1810" spans="3:6" x14ac:dyDescent="0.25">
      <c r="C1810" s="2" t="s">
        <v>12364</v>
      </c>
      <c r="D1810" s="2" t="s">
        <v>82</v>
      </c>
      <c r="E1810" s="2">
        <v>25</v>
      </c>
      <c r="F1810" s="2">
        <v>514.14</v>
      </c>
    </row>
    <row r="1811" spans="3:6" x14ac:dyDescent="0.25">
      <c r="C1811" s="2" t="s">
        <v>12365</v>
      </c>
      <c r="D1811" s="2" t="s">
        <v>82</v>
      </c>
      <c r="E1811" s="2">
        <v>86</v>
      </c>
      <c r="F1811" s="2">
        <v>1441.672</v>
      </c>
    </row>
    <row r="1813" spans="1:7" x14ac:dyDescent="0.25">
      <c r="A1813" s="1">
        <v>46129</v>
      </c>
      <c r="B1813" s="2" t="s">
        <v>7</v>
      </c>
      <c r="C1813" s="2" t="s">
        <v>12366</v>
      </c>
      <c r="D1813" s="2" t="s">
        <v>9</v>
      </c>
      <c r="E1813" s="2">
        <v>99</v>
      </c>
      <c r="F1813" s="2">
        <v>2004.466</v>
      </c>
      <c r="G1813" s="1">
        <v>46128</v>
      </c>
    </row>
    <row r="1814" spans="3:6" x14ac:dyDescent="0.25">
      <c r="C1814" s="2" t="s">
        <v>12367</v>
      </c>
      <c r="D1814" s="2" t="s">
        <v>9</v>
      </c>
      <c r="E1814" s="2">
        <v>99</v>
      </c>
      <c r="F1814" s="2">
        <v>1801.116</v>
      </c>
    </row>
    <row r="1816" spans="1:7" x14ac:dyDescent="0.25">
      <c r="A1816" s="1">
        <v>46129</v>
      </c>
      <c r="B1816" s="2" t="s">
        <v>7683</v>
      </c>
      <c r="C1816" s="2" t="s">
        <v>12368</v>
      </c>
      <c r="D1816" s="2" t="s">
        <v>9</v>
      </c>
      <c r="E1816" s="2">
        <v>156</v>
      </c>
      <c r="F1816" s="2">
        <v>3322.41</v>
      </c>
      <c r="G1816" s="1">
        <v>46128</v>
      </c>
    </row>
    <row r="1817" spans="3:6" x14ac:dyDescent="0.25">
      <c r="C1817" s="2" t="s">
        <v>12369</v>
      </c>
      <c r="D1817" s="2" t="s">
        <v>9</v>
      </c>
      <c r="E1817" s="2">
        <v>153</v>
      </c>
      <c r="F1817" s="2">
        <v>3048.613</v>
      </c>
    </row>
    <row r="1818" spans="3:6" x14ac:dyDescent="0.25">
      <c r="C1818" s="2" t="s">
        <v>12370</v>
      </c>
      <c r="D1818" s="2" t="s">
        <v>9</v>
      </c>
      <c r="E1818" s="2">
        <v>83</v>
      </c>
      <c r="F1818" s="2">
        <v>1513.293</v>
      </c>
    </row>
    <row r="1820" spans="1:7" x14ac:dyDescent="0.25">
      <c r="A1820" s="1">
        <v>46129</v>
      </c>
      <c r="B1820" s="2" t="s">
        <v>12371</v>
      </c>
      <c r="C1820" s="2" t="s">
        <v>12372</v>
      </c>
      <c r="D1820" s="2" t="s">
        <v>3848</v>
      </c>
      <c r="E1820" s="2">
        <v>76</v>
      </c>
      <c r="F1820" s="2">
        <v>2174.666</v>
      </c>
      <c r="G1820" s="1">
        <v>46128</v>
      </c>
    </row>
    <row r="1822" spans="1:7" x14ac:dyDescent="0.25">
      <c r="A1822" s="1">
        <v>46129</v>
      </c>
      <c r="B1822" s="2" t="s">
        <v>57</v>
      </c>
      <c r="C1822" s="2" t="s">
        <v>12373</v>
      </c>
      <c r="D1822" s="2" t="s">
        <v>59</v>
      </c>
      <c r="E1822" s="2">
        <v>105</v>
      </c>
      <c r="F1822" s="2">
        <v>1997.519</v>
      </c>
      <c r="G1822" s="1">
        <v>46128</v>
      </c>
    </row>
    <row r="1823" spans="3:6" x14ac:dyDescent="0.25">
      <c r="C1823" s="2" t="s">
        <v>12374</v>
      </c>
      <c r="D1823" s="2" t="s">
        <v>59</v>
      </c>
      <c r="E1823" s="2">
        <v>268</v>
      </c>
      <c r="F1823" s="2">
        <v>5025.269</v>
      </c>
    </row>
    <row r="1824" spans="3:6" x14ac:dyDescent="0.25">
      <c r="C1824" s="2" t="s">
        <v>12375</v>
      </c>
      <c r="D1824" s="2" t="s">
        <v>59</v>
      </c>
      <c r="E1824" s="2">
        <v>285</v>
      </c>
      <c r="F1824" s="2">
        <v>6292.95</v>
      </c>
    </row>
    <row r="1825" spans="3:6" x14ac:dyDescent="0.25">
      <c r="C1825" s="2" t="s">
        <v>12376</v>
      </c>
      <c r="D1825" s="2" t="s">
        <v>59</v>
      </c>
      <c r="E1825" s="2">
        <v>218</v>
      </c>
      <c r="F1825" s="2">
        <v>4358.518</v>
      </c>
    </row>
    <row r="1826" spans="3:6" x14ac:dyDescent="0.25">
      <c r="C1826" s="2" t="s">
        <v>12377</v>
      </c>
      <c r="D1826" s="2" t="s">
        <v>59</v>
      </c>
      <c r="E1826" s="2">
        <v>296</v>
      </c>
      <c r="F1826" s="2">
        <v>5699.544</v>
      </c>
    </row>
    <row r="1827" spans="3:6" x14ac:dyDescent="0.25">
      <c r="C1827" s="2" t="s">
        <v>12378</v>
      </c>
      <c r="D1827" s="2" t="s">
        <v>59</v>
      </c>
      <c r="E1827" s="2">
        <v>326</v>
      </c>
      <c r="F1827" s="2">
        <v>6070.058</v>
      </c>
    </row>
    <row r="1828" spans="3:6" x14ac:dyDescent="0.25">
      <c r="C1828" s="2" t="s">
        <v>12379</v>
      </c>
      <c r="D1828" s="2" t="s">
        <v>59</v>
      </c>
      <c r="E1828" s="2">
        <v>163</v>
      </c>
      <c r="F1828" s="2">
        <v>2991.309</v>
      </c>
    </row>
    <row r="1830" spans="1:7" x14ac:dyDescent="0.25">
      <c r="A1830" s="1">
        <v>46129</v>
      </c>
      <c r="B1830" s="2" t="s">
        <v>12380</v>
      </c>
      <c r="C1830" s="2" t="s">
        <v>12381</v>
      </c>
      <c r="D1830" s="2" t="s">
        <v>59</v>
      </c>
      <c r="E1830" s="2">
        <v>163</v>
      </c>
      <c r="F1830" s="2">
        <v>3076.099</v>
      </c>
      <c r="G1830" s="1">
        <v>46127</v>
      </c>
    </row>
    <row r="1831" spans="3:6" x14ac:dyDescent="0.25">
      <c r="C1831" s="2" t="s">
        <v>12382</v>
      </c>
      <c r="D1831" s="2" t="s">
        <v>59</v>
      </c>
      <c r="E1831" s="2">
        <v>217</v>
      </c>
      <c r="F1831" s="2">
        <v>4645.039</v>
      </c>
    </row>
    <row r="1832" spans="3:6" x14ac:dyDescent="0.25">
      <c r="C1832" s="2" t="s">
        <v>12383</v>
      </c>
      <c r="D1832" s="2" t="s">
        <v>59</v>
      </c>
      <c r="E1832" s="2">
        <v>163</v>
      </c>
      <c r="F1832" s="2">
        <v>3017.5</v>
      </c>
    </row>
    <row r="1833" spans="3:6" x14ac:dyDescent="0.25">
      <c r="C1833" s="2" t="s">
        <v>12384</v>
      </c>
      <c r="D1833" s="2" t="s">
        <v>59</v>
      </c>
      <c r="E1833" s="2">
        <v>268</v>
      </c>
      <c r="F1833" s="2">
        <v>4582.43</v>
      </c>
    </row>
    <row r="1834" spans="3:6" x14ac:dyDescent="0.25">
      <c r="C1834" s="2" t="s">
        <v>12385</v>
      </c>
      <c r="D1834" s="2" t="s">
        <v>59</v>
      </c>
      <c r="E1834" s="2">
        <v>163</v>
      </c>
      <c r="F1834" s="2">
        <v>2920.338</v>
      </c>
    </row>
    <row r="1835" spans="3:6" x14ac:dyDescent="0.25">
      <c r="C1835" s="2" t="s">
        <v>12386</v>
      </c>
      <c r="D1835" s="2" t="s">
        <v>59</v>
      </c>
      <c r="E1835" s="2">
        <v>268</v>
      </c>
      <c r="F1835" s="2">
        <v>5188.48</v>
      </c>
    </row>
    <row r="1836" spans="3:6" x14ac:dyDescent="0.25">
      <c r="C1836" s="2" t="s">
        <v>12387</v>
      </c>
      <c r="D1836" s="2" t="s">
        <v>59</v>
      </c>
      <c r="E1836" s="2">
        <v>210</v>
      </c>
      <c r="F1836" s="2">
        <v>3950.897</v>
      </c>
    </row>
    <row r="1837" spans="3:6" x14ac:dyDescent="0.25">
      <c r="C1837" s="2" t="s">
        <v>12388</v>
      </c>
      <c r="D1837" s="2" t="s">
        <v>59</v>
      </c>
      <c r="E1837" s="2">
        <v>163</v>
      </c>
      <c r="F1837" s="2">
        <v>3017.29</v>
      </c>
    </row>
    <row r="1839" spans="1:7" x14ac:dyDescent="0.25">
      <c r="A1839" s="1">
        <v>46129</v>
      </c>
      <c r="B1839" s="2" t="s">
        <v>1626</v>
      </c>
      <c r="C1839" s="2" t="s">
        <v>12389</v>
      </c>
      <c r="D1839" s="2" t="s">
        <v>59</v>
      </c>
      <c r="E1839" s="2">
        <v>251</v>
      </c>
      <c r="F1839" s="2">
        <v>4763.398</v>
      </c>
      <c r="G1839" s="1">
        <v>46128</v>
      </c>
    </row>
    <row r="1840" spans="3:6" x14ac:dyDescent="0.25">
      <c r="C1840" s="2" t="s">
        <v>12390</v>
      </c>
      <c r="D1840" s="2" t="s">
        <v>59</v>
      </c>
      <c r="E1840" s="2">
        <v>149</v>
      </c>
      <c r="F1840" s="2">
        <v>2783.93</v>
      </c>
    </row>
    <row r="1841" spans="3:6" x14ac:dyDescent="0.25">
      <c r="C1841" s="2" t="s">
        <v>12391</v>
      </c>
      <c r="D1841" s="2" t="s">
        <v>59</v>
      </c>
      <c r="E1841" s="2">
        <v>251</v>
      </c>
      <c r="F1841" s="2">
        <v>4700.607</v>
      </c>
    </row>
    <row r="1842" spans="3:6" x14ac:dyDescent="0.25">
      <c r="C1842" s="2" t="s">
        <v>12392</v>
      </c>
      <c r="D1842" s="2" t="s">
        <v>59</v>
      </c>
      <c r="E1842" s="2">
        <v>102</v>
      </c>
      <c r="F1842" s="2">
        <v>1955.296</v>
      </c>
    </row>
    <row r="1843" spans="3:6" x14ac:dyDescent="0.25">
      <c r="C1843" s="2" t="s">
        <v>12393</v>
      </c>
      <c r="D1843" s="2" t="s">
        <v>59</v>
      </c>
      <c r="E1843" s="2">
        <v>204</v>
      </c>
      <c r="F1843" s="2">
        <v>3943.558</v>
      </c>
    </row>
    <row r="1844" spans="3:6" x14ac:dyDescent="0.25">
      <c r="C1844" s="2" t="s">
        <v>12394</v>
      </c>
      <c r="D1844" s="2" t="s">
        <v>59</v>
      </c>
      <c r="E1844" s="2">
        <v>251</v>
      </c>
      <c r="F1844" s="2">
        <v>4925.34</v>
      </c>
    </row>
    <row r="1845" spans="3:6" x14ac:dyDescent="0.25">
      <c r="C1845" s="2" t="s">
        <v>12395</v>
      </c>
      <c r="D1845" s="2" t="s">
        <v>59</v>
      </c>
      <c r="E1845" s="2">
        <v>149</v>
      </c>
      <c r="F1845" s="2">
        <v>2878.769</v>
      </c>
    </row>
    <row r="1846" spans="3:6" x14ac:dyDescent="0.25">
      <c r="C1846" s="2" t="s">
        <v>12396</v>
      </c>
      <c r="D1846" s="2" t="s">
        <v>59</v>
      </c>
      <c r="E1846" s="2">
        <v>149</v>
      </c>
      <c r="F1846" s="2">
        <v>2673.94</v>
      </c>
    </row>
    <row r="1848" spans="1:7" x14ac:dyDescent="0.25">
      <c r="A1848" s="1">
        <v>46129</v>
      </c>
      <c r="B1848" s="2" t="s">
        <v>664</v>
      </c>
      <c r="C1848" s="2" t="s">
        <v>12397</v>
      </c>
      <c r="D1848" s="2" t="s">
        <v>136</v>
      </c>
      <c r="E1848" s="2">
        <v>111</v>
      </c>
      <c r="F1848" s="2">
        <v>2188.149</v>
      </c>
      <c r="G1848" s="1">
        <v>46128</v>
      </c>
    </row>
    <row r="1849" spans="3:6" x14ac:dyDescent="0.25">
      <c r="C1849" s="2" t="s">
        <v>12398</v>
      </c>
      <c r="D1849" s="2" t="s">
        <v>136</v>
      </c>
      <c r="E1849" s="2">
        <v>28</v>
      </c>
      <c r="F1849" s="2">
        <v>526.55</v>
      </c>
    </row>
    <row r="1851" spans="1:7" x14ac:dyDescent="0.25">
      <c r="A1851" s="1">
        <v>46130</v>
      </c>
      <c r="B1851" s="2" t="s">
        <v>1012</v>
      </c>
      <c r="C1851" s="2" t="s">
        <v>12399</v>
      </c>
      <c r="D1851" s="2" t="s">
        <v>73</v>
      </c>
      <c r="E1851" s="2">
        <v>68</v>
      </c>
      <c r="F1851" s="2">
        <v>1332.05</v>
      </c>
      <c r="G1851" s="1">
        <v>46128</v>
      </c>
    </row>
    <row r="1852" spans="3:6" x14ac:dyDescent="0.25">
      <c r="C1852" s="2" t="s">
        <v>12400</v>
      </c>
      <c r="D1852" s="2" t="s">
        <v>73</v>
      </c>
      <c r="E1852" s="2">
        <v>23</v>
      </c>
      <c r="F1852" s="2">
        <v>404.93</v>
      </c>
    </row>
    <row r="1853" spans="3:6" x14ac:dyDescent="0.25">
      <c r="C1853" s="2" t="s">
        <v>12401</v>
      </c>
      <c r="D1853" s="2" t="s">
        <v>73</v>
      </c>
      <c r="E1853" s="2">
        <v>47</v>
      </c>
      <c r="F1853" s="2">
        <v>1013.74</v>
      </c>
    </row>
    <row r="1854" spans="3:6" x14ac:dyDescent="0.25">
      <c r="C1854" s="2" t="s">
        <v>12402</v>
      </c>
      <c r="D1854" s="2" t="s">
        <v>73</v>
      </c>
      <c r="E1854" s="2">
        <v>44</v>
      </c>
      <c r="F1854" s="2">
        <v>791.059</v>
      </c>
    </row>
    <row r="1855" spans="3:6" x14ac:dyDescent="0.25">
      <c r="C1855" s="2" t="s">
        <v>12403</v>
      </c>
      <c r="D1855" s="2" t="s">
        <v>73</v>
      </c>
      <c r="E1855" s="2">
        <v>84</v>
      </c>
      <c r="F1855" s="2">
        <v>1695.419</v>
      </c>
    </row>
    <row r="1856" spans="3:6" x14ac:dyDescent="0.25">
      <c r="C1856" s="2" t="s">
        <v>12404</v>
      </c>
      <c r="D1856" s="2" t="s">
        <v>73</v>
      </c>
      <c r="E1856" s="2">
        <v>13</v>
      </c>
      <c r="F1856" s="2">
        <v>244.9</v>
      </c>
    </row>
    <row r="1858" spans="1:7" x14ac:dyDescent="0.25">
      <c r="A1858" s="1">
        <v>46130</v>
      </c>
      <c r="B1858" s="2" t="s">
        <v>7</v>
      </c>
      <c r="C1858" s="2" t="s">
        <v>12405</v>
      </c>
      <c r="D1858" s="2" t="s">
        <v>9</v>
      </c>
      <c r="E1858" s="2">
        <v>99</v>
      </c>
      <c r="F1858" s="2">
        <v>1779.881</v>
      </c>
      <c r="G1858" s="1">
        <v>46129</v>
      </c>
    </row>
    <row r="1859" spans="3:6" x14ac:dyDescent="0.25">
      <c r="C1859" s="2" t="s">
        <v>12406</v>
      </c>
      <c r="D1859" s="2" t="s">
        <v>9</v>
      </c>
      <c r="E1859" s="2">
        <v>99</v>
      </c>
      <c r="F1859" s="2">
        <v>2047.91</v>
      </c>
    </row>
    <row r="1861" spans="1:7" x14ac:dyDescent="0.25">
      <c r="A1861" s="1">
        <v>46130</v>
      </c>
      <c r="B1861" s="2" t="s">
        <v>2084</v>
      </c>
      <c r="C1861" s="2" t="s">
        <v>12407</v>
      </c>
      <c r="D1861" s="2" t="s">
        <v>4334</v>
      </c>
      <c r="E1861" s="2">
        <v>100</v>
      </c>
      <c r="F1861" s="2">
        <v>2013.17</v>
      </c>
      <c r="G1861" s="1">
        <v>46129</v>
      </c>
    </row>
    <row r="1863" spans="1:7" x14ac:dyDescent="0.25">
      <c r="A1863" s="1">
        <v>46130</v>
      </c>
      <c r="B1863" s="2" t="s">
        <v>57</v>
      </c>
      <c r="C1863" s="2" t="s">
        <v>12408</v>
      </c>
      <c r="D1863" s="2" t="s">
        <v>59</v>
      </c>
      <c r="E1863" s="2">
        <v>163</v>
      </c>
      <c r="F1863" s="2">
        <v>2940.29</v>
      </c>
      <c r="G1863" s="1">
        <v>46128</v>
      </c>
    </row>
    <row r="1864" spans="3:6" x14ac:dyDescent="0.25">
      <c r="C1864" s="2" t="s">
        <v>12409</v>
      </c>
      <c r="D1864" s="2" t="s">
        <v>59</v>
      </c>
      <c r="E1864" s="2">
        <v>326</v>
      </c>
      <c r="F1864" s="2">
        <v>6048.728</v>
      </c>
    </row>
    <row r="1865" spans="3:6" x14ac:dyDescent="0.25">
      <c r="C1865" s="2" t="s">
        <v>12410</v>
      </c>
      <c r="D1865" s="2" t="s">
        <v>59</v>
      </c>
      <c r="E1865" s="2">
        <v>230</v>
      </c>
      <c r="F1865" s="2">
        <v>4324.973</v>
      </c>
    </row>
    <row r="1866" spans="3:6" x14ac:dyDescent="0.25">
      <c r="C1866" s="2" t="s">
        <v>12411</v>
      </c>
      <c r="D1866" s="2" t="s">
        <v>59</v>
      </c>
      <c r="E1866" s="2">
        <v>326</v>
      </c>
      <c r="F1866" s="2">
        <v>5924.707</v>
      </c>
    </row>
    <row r="1867" spans="3:6" x14ac:dyDescent="0.25">
      <c r="C1867" s="2" t="s">
        <v>12412</v>
      </c>
      <c r="D1867" s="2" t="s">
        <v>59</v>
      </c>
      <c r="E1867" s="2">
        <v>268</v>
      </c>
      <c r="F1867" s="2">
        <v>4861.137</v>
      </c>
    </row>
    <row r="1868" spans="3:6" x14ac:dyDescent="0.25">
      <c r="C1868" s="2" t="s">
        <v>12413</v>
      </c>
      <c r="D1868" s="2" t="s">
        <v>59</v>
      </c>
      <c r="E1868" s="2">
        <v>105</v>
      </c>
      <c r="F1868" s="2">
        <v>2079.46</v>
      </c>
    </row>
    <row r="1869" spans="3:6" x14ac:dyDescent="0.25">
      <c r="C1869" s="2" t="s">
        <v>12414</v>
      </c>
      <c r="D1869" s="2" t="s">
        <v>59</v>
      </c>
      <c r="E1869" s="2">
        <v>210</v>
      </c>
      <c r="F1869" s="2">
        <v>4212.23</v>
      </c>
    </row>
    <row r="1870" spans="3:6" x14ac:dyDescent="0.25">
      <c r="C1870" s="2" t="s">
        <v>12415</v>
      </c>
      <c r="D1870" s="2" t="s">
        <v>59</v>
      </c>
      <c r="E1870" s="2">
        <v>163</v>
      </c>
      <c r="F1870" s="2">
        <v>3176.31</v>
      </c>
    </row>
    <row r="1872" spans="1:7" x14ac:dyDescent="0.25">
      <c r="A1872" s="1">
        <v>46131</v>
      </c>
      <c r="B1872" s="2" t="s">
        <v>8989</v>
      </c>
      <c r="C1872" s="2" t="s">
        <v>12416</v>
      </c>
      <c r="D1872" s="2" t="s">
        <v>4096</v>
      </c>
      <c r="E1872" s="2">
        <v>116</v>
      </c>
      <c r="F1872" s="2">
        <v>2213.629</v>
      </c>
      <c r="G1872" s="1">
        <v>46129</v>
      </c>
    </row>
    <row r="1873" spans="3:6" x14ac:dyDescent="0.25">
      <c r="C1873" s="2" t="s">
        <v>12417</v>
      </c>
      <c r="D1873" s="2" t="s">
        <v>4096</v>
      </c>
      <c r="E1873" s="2">
        <v>25</v>
      </c>
      <c r="F1873" s="2">
        <v>480.35</v>
      </c>
    </row>
    <row r="1874" spans="3:6" x14ac:dyDescent="0.25">
      <c r="C1874" s="2" t="s">
        <v>12418</v>
      </c>
      <c r="D1874" s="2" t="s">
        <v>4096</v>
      </c>
      <c r="E1874" s="2">
        <v>28</v>
      </c>
      <c r="F1874" s="2">
        <v>566.5</v>
      </c>
    </row>
    <row r="1875" spans="3:6" x14ac:dyDescent="0.25">
      <c r="C1875" s="2" t="s">
        <v>12419</v>
      </c>
      <c r="D1875" s="2" t="s">
        <v>4096</v>
      </c>
      <c r="E1875" s="2">
        <v>113</v>
      </c>
      <c r="F1875" s="2">
        <v>2095.8</v>
      </c>
    </row>
    <row r="1876" spans="3:6" x14ac:dyDescent="0.25">
      <c r="C1876" s="2" t="s">
        <v>12420</v>
      </c>
      <c r="D1876" s="2" t="s">
        <v>4096</v>
      </c>
      <c r="E1876" s="2">
        <v>71</v>
      </c>
      <c r="F1876" s="2">
        <v>2439.772</v>
      </c>
    </row>
    <row r="1877" spans="3:6" x14ac:dyDescent="0.25">
      <c r="C1877" s="2" t="s">
        <v>12421</v>
      </c>
      <c r="D1877" s="2" t="s">
        <v>4096</v>
      </c>
      <c r="E1877" s="2">
        <v>71</v>
      </c>
      <c r="F1877" s="2">
        <v>2464.861</v>
      </c>
    </row>
    <row r="1878" spans="3:6" x14ac:dyDescent="0.25">
      <c r="C1878" s="2" t="s">
        <v>12422</v>
      </c>
      <c r="D1878" s="2" t="s">
        <v>4096</v>
      </c>
      <c r="E1878" s="2">
        <v>37</v>
      </c>
      <c r="F1878" s="2">
        <v>755.8</v>
      </c>
    </row>
    <row r="1879" spans="3:6" x14ac:dyDescent="0.25">
      <c r="C1879" s="2" t="s">
        <v>12423</v>
      </c>
      <c r="D1879" s="2" t="s">
        <v>4096</v>
      </c>
      <c r="E1879" s="2">
        <v>88</v>
      </c>
      <c r="F1879" s="2">
        <v>1776.559</v>
      </c>
    </row>
    <row r="1880" spans="3:6" x14ac:dyDescent="0.25">
      <c r="C1880" s="2" t="s">
        <v>12424</v>
      </c>
      <c r="D1880" s="2" t="s">
        <v>4096</v>
      </c>
      <c r="E1880" s="2">
        <v>8</v>
      </c>
      <c r="F1880" s="2">
        <v>289.24</v>
      </c>
    </row>
    <row r="1882" spans="1:7" x14ac:dyDescent="0.25">
      <c r="A1882" s="1">
        <v>46131</v>
      </c>
      <c r="B1882" s="2" t="s">
        <v>71</v>
      </c>
      <c r="C1882" s="2" t="s">
        <v>12425</v>
      </c>
      <c r="D1882" s="2" t="s">
        <v>73</v>
      </c>
      <c r="E1882" s="2">
        <v>56</v>
      </c>
      <c r="F1882" s="2">
        <v>1132.309</v>
      </c>
      <c r="G1882" s="1">
        <v>46130</v>
      </c>
    </row>
    <row r="1883" spans="3:6" x14ac:dyDescent="0.25">
      <c r="C1883" s="2" t="s">
        <v>12426</v>
      </c>
      <c r="D1883" s="2" t="s">
        <v>73</v>
      </c>
      <c r="E1883" s="2">
        <v>39</v>
      </c>
      <c r="F1883" s="2">
        <v>694.098</v>
      </c>
    </row>
    <row r="1884" spans="3:6" x14ac:dyDescent="0.25">
      <c r="C1884" s="2" t="s">
        <v>12427</v>
      </c>
      <c r="D1884" s="2" t="s">
        <v>73</v>
      </c>
      <c r="E1884" s="2">
        <v>82</v>
      </c>
      <c r="F1884" s="2">
        <v>1570.25</v>
      </c>
    </row>
    <row r="1885" spans="3:6" x14ac:dyDescent="0.25">
      <c r="C1885" s="2" t="s">
        <v>12428</v>
      </c>
      <c r="D1885" s="2" t="s">
        <v>73</v>
      </c>
      <c r="E1885" s="2">
        <v>19</v>
      </c>
      <c r="F1885" s="2">
        <v>339.93</v>
      </c>
    </row>
    <row r="1886" spans="3:6" x14ac:dyDescent="0.25">
      <c r="C1886" s="2" t="s">
        <v>12429</v>
      </c>
      <c r="D1886" s="2" t="s">
        <v>73</v>
      </c>
      <c r="E1886" s="2">
        <v>20</v>
      </c>
      <c r="F1886" s="2">
        <v>364.659</v>
      </c>
    </row>
    <row r="1887" spans="3:6" x14ac:dyDescent="0.25">
      <c r="C1887" s="2" t="s">
        <v>12430</v>
      </c>
      <c r="D1887" s="2" t="s">
        <v>73</v>
      </c>
      <c r="E1887" s="2">
        <v>68</v>
      </c>
      <c r="F1887" s="2">
        <v>1381.41</v>
      </c>
    </row>
    <row r="1888" spans="3:6" x14ac:dyDescent="0.25">
      <c r="C1888" s="2" t="s">
        <v>12431</v>
      </c>
      <c r="D1888" s="2" t="s">
        <v>73</v>
      </c>
      <c r="E1888" s="2">
        <v>20</v>
      </c>
      <c r="F1888" s="2">
        <v>358.66</v>
      </c>
    </row>
    <row r="1889" spans="3:6" x14ac:dyDescent="0.25">
      <c r="C1889" s="2" t="s">
        <v>12432</v>
      </c>
      <c r="D1889" s="2" t="s">
        <v>73</v>
      </c>
      <c r="E1889" s="2">
        <v>38</v>
      </c>
      <c r="F1889" s="2">
        <v>666.999</v>
      </c>
    </row>
    <row r="1890" spans="3:6" x14ac:dyDescent="0.25">
      <c r="C1890" s="2" t="s">
        <v>12433</v>
      </c>
      <c r="D1890" s="2" t="s">
        <v>73</v>
      </c>
      <c r="E1890" s="2">
        <v>77</v>
      </c>
      <c r="F1890" s="2">
        <v>1521.71</v>
      </c>
    </row>
    <row r="1891" spans="3:6" x14ac:dyDescent="0.25">
      <c r="C1891" s="2" t="s">
        <v>12434</v>
      </c>
      <c r="D1891" s="2" t="s">
        <v>73</v>
      </c>
      <c r="E1891" s="2">
        <v>7</v>
      </c>
      <c r="F1891" s="2">
        <v>122.55</v>
      </c>
    </row>
    <row r="1893" spans="1:7" x14ac:dyDescent="0.25">
      <c r="A1893" s="1">
        <v>46131</v>
      </c>
      <c r="B1893" s="2" t="s">
        <v>495</v>
      </c>
      <c r="C1893" s="2" t="s">
        <v>12230</v>
      </c>
      <c r="D1893" s="2" t="s">
        <v>178</v>
      </c>
      <c r="E1893" s="2">
        <v>141</v>
      </c>
      <c r="F1893" s="2">
        <v>2809.66</v>
      </c>
      <c r="G1893" s="1">
        <v>46130</v>
      </c>
    </row>
    <row r="1894" spans="3:6" x14ac:dyDescent="0.25">
      <c r="C1894" s="2" t="s">
        <v>12231</v>
      </c>
      <c r="D1894" s="2" t="s">
        <v>178</v>
      </c>
      <c r="E1894" s="2">
        <v>141</v>
      </c>
      <c r="F1894" s="2">
        <v>2683.119</v>
      </c>
    </row>
    <row r="1895" spans="3:6" x14ac:dyDescent="0.25">
      <c r="C1895" s="2" t="s">
        <v>12210</v>
      </c>
      <c r="D1895" s="2" t="s">
        <v>178</v>
      </c>
      <c r="E1895" s="2">
        <v>65</v>
      </c>
      <c r="F1895" s="2">
        <v>1096.501</v>
      </c>
    </row>
    <row r="1896" spans="3:6" x14ac:dyDescent="0.25">
      <c r="C1896" s="2" t="s">
        <v>12211</v>
      </c>
      <c r="D1896" s="2" t="s">
        <v>178</v>
      </c>
      <c r="E1896" s="2">
        <v>10</v>
      </c>
      <c r="F1896" s="2">
        <v>187.23</v>
      </c>
    </row>
    <row r="1897" spans="3:6" x14ac:dyDescent="0.25">
      <c r="C1897" s="2" t="s">
        <v>12435</v>
      </c>
      <c r="D1897" s="2" t="s">
        <v>178</v>
      </c>
      <c r="E1897" s="2">
        <v>27</v>
      </c>
      <c r="F1897" s="2">
        <v>530.77</v>
      </c>
    </row>
    <row r="1898" spans="3:6" x14ac:dyDescent="0.25">
      <c r="C1898" s="2" t="s">
        <v>12436</v>
      </c>
      <c r="D1898" s="2" t="s">
        <v>178</v>
      </c>
      <c r="E1898" s="2" t="s">
        <v>4167</v>
      </c>
      <c r="F1898" s="2" t="s">
        <v>4167</v>
      </c>
    </row>
    <row r="1899" spans="3:6" x14ac:dyDescent="0.25">
      <c r="C1899" s="2" t="s">
        <v>12437</v>
      </c>
      <c r="D1899" s="2" t="s">
        <v>178</v>
      </c>
      <c r="E1899" s="2" t="s">
        <v>4167</v>
      </c>
      <c r="F1899" s="2" t="s">
        <v>4167</v>
      </c>
    </row>
    <row r="1900" spans="3:6" x14ac:dyDescent="0.25">
      <c r="C1900" s="2" t="s">
        <v>12438</v>
      </c>
      <c r="D1900" s="2" t="s">
        <v>178</v>
      </c>
      <c r="E1900" s="2">
        <v>3</v>
      </c>
      <c r="F1900" s="2">
        <v>20.35</v>
      </c>
    </row>
    <row r="1901" spans="3:6" x14ac:dyDescent="0.25">
      <c r="C1901" s="2" t="s">
        <v>12439</v>
      </c>
      <c r="D1901" s="2" t="s">
        <v>178</v>
      </c>
      <c r="E1901" s="2">
        <v>66</v>
      </c>
      <c r="F1901" s="2">
        <v>1261.97</v>
      </c>
    </row>
    <row r="1902" spans="3:6" x14ac:dyDescent="0.25">
      <c r="C1902" s="2" t="s">
        <v>12218</v>
      </c>
      <c r="D1902" s="2" t="s">
        <v>178</v>
      </c>
      <c r="E1902" s="2">
        <v>141</v>
      </c>
      <c r="F1902" s="2">
        <v>2698.49</v>
      </c>
    </row>
    <row r="1903" spans="3:6" x14ac:dyDescent="0.25">
      <c r="C1903" s="2" t="s">
        <v>12225</v>
      </c>
      <c r="D1903" s="2" t="s">
        <v>178</v>
      </c>
      <c r="E1903" s="2">
        <v>56</v>
      </c>
      <c r="F1903" s="2">
        <v>1060.659</v>
      </c>
    </row>
    <row r="1904" spans="3:6" x14ac:dyDescent="0.25">
      <c r="C1904" s="2" t="s">
        <v>12223</v>
      </c>
      <c r="D1904" s="2" t="s">
        <v>178</v>
      </c>
      <c r="E1904" s="2">
        <v>51</v>
      </c>
      <c r="F1904" s="2">
        <v>956.569</v>
      </c>
    </row>
    <row r="1905" spans="3:6" x14ac:dyDescent="0.25">
      <c r="C1905" s="2" t="s">
        <v>12224</v>
      </c>
      <c r="D1905" s="2" t="s">
        <v>178</v>
      </c>
      <c r="E1905" s="2">
        <v>35</v>
      </c>
      <c r="F1905" s="2">
        <v>659.49</v>
      </c>
    </row>
    <row r="1906" spans="3:6" x14ac:dyDescent="0.25">
      <c r="C1906" s="2" t="s">
        <v>12440</v>
      </c>
      <c r="D1906" s="2" t="s">
        <v>178</v>
      </c>
      <c r="E1906" s="2">
        <v>306</v>
      </c>
      <c r="F1906" s="2">
        <v>6288.58</v>
      </c>
    </row>
    <row r="1907" spans="3:6" x14ac:dyDescent="0.25">
      <c r="C1907" s="2" t="s">
        <v>12441</v>
      </c>
      <c r="D1907" s="2" t="s">
        <v>178</v>
      </c>
      <c r="E1907" s="2">
        <v>102</v>
      </c>
      <c r="F1907" s="2">
        <v>1963.159</v>
      </c>
    </row>
    <row r="1908" spans="3:6" x14ac:dyDescent="0.25">
      <c r="C1908" s="2" t="s">
        <v>12442</v>
      </c>
      <c r="D1908" s="2" t="s">
        <v>178</v>
      </c>
      <c r="E1908" s="2">
        <v>123</v>
      </c>
      <c r="F1908" s="2">
        <v>2578.63</v>
      </c>
    </row>
    <row r="1909" spans="3:6" x14ac:dyDescent="0.25">
      <c r="C1909" s="2" t="s">
        <v>12443</v>
      </c>
      <c r="D1909" s="2" t="s">
        <v>178</v>
      </c>
      <c r="E1909" s="2">
        <v>134</v>
      </c>
      <c r="F1909" s="2">
        <v>2770.56</v>
      </c>
    </row>
    <row r="1910" spans="3:6" x14ac:dyDescent="0.25">
      <c r="C1910" s="2" t="s">
        <v>12444</v>
      </c>
      <c r="D1910" s="2" t="s">
        <v>178</v>
      </c>
      <c r="E1910" s="2">
        <v>123</v>
      </c>
      <c r="F1910" s="2">
        <v>2671.73</v>
      </c>
    </row>
    <row r="1911" spans="3:6" x14ac:dyDescent="0.25">
      <c r="C1911" s="2" t="s">
        <v>12445</v>
      </c>
      <c r="D1911" s="2" t="s">
        <v>178</v>
      </c>
      <c r="E1911" s="2">
        <v>123</v>
      </c>
      <c r="F1911" s="2">
        <v>2619.689</v>
      </c>
    </row>
    <row r="1912" spans="3:6" x14ac:dyDescent="0.25">
      <c r="C1912" s="2" t="s">
        <v>12446</v>
      </c>
      <c r="D1912" s="2" t="s">
        <v>178</v>
      </c>
      <c r="E1912" s="2">
        <v>123</v>
      </c>
      <c r="F1912" s="2">
        <v>2337.859</v>
      </c>
    </row>
    <row r="1913" spans="3:6" x14ac:dyDescent="0.25">
      <c r="C1913" s="2" t="s">
        <v>12447</v>
      </c>
      <c r="D1913" s="2" t="s">
        <v>178</v>
      </c>
      <c r="E1913" s="2">
        <v>102</v>
      </c>
      <c r="F1913" s="2">
        <v>1855.639</v>
      </c>
    </row>
    <row r="1914" spans="3:6" x14ac:dyDescent="0.25">
      <c r="C1914" s="2" t="s">
        <v>12448</v>
      </c>
      <c r="D1914" s="2" t="s">
        <v>178</v>
      </c>
      <c r="E1914" s="2">
        <v>282</v>
      </c>
      <c r="F1914" s="2">
        <v>6007.57</v>
      </c>
    </row>
    <row r="1915" spans="3:6" x14ac:dyDescent="0.25">
      <c r="C1915" s="2" t="s">
        <v>12449</v>
      </c>
      <c r="D1915" s="2" t="s">
        <v>178</v>
      </c>
      <c r="E1915" s="2">
        <v>11</v>
      </c>
      <c r="F1915" s="2">
        <v>158.9</v>
      </c>
    </row>
    <row r="1916" spans="3:6" x14ac:dyDescent="0.25">
      <c r="C1916" s="2" t="s">
        <v>12450</v>
      </c>
      <c r="D1916" s="2" t="s">
        <v>178</v>
      </c>
      <c r="E1916" s="2">
        <v>30</v>
      </c>
      <c r="F1916" s="2">
        <v>573.4</v>
      </c>
    </row>
    <row r="1917" spans="3:6" x14ac:dyDescent="0.25">
      <c r="C1917" s="2" t="s">
        <v>12451</v>
      </c>
      <c r="D1917" s="2" t="s">
        <v>178</v>
      </c>
      <c r="E1917" s="2">
        <v>50</v>
      </c>
      <c r="F1917" s="2">
        <v>952.709</v>
      </c>
    </row>
    <row r="1918" spans="3:6" x14ac:dyDescent="0.25">
      <c r="C1918" s="2" t="s">
        <v>12452</v>
      </c>
      <c r="D1918" s="2" t="s">
        <v>178</v>
      </c>
      <c r="E1918" s="2">
        <v>50</v>
      </c>
      <c r="F1918" s="2">
        <v>973.97</v>
      </c>
    </row>
    <row r="1919" spans="3:6" x14ac:dyDescent="0.25">
      <c r="C1919" s="2" t="s">
        <v>12453</v>
      </c>
      <c r="D1919" s="2" t="s">
        <v>178</v>
      </c>
      <c r="E1919" s="2">
        <v>90</v>
      </c>
      <c r="F1919" s="2">
        <v>380.447</v>
      </c>
    </row>
    <row r="1920" spans="3:6" x14ac:dyDescent="0.25">
      <c r="C1920" s="2" t="s">
        <v>12454</v>
      </c>
      <c r="D1920" s="2" t="s">
        <v>178</v>
      </c>
      <c r="E1920" s="2">
        <v>243</v>
      </c>
      <c r="F1920" s="2">
        <v>5222.76</v>
      </c>
    </row>
    <row r="1921" spans="3:6" x14ac:dyDescent="0.25">
      <c r="C1921" s="2" t="s">
        <v>12455</v>
      </c>
      <c r="D1921" s="2" t="s">
        <v>178</v>
      </c>
      <c r="E1921" s="2">
        <v>141</v>
      </c>
      <c r="F1921" s="2">
        <v>2939.18</v>
      </c>
    </row>
    <row r="1922" spans="3:6" x14ac:dyDescent="0.25">
      <c r="C1922" s="2" t="s">
        <v>12456</v>
      </c>
      <c r="D1922" s="2" t="s">
        <v>178</v>
      </c>
      <c r="E1922" s="2">
        <v>122</v>
      </c>
      <c r="F1922" s="2">
        <v>2497.65</v>
      </c>
    </row>
    <row r="1923" spans="3:6" x14ac:dyDescent="0.25">
      <c r="C1923" s="2" t="s">
        <v>12457</v>
      </c>
      <c r="D1923" s="2" t="s">
        <v>178</v>
      </c>
      <c r="E1923" s="2">
        <v>19</v>
      </c>
      <c r="F1923" s="2">
        <v>388.02</v>
      </c>
    </row>
    <row r="1924" spans="3:6" x14ac:dyDescent="0.25">
      <c r="C1924" s="2" t="s">
        <v>12458</v>
      </c>
      <c r="D1924" s="2" t="s">
        <v>178</v>
      </c>
      <c r="E1924" s="2">
        <v>141</v>
      </c>
      <c r="F1924" s="2">
        <v>2913.26</v>
      </c>
    </row>
    <row r="1925" spans="3:6" x14ac:dyDescent="0.25">
      <c r="C1925" s="2" t="s">
        <v>12459</v>
      </c>
      <c r="D1925" s="2" t="s">
        <v>178</v>
      </c>
      <c r="E1925" s="2">
        <v>141</v>
      </c>
      <c r="F1925" s="2">
        <v>3065.58</v>
      </c>
    </row>
    <row r="1926" spans="3:6" x14ac:dyDescent="0.25">
      <c r="C1926" s="2" t="s">
        <v>12460</v>
      </c>
      <c r="D1926" s="2" t="s">
        <v>178</v>
      </c>
      <c r="E1926" s="2">
        <v>141</v>
      </c>
      <c r="F1926" s="2">
        <v>2970.36</v>
      </c>
    </row>
    <row r="1927" spans="3:6" x14ac:dyDescent="0.25">
      <c r="C1927" s="2" t="s">
        <v>12461</v>
      </c>
      <c r="D1927" s="2" t="s">
        <v>178</v>
      </c>
      <c r="E1927" s="2">
        <v>102</v>
      </c>
      <c r="F1927" s="2">
        <v>2129.65</v>
      </c>
    </row>
    <row r="1928" spans="3:6" x14ac:dyDescent="0.25">
      <c r="C1928" s="2" t="s">
        <v>12462</v>
      </c>
      <c r="D1928" s="2" t="s">
        <v>178</v>
      </c>
      <c r="E1928" s="2">
        <v>135</v>
      </c>
      <c r="F1928" s="2">
        <v>557.25</v>
      </c>
    </row>
    <row r="1929" spans="3:6" x14ac:dyDescent="0.25">
      <c r="C1929" s="2" t="s">
        <v>12463</v>
      </c>
      <c r="D1929" s="2" t="s">
        <v>178</v>
      </c>
      <c r="E1929" s="2">
        <v>193</v>
      </c>
      <c r="F1929" s="2">
        <v>4020.54</v>
      </c>
    </row>
    <row r="1930" spans="3:6" x14ac:dyDescent="0.25">
      <c r="C1930" s="2" t="s">
        <v>12464</v>
      </c>
      <c r="D1930" s="2" t="s">
        <v>178</v>
      </c>
      <c r="E1930" s="2">
        <v>89</v>
      </c>
      <c r="F1930" s="2">
        <v>1863.279</v>
      </c>
    </row>
    <row r="1931" spans="3:6" x14ac:dyDescent="0.25">
      <c r="C1931" s="2" t="s">
        <v>12465</v>
      </c>
      <c r="D1931" s="2" t="s">
        <v>178</v>
      </c>
      <c r="E1931" s="2">
        <v>140</v>
      </c>
      <c r="F1931" s="2">
        <v>2720.9</v>
      </c>
    </row>
    <row r="1932" spans="3:6" x14ac:dyDescent="0.25">
      <c r="C1932" s="2" t="s">
        <v>12466</v>
      </c>
      <c r="D1932" s="2" t="s">
        <v>178</v>
      </c>
      <c r="E1932" s="2">
        <v>141</v>
      </c>
      <c r="F1932" s="2">
        <v>2923.96</v>
      </c>
    </row>
    <row r="1933" spans="3:6" x14ac:dyDescent="0.25">
      <c r="C1933" s="2" t="s">
        <v>12467</v>
      </c>
      <c r="D1933" s="2" t="s">
        <v>178</v>
      </c>
      <c r="E1933" s="2">
        <v>41</v>
      </c>
      <c r="F1933" s="2">
        <v>862.67</v>
      </c>
    </row>
    <row r="1934" spans="3:6" x14ac:dyDescent="0.25">
      <c r="C1934" s="2" t="s">
        <v>12468</v>
      </c>
      <c r="D1934" s="2" t="s">
        <v>178</v>
      </c>
      <c r="E1934" s="2">
        <v>100</v>
      </c>
      <c r="F1934" s="2">
        <v>1912.96</v>
      </c>
    </row>
    <row r="1935" spans="3:6" x14ac:dyDescent="0.25">
      <c r="C1935" s="2" t="s">
        <v>12469</v>
      </c>
      <c r="D1935" s="2" t="s">
        <v>178</v>
      </c>
      <c r="E1935" s="2">
        <v>101</v>
      </c>
      <c r="F1935" s="2">
        <v>2155.09</v>
      </c>
    </row>
    <row r="1936" spans="3:6" x14ac:dyDescent="0.25">
      <c r="C1936" s="2" t="s">
        <v>12470</v>
      </c>
      <c r="D1936" s="2" t="s">
        <v>178</v>
      </c>
      <c r="E1936" s="2">
        <v>40</v>
      </c>
      <c r="F1936" s="2">
        <v>787.71</v>
      </c>
    </row>
    <row r="1938" spans="1:7" x14ac:dyDescent="0.25">
      <c r="A1938" s="1">
        <v>46131</v>
      </c>
      <c r="B1938" s="2" t="s">
        <v>80</v>
      </c>
      <c r="C1938" s="2" t="s">
        <v>12471</v>
      </c>
      <c r="D1938" s="2" t="s">
        <v>82</v>
      </c>
      <c r="E1938" s="2">
        <v>101</v>
      </c>
      <c r="F1938" s="2">
        <v>853.291</v>
      </c>
      <c r="G1938" s="1">
        <v>46130</v>
      </c>
    </row>
    <row r="1939" spans="3:6" x14ac:dyDescent="0.25">
      <c r="C1939" s="2" t="s">
        <v>12472</v>
      </c>
      <c r="D1939" s="2" t="s">
        <v>82</v>
      </c>
      <c r="E1939" s="2">
        <v>121</v>
      </c>
      <c r="F1939" s="2">
        <v>2567.86</v>
      </c>
    </row>
    <row r="1940" spans="3:6" x14ac:dyDescent="0.25">
      <c r="C1940" s="2" t="s">
        <v>12473</v>
      </c>
      <c r="D1940" s="2" t="s">
        <v>82</v>
      </c>
      <c r="E1940" s="2">
        <v>61</v>
      </c>
      <c r="F1940" s="2">
        <v>1301.53</v>
      </c>
    </row>
    <row r="1941" spans="3:6" x14ac:dyDescent="0.25">
      <c r="C1941" s="2" t="s">
        <v>12474</v>
      </c>
      <c r="D1941" s="2" t="s">
        <v>82</v>
      </c>
      <c r="E1941" s="2">
        <v>60</v>
      </c>
      <c r="F1941" s="2">
        <v>1301.34</v>
      </c>
    </row>
    <row r="1942" spans="3:6" x14ac:dyDescent="0.25">
      <c r="C1942" s="2" t="s">
        <v>12475</v>
      </c>
      <c r="D1942" s="2" t="s">
        <v>82</v>
      </c>
      <c r="E1942" s="2">
        <v>141</v>
      </c>
      <c r="F1942" s="2">
        <v>611.6</v>
      </c>
    </row>
    <row r="1943" spans="3:6" x14ac:dyDescent="0.25">
      <c r="C1943" s="2" t="s">
        <v>12476</v>
      </c>
      <c r="D1943" s="2" t="s">
        <v>82</v>
      </c>
      <c r="E1943" s="2">
        <v>141</v>
      </c>
      <c r="F1943" s="2">
        <v>3015.26</v>
      </c>
    </row>
    <row r="1944" spans="3:6" x14ac:dyDescent="0.25">
      <c r="C1944" s="2" t="s">
        <v>12477</v>
      </c>
      <c r="D1944" s="2" t="s">
        <v>82</v>
      </c>
      <c r="E1944" s="2">
        <v>141</v>
      </c>
      <c r="F1944" s="2">
        <v>3019.51</v>
      </c>
    </row>
    <row r="1945" spans="3:6" x14ac:dyDescent="0.25">
      <c r="C1945" s="2" t="s">
        <v>12478</v>
      </c>
      <c r="D1945" s="2" t="s">
        <v>82</v>
      </c>
      <c r="E1945" s="2">
        <v>141</v>
      </c>
      <c r="F1945" s="2">
        <v>1199.019</v>
      </c>
    </row>
    <row r="1946" spans="3:6" x14ac:dyDescent="0.25">
      <c r="C1946" s="2" t="s">
        <v>12479</v>
      </c>
      <c r="D1946" s="2" t="s">
        <v>82</v>
      </c>
      <c r="E1946" s="2">
        <v>40</v>
      </c>
      <c r="F1946" s="2">
        <v>735</v>
      </c>
    </row>
    <row r="1947" spans="3:6" x14ac:dyDescent="0.25">
      <c r="C1947" s="2" t="s">
        <v>12480</v>
      </c>
      <c r="D1947" s="2" t="s">
        <v>82</v>
      </c>
      <c r="E1947" s="2">
        <v>35</v>
      </c>
      <c r="F1947" s="2">
        <v>632.37</v>
      </c>
    </row>
    <row r="1948" spans="3:6" x14ac:dyDescent="0.25">
      <c r="C1948" s="2" t="s">
        <v>12481</v>
      </c>
      <c r="D1948" s="2" t="s">
        <v>82</v>
      </c>
      <c r="E1948" s="2">
        <v>65</v>
      </c>
      <c r="F1948" s="2">
        <v>1790.35</v>
      </c>
    </row>
    <row r="1949" spans="3:6" x14ac:dyDescent="0.25">
      <c r="C1949" s="2" t="s">
        <v>12482</v>
      </c>
      <c r="D1949" s="2" t="s">
        <v>82</v>
      </c>
      <c r="E1949" s="2">
        <v>70</v>
      </c>
      <c r="F1949" s="2">
        <v>2074.383</v>
      </c>
    </row>
    <row r="1950" spans="3:6" x14ac:dyDescent="0.25">
      <c r="C1950" s="2" t="s">
        <v>12483</v>
      </c>
      <c r="D1950" s="2" t="s">
        <v>82</v>
      </c>
      <c r="E1950" s="2">
        <v>143</v>
      </c>
      <c r="F1950" s="2">
        <v>2875.479</v>
      </c>
    </row>
    <row r="1951" spans="3:6" x14ac:dyDescent="0.25">
      <c r="C1951" s="2" t="s">
        <v>12484</v>
      </c>
      <c r="D1951" s="2" t="s">
        <v>82</v>
      </c>
      <c r="E1951" s="2">
        <v>141</v>
      </c>
      <c r="F1951" s="2">
        <v>2887</v>
      </c>
    </row>
    <row r="1952" spans="3:6" x14ac:dyDescent="0.25">
      <c r="C1952" s="2" t="s">
        <v>12485</v>
      </c>
      <c r="D1952" s="2" t="s">
        <v>82</v>
      </c>
      <c r="E1952" s="2">
        <v>102</v>
      </c>
      <c r="F1952" s="2">
        <v>2126.34</v>
      </c>
    </row>
    <row r="1953" spans="3:6" x14ac:dyDescent="0.25">
      <c r="C1953" s="2" t="s">
        <v>12486</v>
      </c>
      <c r="D1953" s="2" t="s">
        <v>82</v>
      </c>
      <c r="E1953" s="2">
        <v>31</v>
      </c>
      <c r="F1953" s="2">
        <v>638.42</v>
      </c>
    </row>
    <row r="1954" spans="3:6" x14ac:dyDescent="0.25">
      <c r="C1954" s="2" t="s">
        <v>12487</v>
      </c>
      <c r="D1954" s="2" t="s">
        <v>82</v>
      </c>
      <c r="E1954" s="2">
        <v>66</v>
      </c>
      <c r="F1954" s="2">
        <v>1372.15</v>
      </c>
    </row>
    <row r="1955" spans="3:6" x14ac:dyDescent="0.25">
      <c r="C1955" s="2" t="s">
        <v>12488</v>
      </c>
      <c r="D1955" s="2" t="s">
        <v>82</v>
      </c>
      <c r="E1955" s="2">
        <v>31</v>
      </c>
      <c r="F1955" s="2">
        <v>592.33</v>
      </c>
    </row>
    <row r="1956" spans="3:6" x14ac:dyDescent="0.25">
      <c r="C1956" s="2" t="s">
        <v>12489</v>
      </c>
      <c r="D1956" s="2" t="s">
        <v>82</v>
      </c>
      <c r="E1956" s="2">
        <v>13</v>
      </c>
      <c r="F1956" s="2">
        <v>274.87</v>
      </c>
    </row>
    <row r="1957" spans="3:6" x14ac:dyDescent="0.25">
      <c r="C1957" s="2" t="s">
        <v>12490</v>
      </c>
      <c r="D1957" s="2" t="s">
        <v>82</v>
      </c>
      <c r="E1957" s="2">
        <v>104</v>
      </c>
      <c r="F1957" s="2">
        <v>2167.58</v>
      </c>
    </row>
    <row r="1958" spans="3:6" x14ac:dyDescent="0.25">
      <c r="C1958" s="2" t="s">
        <v>12491</v>
      </c>
      <c r="D1958" s="2" t="s">
        <v>82</v>
      </c>
      <c r="E1958" s="2">
        <v>37</v>
      </c>
      <c r="F1958" s="2">
        <v>772.44</v>
      </c>
    </row>
    <row r="1959" spans="3:6" x14ac:dyDescent="0.25">
      <c r="C1959" s="2" t="s">
        <v>12492</v>
      </c>
      <c r="D1959" s="2" t="s">
        <v>82</v>
      </c>
      <c r="E1959" s="2">
        <v>79</v>
      </c>
      <c r="F1959" s="2">
        <v>1635.2</v>
      </c>
    </row>
    <row r="1960" spans="3:6" x14ac:dyDescent="0.25">
      <c r="C1960" s="2" t="s">
        <v>12493</v>
      </c>
      <c r="D1960" s="2" t="s">
        <v>82</v>
      </c>
      <c r="E1960" s="2">
        <v>62</v>
      </c>
      <c r="F1960" s="2">
        <v>1289.24</v>
      </c>
    </row>
    <row r="1961" spans="3:6" x14ac:dyDescent="0.25">
      <c r="C1961" s="2" t="s">
        <v>12494</v>
      </c>
      <c r="D1961" s="2" t="s">
        <v>82</v>
      </c>
      <c r="E1961" s="2">
        <v>67</v>
      </c>
      <c r="F1961" s="2">
        <v>1400.03</v>
      </c>
    </row>
    <row r="1962" spans="3:6" x14ac:dyDescent="0.25">
      <c r="C1962" s="2" t="s">
        <v>12495</v>
      </c>
      <c r="D1962" s="2" t="s">
        <v>82</v>
      </c>
      <c r="E1962" s="2">
        <v>35</v>
      </c>
      <c r="F1962" s="2">
        <v>736.29</v>
      </c>
    </row>
    <row r="1963" spans="3:6" x14ac:dyDescent="0.25">
      <c r="C1963" s="2" t="s">
        <v>12496</v>
      </c>
      <c r="D1963" s="2" t="s">
        <v>82</v>
      </c>
      <c r="E1963" s="2">
        <v>61</v>
      </c>
      <c r="F1963" s="2">
        <v>1309.38</v>
      </c>
    </row>
    <row r="1964" spans="3:6" x14ac:dyDescent="0.25">
      <c r="C1964" s="2" t="s">
        <v>12497</v>
      </c>
      <c r="D1964" s="2" t="s">
        <v>82</v>
      </c>
      <c r="E1964" s="2">
        <v>41</v>
      </c>
      <c r="F1964" s="2">
        <v>852.13</v>
      </c>
    </row>
    <row r="1965" spans="3:6" x14ac:dyDescent="0.25">
      <c r="C1965" s="2" t="s">
        <v>12498</v>
      </c>
      <c r="D1965" s="2" t="s">
        <v>82</v>
      </c>
      <c r="E1965" s="2">
        <v>78</v>
      </c>
      <c r="F1965" s="2">
        <v>1635.91</v>
      </c>
    </row>
    <row r="1966" spans="3:6" x14ac:dyDescent="0.25">
      <c r="C1966" s="2" t="s">
        <v>12499</v>
      </c>
      <c r="D1966" s="2" t="s">
        <v>82</v>
      </c>
      <c r="E1966" s="2">
        <v>24</v>
      </c>
      <c r="F1966" s="2">
        <v>513.31</v>
      </c>
    </row>
    <row r="1967" spans="3:6" x14ac:dyDescent="0.25">
      <c r="C1967" s="2" t="s">
        <v>12500</v>
      </c>
      <c r="D1967" s="2" t="s">
        <v>82</v>
      </c>
      <c r="E1967" s="2">
        <v>60</v>
      </c>
      <c r="F1967" s="2">
        <v>1263.16</v>
      </c>
    </row>
    <row r="1968" spans="3:6" x14ac:dyDescent="0.25">
      <c r="C1968" s="2" t="s">
        <v>12501</v>
      </c>
      <c r="D1968" s="2" t="s">
        <v>82</v>
      </c>
      <c r="E1968" s="2">
        <v>42</v>
      </c>
      <c r="F1968" s="2">
        <v>865.18</v>
      </c>
    </row>
    <row r="1969" spans="3:6" x14ac:dyDescent="0.25">
      <c r="C1969" s="2" t="s">
        <v>12502</v>
      </c>
      <c r="D1969" s="2" t="s">
        <v>82</v>
      </c>
      <c r="E1969" s="2">
        <v>42</v>
      </c>
      <c r="F1969" s="2">
        <v>892.68</v>
      </c>
    </row>
    <row r="1970" spans="3:6" x14ac:dyDescent="0.25">
      <c r="C1970" s="2" t="s">
        <v>12503</v>
      </c>
      <c r="D1970" s="2" t="s">
        <v>82</v>
      </c>
      <c r="E1970" s="2">
        <v>50</v>
      </c>
      <c r="F1970" s="2">
        <v>1034.78</v>
      </c>
    </row>
    <row r="1971" spans="3:6" x14ac:dyDescent="0.25">
      <c r="C1971" s="2" t="s">
        <v>12504</v>
      </c>
      <c r="D1971" s="2" t="s">
        <v>82</v>
      </c>
      <c r="E1971" s="2">
        <v>35</v>
      </c>
      <c r="F1971" s="2">
        <v>713.1</v>
      </c>
    </row>
    <row r="1972" spans="3:6" x14ac:dyDescent="0.25">
      <c r="C1972" s="2" t="s">
        <v>12505</v>
      </c>
      <c r="D1972" s="2" t="s">
        <v>82</v>
      </c>
      <c r="E1972" s="2">
        <v>14</v>
      </c>
      <c r="F1972" s="2">
        <v>292.57</v>
      </c>
    </row>
    <row r="1973" spans="3:6" x14ac:dyDescent="0.25">
      <c r="C1973" s="2" t="s">
        <v>12506</v>
      </c>
      <c r="D1973" s="2" t="s">
        <v>82</v>
      </c>
      <c r="E1973" s="2">
        <v>56</v>
      </c>
      <c r="F1973" s="2">
        <v>1097.8</v>
      </c>
    </row>
    <row r="1974" spans="3:6" x14ac:dyDescent="0.25">
      <c r="C1974" s="2" t="s">
        <v>12507</v>
      </c>
      <c r="D1974" s="2" t="s">
        <v>82</v>
      </c>
      <c r="E1974" s="2">
        <v>28</v>
      </c>
      <c r="F1974" s="2">
        <v>575.25</v>
      </c>
    </row>
    <row r="1975" spans="3:6" x14ac:dyDescent="0.25">
      <c r="C1975" s="2" t="s">
        <v>12508</v>
      </c>
      <c r="D1975" s="2" t="s">
        <v>82</v>
      </c>
      <c r="E1975" s="2">
        <v>30</v>
      </c>
      <c r="F1975" s="2">
        <v>592.32</v>
      </c>
    </row>
    <row r="1976" spans="3:6" x14ac:dyDescent="0.25">
      <c r="C1976" s="2" t="s">
        <v>12509</v>
      </c>
      <c r="D1976" s="2" t="s">
        <v>82</v>
      </c>
      <c r="E1976" s="2">
        <v>27</v>
      </c>
      <c r="F1976" s="2">
        <v>540.79</v>
      </c>
    </row>
    <row r="1977" spans="3:6" x14ac:dyDescent="0.25">
      <c r="C1977" s="2" t="s">
        <v>12510</v>
      </c>
      <c r="D1977" s="2" t="s">
        <v>82</v>
      </c>
      <c r="E1977" s="2">
        <v>79</v>
      </c>
      <c r="F1977" s="2">
        <v>1540.349</v>
      </c>
    </row>
    <row r="1978" spans="3:6" x14ac:dyDescent="0.25">
      <c r="C1978" s="2" t="s">
        <v>12511</v>
      </c>
      <c r="D1978" s="2" t="s">
        <v>82</v>
      </c>
      <c r="E1978" s="2">
        <v>31</v>
      </c>
      <c r="F1978" s="2">
        <v>652.99</v>
      </c>
    </row>
    <row r="1979" spans="3:6" x14ac:dyDescent="0.25">
      <c r="C1979" s="2" t="s">
        <v>12512</v>
      </c>
      <c r="D1979" s="2" t="s">
        <v>82</v>
      </c>
      <c r="E1979" s="2">
        <v>31</v>
      </c>
      <c r="F1979" s="2">
        <v>554.399</v>
      </c>
    </row>
    <row r="1981" spans="1:7" x14ac:dyDescent="0.25">
      <c r="A1981" s="1">
        <v>46131</v>
      </c>
      <c r="B1981" s="2" t="s">
        <v>7</v>
      </c>
      <c r="C1981" s="2" t="s">
        <v>12513</v>
      </c>
      <c r="D1981" s="2" t="s">
        <v>9</v>
      </c>
      <c r="E1981" s="2">
        <v>99</v>
      </c>
      <c r="F1981" s="2">
        <v>1988.088</v>
      </c>
      <c r="G1981" s="1">
        <v>46130</v>
      </c>
    </row>
    <row r="1982" spans="3:6" x14ac:dyDescent="0.25">
      <c r="C1982" s="2" t="s">
        <v>12514</v>
      </c>
      <c r="D1982" s="2" t="s">
        <v>9</v>
      </c>
      <c r="E1982" s="2">
        <v>99</v>
      </c>
      <c r="F1982" s="2">
        <v>1733.782</v>
      </c>
    </row>
    <row r="1984" spans="1:7" x14ac:dyDescent="0.25">
      <c r="A1984" s="1">
        <v>46131</v>
      </c>
      <c r="B1984" s="2" t="s">
        <v>12515</v>
      </c>
      <c r="C1984" s="2" t="s">
        <v>12516</v>
      </c>
      <c r="D1984" s="2" t="s">
        <v>59</v>
      </c>
      <c r="E1984" s="2">
        <v>162</v>
      </c>
      <c r="F1984" s="2">
        <v>3221.429</v>
      </c>
      <c r="G1984" s="1">
        <v>46130</v>
      </c>
    </row>
    <row r="1985" spans="3:6" x14ac:dyDescent="0.25">
      <c r="C1985" s="2" t="s">
        <v>12517</v>
      </c>
      <c r="D1985" s="2" t="s">
        <v>59</v>
      </c>
      <c r="E1985" s="2">
        <v>243</v>
      </c>
      <c r="F1985" s="2">
        <v>4484.349</v>
      </c>
    </row>
    <row r="1986" spans="3:6" x14ac:dyDescent="0.25">
      <c r="C1986" s="2" t="s">
        <v>12518</v>
      </c>
      <c r="D1986" s="2" t="s">
        <v>59</v>
      </c>
      <c r="E1986" s="2">
        <v>150</v>
      </c>
      <c r="F1986" s="2">
        <v>2961.029</v>
      </c>
    </row>
    <row r="1987" spans="3:6" x14ac:dyDescent="0.25">
      <c r="C1987" s="2" t="s">
        <v>12519</v>
      </c>
      <c r="D1987" s="2" t="s">
        <v>59</v>
      </c>
      <c r="E1987" s="2">
        <v>162</v>
      </c>
      <c r="F1987" s="2">
        <v>3077.86</v>
      </c>
    </row>
    <row r="1988" spans="3:6" x14ac:dyDescent="0.25">
      <c r="C1988" s="2" t="s">
        <v>12520</v>
      </c>
      <c r="D1988" s="2" t="s">
        <v>59</v>
      </c>
      <c r="E1988" s="2">
        <v>558</v>
      </c>
      <c r="F1988" s="2">
        <v>10887.934</v>
      </c>
    </row>
    <row r="1989" spans="3:6" x14ac:dyDescent="0.25">
      <c r="C1989" s="2" t="s">
        <v>12521</v>
      </c>
      <c r="D1989" s="2" t="s">
        <v>59</v>
      </c>
      <c r="E1989" s="2">
        <v>288</v>
      </c>
      <c r="F1989" s="2">
        <v>6705.58</v>
      </c>
    </row>
    <row r="1990" spans="3:6" x14ac:dyDescent="0.25">
      <c r="C1990" s="2" t="s">
        <v>12522</v>
      </c>
      <c r="D1990" s="2" t="s">
        <v>59</v>
      </c>
      <c r="E1990" s="2">
        <v>243</v>
      </c>
      <c r="F1990" s="2">
        <v>4702.289</v>
      </c>
    </row>
    <row r="1991" spans="3:6" x14ac:dyDescent="0.25">
      <c r="C1991" s="2" t="s">
        <v>12523</v>
      </c>
      <c r="D1991" s="2" t="s">
        <v>59</v>
      </c>
      <c r="E1991" s="2">
        <v>36</v>
      </c>
      <c r="F1991" s="2">
        <v>950.42</v>
      </c>
    </row>
    <row r="1992" spans="3:6" x14ac:dyDescent="0.25">
      <c r="C1992" s="2" t="s">
        <v>12524</v>
      </c>
      <c r="D1992" s="2" t="s">
        <v>59</v>
      </c>
      <c r="E1992" s="2">
        <v>52</v>
      </c>
      <c r="F1992" s="2">
        <v>916.769</v>
      </c>
    </row>
    <row r="1994" spans="1:7" x14ac:dyDescent="0.25">
      <c r="A1994" s="1">
        <v>46131</v>
      </c>
      <c r="B1994" s="2" t="s">
        <v>7875</v>
      </c>
      <c r="C1994" s="2" t="s">
        <v>12525</v>
      </c>
      <c r="D1994" s="2" t="s">
        <v>59</v>
      </c>
      <c r="E1994" s="2">
        <v>298</v>
      </c>
      <c r="F1994" s="2">
        <v>5660.56</v>
      </c>
      <c r="G1994" s="1">
        <v>46131</v>
      </c>
    </row>
    <row r="1995" spans="3:6" x14ac:dyDescent="0.25">
      <c r="C1995" s="2" t="s">
        <v>12526</v>
      </c>
      <c r="D1995" s="2" t="s">
        <v>59</v>
      </c>
      <c r="E1995" s="2">
        <v>256</v>
      </c>
      <c r="F1995" s="2">
        <v>5617.491</v>
      </c>
    </row>
    <row r="1996" spans="3:6" x14ac:dyDescent="0.25">
      <c r="C1996" s="2" t="s">
        <v>12527</v>
      </c>
      <c r="D1996" s="2" t="s">
        <v>59</v>
      </c>
      <c r="E1996" s="2">
        <v>251</v>
      </c>
      <c r="F1996" s="2">
        <v>4670.607</v>
      </c>
    </row>
    <row r="1997" spans="3:6" x14ac:dyDescent="0.25">
      <c r="C1997" s="2" t="s">
        <v>12528</v>
      </c>
      <c r="D1997" s="2" t="s">
        <v>59</v>
      </c>
      <c r="E1997" s="2">
        <v>251</v>
      </c>
      <c r="F1997" s="2">
        <v>4361.72</v>
      </c>
    </row>
    <row r="1998" spans="3:6" x14ac:dyDescent="0.25">
      <c r="C1998" s="2" t="s">
        <v>12529</v>
      </c>
      <c r="D1998" s="2" t="s">
        <v>59</v>
      </c>
      <c r="E1998" s="2">
        <v>251</v>
      </c>
      <c r="F1998" s="2">
        <v>4782.59</v>
      </c>
    </row>
    <row r="1999" spans="3:6" x14ac:dyDescent="0.25">
      <c r="C1999" s="2" t="s">
        <v>12530</v>
      </c>
      <c r="D1999" s="2" t="s">
        <v>59</v>
      </c>
      <c r="E1999" s="2">
        <v>112</v>
      </c>
      <c r="F1999" s="2">
        <v>2667.48</v>
      </c>
    </row>
    <row r="2001" spans="1:7" x14ac:dyDescent="0.25">
      <c r="A2001" s="1">
        <v>46132</v>
      </c>
      <c r="B2001" s="2" t="s">
        <v>176</v>
      </c>
      <c r="C2001" s="2" t="s">
        <v>12531</v>
      </c>
      <c r="D2001" s="2" t="s">
        <v>178</v>
      </c>
      <c r="E2001" s="2">
        <v>101</v>
      </c>
      <c r="F2001" s="2">
        <v>1772.029</v>
      </c>
      <c r="G2001" s="1">
        <v>46132</v>
      </c>
    </row>
    <row r="2002" spans="3:6" x14ac:dyDescent="0.25">
      <c r="C2002" s="2" t="s">
        <v>12462</v>
      </c>
      <c r="D2002" s="2" t="s">
        <v>178</v>
      </c>
      <c r="E2002" s="2">
        <v>90</v>
      </c>
      <c r="F2002" s="2">
        <v>380</v>
      </c>
    </row>
    <row r="2003" spans="3:6" x14ac:dyDescent="0.25">
      <c r="C2003" s="2" t="s">
        <v>12532</v>
      </c>
      <c r="D2003" s="2" t="s">
        <v>178</v>
      </c>
      <c r="E2003" s="2">
        <v>102</v>
      </c>
      <c r="F2003" s="2">
        <v>2003.929</v>
      </c>
    </row>
    <row r="2004" spans="3:6" x14ac:dyDescent="0.25">
      <c r="C2004" s="2" t="s">
        <v>12533</v>
      </c>
      <c r="D2004" s="2" t="s">
        <v>178</v>
      </c>
      <c r="E2004" s="2">
        <v>102</v>
      </c>
      <c r="F2004" s="2">
        <v>1917.659</v>
      </c>
    </row>
    <row r="2005" spans="3:6" x14ac:dyDescent="0.25">
      <c r="C2005" s="2" t="s">
        <v>12534</v>
      </c>
      <c r="D2005" s="2" t="s">
        <v>178</v>
      </c>
      <c r="E2005" s="2">
        <v>38</v>
      </c>
      <c r="F2005" s="2">
        <v>742.08</v>
      </c>
    </row>
    <row r="2006" spans="3:6" x14ac:dyDescent="0.25">
      <c r="C2006" s="2" t="s">
        <v>12535</v>
      </c>
      <c r="D2006" s="2" t="s">
        <v>178</v>
      </c>
      <c r="E2006" s="2">
        <v>64</v>
      </c>
      <c r="F2006" s="2">
        <v>1230.969</v>
      </c>
    </row>
    <row r="2007" spans="3:6" x14ac:dyDescent="0.25">
      <c r="C2007" s="2" t="s">
        <v>12536</v>
      </c>
      <c r="D2007" s="2" t="s">
        <v>178</v>
      </c>
      <c r="E2007" s="2">
        <v>102</v>
      </c>
      <c r="F2007" s="2">
        <v>2160.45</v>
      </c>
    </row>
    <row r="2008" spans="3:6" x14ac:dyDescent="0.25">
      <c r="C2008" s="2" t="s">
        <v>12537</v>
      </c>
      <c r="D2008" s="2" t="s">
        <v>178</v>
      </c>
      <c r="E2008" s="2">
        <v>123</v>
      </c>
      <c r="F2008" s="2">
        <v>2207.36</v>
      </c>
    </row>
    <row r="2009" spans="3:6" x14ac:dyDescent="0.25">
      <c r="C2009" s="2" t="s">
        <v>12538</v>
      </c>
      <c r="D2009" s="2" t="s">
        <v>178</v>
      </c>
      <c r="E2009" s="2">
        <v>282</v>
      </c>
      <c r="F2009" s="2">
        <v>6060.5</v>
      </c>
    </row>
    <row r="2010" spans="3:6" x14ac:dyDescent="0.25">
      <c r="C2010" s="2" t="s">
        <v>12539</v>
      </c>
      <c r="D2010" s="2" t="s">
        <v>178</v>
      </c>
      <c r="E2010" s="2">
        <v>93</v>
      </c>
      <c r="F2010" s="2">
        <v>1998.659</v>
      </c>
    </row>
    <row r="2011" spans="3:6" x14ac:dyDescent="0.25">
      <c r="C2011" s="2" t="s">
        <v>12540</v>
      </c>
      <c r="D2011" s="2" t="s">
        <v>178</v>
      </c>
      <c r="E2011" s="2">
        <v>48</v>
      </c>
      <c r="F2011" s="2">
        <v>984.71</v>
      </c>
    </row>
    <row r="2012" spans="3:6" x14ac:dyDescent="0.25">
      <c r="C2012" s="2" t="s">
        <v>12541</v>
      </c>
      <c r="D2012" s="2" t="s">
        <v>178</v>
      </c>
      <c r="E2012" s="2">
        <v>30</v>
      </c>
      <c r="F2012" s="2">
        <v>564.84</v>
      </c>
    </row>
    <row r="2013" spans="3:6" x14ac:dyDescent="0.25">
      <c r="C2013" s="2" t="s">
        <v>12542</v>
      </c>
      <c r="D2013" s="2" t="s">
        <v>178</v>
      </c>
      <c r="E2013" s="2">
        <v>46</v>
      </c>
      <c r="F2013" s="2">
        <v>903.68</v>
      </c>
    </row>
    <row r="2014" spans="3:6" x14ac:dyDescent="0.25">
      <c r="C2014" s="2" t="s">
        <v>12543</v>
      </c>
      <c r="D2014" s="2" t="s">
        <v>178</v>
      </c>
      <c r="E2014" s="2">
        <v>82</v>
      </c>
      <c r="F2014" s="2">
        <v>344.449</v>
      </c>
    </row>
    <row r="2015" spans="3:6" x14ac:dyDescent="0.25">
      <c r="C2015" s="2" t="s">
        <v>12544</v>
      </c>
      <c r="D2015" s="2" t="s">
        <v>178</v>
      </c>
      <c r="E2015" s="2">
        <v>102</v>
      </c>
      <c r="F2015" s="2">
        <v>1953.529</v>
      </c>
    </row>
    <row r="2016" spans="3:6" x14ac:dyDescent="0.25">
      <c r="C2016" s="2" t="s">
        <v>12545</v>
      </c>
      <c r="D2016" s="2" t="s">
        <v>178</v>
      </c>
      <c r="E2016" s="2">
        <v>123</v>
      </c>
      <c r="F2016" s="2">
        <v>2503.978</v>
      </c>
    </row>
    <row r="2017" spans="3:6" x14ac:dyDescent="0.25">
      <c r="C2017" s="2" t="s">
        <v>12546</v>
      </c>
      <c r="D2017" s="2" t="s">
        <v>178</v>
      </c>
      <c r="E2017" s="2">
        <v>141</v>
      </c>
      <c r="F2017" s="2">
        <v>2964.34</v>
      </c>
    </row>
    <row r="2018" spans="3:6" x14ac:dyDescent="0.25">
      <c r="C2018" s="2" t="s">
        <v>12547</v>
      </c>
      <c r="D2018" s="2" t="s">
        <v>178</v>
      </c>
      <c r="E2018" s="2">
        <v>44</v>
      </c>
      <c r="F2018" s="2">
        <v>838.37</v>
      </c>
    </row>
    <row r="2019" spans="3:6" x14ac:dyDescent="0.25">
      <c r="C2019" s="2" t="s">
        <v>12548</v>
      </c>
      <c r="D2019" s="2" t="s">
        <v>178</v>
      </c>
      <c r="E2019" s="2">
        <v>77</v>
      </c>
      <c r="F2019" s="2">
        <v>1455.66</v>
      </c>
    </row>
    <row r="2020" spans="3:6" x14ac:dyDescent="0.25">
      <c r="C2020" s="2" t="s">
        <v>12549</v>
      </c>
      <c r="D2020" s="2" t="s">
        <v>178</v>
      </c>
      <c r="E2020" s="2">
        <v>20</v>
      </c>
      <c r="F2020" s="2">
        <v>366.21</v>
      </c>
    </row>
    <row r="2021" spans="3:6" x14ac:dyDescent="0.25">
      <c r="C2021" s="2" t="s">
        <v>12550</v>
      </c>
      <c r="D2021" s="2" t="s">
        <v>178</v>
      </c>
      <c r="E2021" s="2">
        <v>246</v>
      </c>
      <c r="F2021" s="2">
        <v>5164.899</v>
      </c>
    </row>
    <row r="2022" spans="3:6" x14ac:dyDescent="0.25">
      <c r="C2022" s="2" t="s">
        <v>12551</v>
      </c>
      <c r="D2022" s="2" t="s">
        <v>178</v>
      </c>
      <c r="E2022" s="2">
        <v>214</v>
      </c>
      <c r="F2022" s="2">
        <v>4595.14</v>
      </c>
    </row>
    <row r="2023" spans="3:6" x14ac:dyDescent="0.25">
      <c r="C2023" s="2" t="s">
        <v>12552</v>
      </c>
      <c r="D2023" s="2" t="s">
        <v>178</v>
      </c>
      <c r="E2023" s="2">
        <v>61</v>
      </c>
      <c r="F2023" s="2">
        <v>1197.529</v>
      </c>
    </row>
    <row r="2024" spans="3:6" x14ac:dyDescent="0.25">
      <c r="C2024" s="2" t="s">
        <v>12553</v>
      </c>
      <c r="D2024" s="2" t="s">
        <v>178</v>
      </c>
      <c r="E2024" s="2">
        <v>282</v>
      </c>
      <c r="F2024" s="2">
        <v>5613.92</v>
      </c>
    </row>
    <row r="2025" spans="3:6" x14ac:dyDescent="0.25">
      <c r="C2025" s="2" t="s">
        <v>12554</v>
      </c>
      <c r="D2025" s="2" t="s">
        <v>178</v>
      </c>
      <c r="E2025" s="2">
        <v>141</v>
      </c>
      <c r="F2025" s="2">
        <v>3097.69</v>
      </c>
    </row>
    <row r="2026" spans="3:6" x14ac:dyDescent="0.25">
      <c r="C2026" s="2" t="s">
        <v>12555</v>
      </c>
      <c r="D2026" s="2" t="s">
        <v>178</v>
      </c>
      <c r="E2026" s="2">
        <v>84</v>
      </c>
      <c r="F2026" s="2">
        <v>1733.79</v>
      </c>
    </row>
    <row r="2027" spans="3:6" x14ac:dyDescent="0.25">
      <c r="C2027" s="2" t="s">
        <v>12556</v>
      </c>
      <c r="D2027" s="2" t="s">
        <v>178</v>
      </c>
      <c r="E2027" s="2">
        <v>19</v>
      </c>
      <c r="F2027" s="2">
        <v>330.42</v>
      </c>
    </row>
    <row r="2028" spans="3:6" x14ac:dyDescent="0.25">
      <c r="C2028" s="2" t="s">
        <v>12557</v>
      </c>
      <c r="D2028" s="2" t="s">
        <v>178</v>
      </c>
      <c r="E2028" s="2">
        <v>39</v>
      </c>
      <c r="F2028" s="2">
        <v>809.81</v>
      </c>
    </row>
    <row r="2029" spans="3:6" x14ac:dyDescent="0.25">
      <c r="C2029" s="2" t="s">
        <v>12558</v>
      </c>
      <c r="D2029" s="2" t="s">
        <v>178</v>
      </c>
      <c r="E2029" s="2">
        <v>141</v>
      </c>
      <c r="F2029" s="2">
        <v>2985.82</v>
      </c>
    </row>
    <row r="2030" spans="3:6" x14ac:dyDescent="0.25">
      <c r="C2030" s="2" t="s">
        <v>12559</v>
      </c>
      <c r="D2030" s="2" t="s">
        <v>178</v>
      </c>
      <c r="E2030" s="2">
        <v>57</v>
      </c>
      <c r="F2030" s="2">
        <v>1110.669</v>
      </c>
    </row>
    <row r="2031" spans="3:6" x14ac:dyDescent="0.25">
      <c r="C2031" s="2" t="s">
        <v>12560</v>
      </c>
      <c r="D2031" s="2" t="s">
        <v>178</v>
      </c>
      <c r="E2031" s="2">
        <v>84</v>
      </c>
      <c r="F2031" s="2">
        <v>1594.71</v>
      </c>
    </row>
    <row r="2032" spans="3:6" x14ac:dyDescent="0.25">
      <c r="C2032" s="2" t="s">
        <v>12561</v>
      </c>
      <c r="D2032" s="2" t="s">
        <v>178</v>
      </c>
      <c r="E2032" s="2">
        <v>141</v>
      </c>
      <c r="F2032" s="2">
        <v>3025.03</v>
      </c>
    </row>
    <row r="2033" spans="3:6" x14ac:dyDescent="0.25">
      <c r="C2033" s="2" t="s">
        <v>12562</v>
      </c>
      <c r="D2033" s="2" t="s">
        <v>178</v>
      </c>
      <c r="E2033" s="2">
        <v>76</v>
      </c>
      <c r="F2033" s="2">
        <v>1510.03</v>
      </c>
    </row>
    <row r="2034" spans="3:6" x14ac:dyDescent="0.25">
      <c r="C2034" s="2" t="s">
        <v>12563</v>
      </c>
      <c r="D2034" s="2" t="s">
        <v>178</v>
      </c>
      <c r="E2034" s="2">
        <v>65</v>
      </c>
      <c r="F2034" s="2">
        <v>1359.76</v>
      </c>
    </row>
    <row r="2035" spans="3:6" x14ac:dyDescent="0.25">
      <c r="C2035" s="2" t="s">
        <v>12447</v>
      </c>
      <c r="D2035" s="2" t="s">
        <v>178</v>
      </c>
      <c r="E2035" s="2">
        <v>102</v>
      </c>
      <c r="F2035" s="2">
        <v>1872</v>
      </c>
    </row>
    <row r="2036" spans="3:6" x14ac:dyDescent="0.25">
      <c r="C2036" s="2" t="s">
        <v>12441</v>
      </c>
      <c r="D2036" s="2" t="s">
        <v>178</v>
      </c>
      <c r="E2036" s="2">
        <v>102</v>
      </c>
      <c r="F2036" s="2">
        <v>1983</v>
      </c>
    </row>
    <row r="2037" spans="3:6" x14ac:dyDescent="0.25">
      <c r="C2037" s="2" t="s">
        <v>12564</v>
      </c>
      <c r="D2037" s="2" t="s">
        <v>178</v>
      </c>
      <c r="E2037" s="2">
        <v>122</v>
      </c>
      <c r="F2037" s="2">
        <v>2572.239</v>
      </c>
    </row>
    <row r="2038" spans="3:6" x14ac:dyDescent="0.25">
      <c r="C2038" s="2" t="s">
        <v>12565</v>
      </c>
      <c r="D2038" s="2" t="s">
        <v>178</v>
      </c>
      <c r="E2038" s="2">
        <v>19</v>
      </c>
      <c r="F2038" s="2">
        <v>405.4</v>
      </c>
    </row>
    <row r="2039" spans="3:6" x14ac:dyDescent="0.25">
      <c r="C2039" s="2" t="s">
        <v>12566</v>
      </c>
      <c r="D2039" s="2" t="s">
        <v>178</v>
      </c>
      <c r="E2039" s="2">
        <v>112</v>
      </c>
      <c r="F2039" s="2">
        <v>2391.35</v>
      </c>
    </row>
    <row r="2040" spans="3:6" x14ac:dyDescent="0.25">
      <c r="C2040" s="2" t="s">
        <v>12567</v>
      </c>
      <c r="D2040" s="2" t="s">
        <v>178</v>
      </c>
      <c r="E2040" s="2">
        <v>29</v>
      </c>
      <c r="F2040" s="2">
        <v>578.02</v>
      </c>
    </row>
    <row r="2042" spans="1:7" x14ac:dyDescent="0.25">
      <c r="A2042" s="1">
        <v>46132</v>
      </c>
      <c r="B2042" s="2" t="s">
        <v>229</v>
      </c>
      <c r="C2042" s="2" t="s">
        <v>12350</v>
      </c>
      <c r="D2042" s="2" t="s">
        <v>82</v>
      </c>
      <c r="E2042" s="2">
        <v>40</v>
      </c>
      <c r="F2042" s="2">
        <v>1182.23</v>
      </c>
      <c r="G2042" s="1">
        <v>46132</v>
      </c>
    </row>
    <row r="2043" spans="3:6" x14ac:dyDescent="0.25">
      <c r="C2043" s="2" t="s">
        <v>12568</v>
      </c>
      <c r="D2043" s="2" t="s">
        <v>82</v>
      </c>
      <c r="E2043" s="2">
        <v>71</v>
      </c>
      <c r="F2043" s="2">
        <v>1865.293</v>
      </c>
    </row>
    <row r="2044" spans="3:6" x14ac:dyDescent="0.25">
      <c r="C2044" s="2" t="s">
        <v>12283</v>
      </c>
      <c r="D2044" s="2" t="s">
        <v>82</v>
      </c>
      <c r="E2044" s="2">
        <v>132</v>
      </c>
      <c r="F2044" s="2">
        <v>1556.328</v>
      </c>
    </row>
    <row r="2045" spans="3:6" x14ac:dyDescent="0.25">
      <c r="C2045" s="2" t="s">
        <v>12569</v>
      </c>
      <c r="D2045" s="2" t="s">
        <v>82</v>
      </c>
      <c r="E2045" s="2">
        <v>48</v>
      </c>
      <c r="F2045" s="2">
        <v>920.05</v>
      </c>
    </row>
    <row r="2046" spans="3:6" x14ac:dyDescent="0.25">
      <c r="C2046" s="2" t="s">
        <v>12570</v>
      </c>
      <c r="D2046" s="2" t="s">
        <v>82</v>
      </c>
      <c r="E2046" s="2">
        <v>17</v>
      </c>
      <c r="F2046" s="2">
        <v>285.7</v>
      </c>
    </row>
    <row r="2047" spans="3:6" x14ac:dyDescent="0.25">
      <c r="C2047" s="2" t="s">
        <v>12571</v>
      </c>
      <c r="D2047" s="2" t="s">
        <v>82</v>
      </c>
      <c r="E2047" s="2">
        <v>15</v>
      </c>
      <c r="F2047" s="2">
        <v>305.95</v>
      </c>
    </row>
    <row r="2048" spans="3:6" x14ac:dyDescent="0.25">
      <c r="C2048" s="2" t="s">
        <v>12572</v>
      </c>
      <c r="D2048" s="2" t="s">
        <v>82</v>
      </c>
      <c r="E2048" s="2">
        <v>15</v>
      </c>
      <c r="F2048" s="2">
        <v>226.6</v>
      </c>
    </row>
    <row r="2049" spans="3:6" x14ac:dyDescent="0.25">
      <c r="C2049" s="2" t="s">
        <v>12573</v>
      </c>
      <c r="D2049" s="2" t="s">
        <v>82</v>
      </c>
      <c r="E2049" s="2">
        <v>8</v>
      </c>
      <c r="F2049" s="2">
        <v>158.6</v>
      </c>
    </row>
    <row r="2050" spans="3:6" x14ac:dyDescent="0.25">
      <c r="C2050" s="2" t="s">
        <v>12297</v>
      </c>
      <c r="D2050" s="2" t="s">
        <v>82</v>
      </c>
      <c r="E2050" s="2">
        <v>75</v>
      </c>
      <c r="F2050" s="2">
        <v>1500.65</v>
      </c>
    </row>
    <row r="2051" spans="3:6" x14ac:dyDescent="0.25">
      <c r="C2051" s="2" t="s">
        <v>12574</v>
      </c>
      <c r="D2051" s="2" t="s">
        <v>82</v>
      </c>
      <c r="E2051" s="2">
        <v>116</v>
      </c>
      <c r="F2051" s="2">
        <v>2213.629</v>
      </c>
    </row>
    <row r="2052" spans="3:6" x14ac:dyDescent="0.25">
      <c r="C2052" s="2" t="s">
        <v>12575</v>
      </c>
      <c r="D2052" s="2" t="s">
        <v>82</v>
      </c>
      <c r="E2052" s="2">
        <v>25</v>
      </c>
      <c r="F2052" s="2">
        <v>480.35</v>
      </c>
    </row>
    <row r="2053" spans="3:6" x14ac:dyDescent="0.25">
      <c r="C2053" s="2" t="s">
        <v>12576</v>
      </c>
      <c r="D2053" s="2" t="s">
        <v>82</v>
      </c>
      <c r="E2053" s="2">
        <v>28</v>
      </c>
      <c r="F2053" s="2">
        <v>566.5</v>
      </c>
    </row>
    <row r="2054" spans="3:6" x14ac:dyDescent="0.25">
      <c r="C2054" s="2" t="s">
        <v>12577</v>
      </c>
      <c r="D2054" s="2" t="s">
        <v>82</v>
      </c>
      <c r="E2054" s="2">
        <v>115</v>
      </c>
      <c r="F2054" s="2">
        <v>2480.36</v>
      </c>
    </row>
    <row r="2055" spans="3:6" x14ac:dyDescent="0.25">
      <c r="C2055" s="2" t="s">
        <v>12578</v>
      </c>
      <c r="D2055" s="2" t="s">
        <v>82</v>
      </c>
      <c r="E2055" s="2">
        <v>56</v>
      </c>
      <c r="F2055" s="2">
        <v>1152.439</v>
      </c>
    </row>
    <row r="2056" spans="3:6" x14ac:dyDescent="0.25">
      <c r="C2056" s="2" t="s">
        <v>12579</v>
      </c>
      <c r="D2056" s="2" t="s">
        <v>82</v>
      </c>
      <c r="E2056" s="2">
        <v>67</v>
      </c>
      <c r="F2056" s="2">
        <v>1424.009</v>
      </c>
    </row>
    <row r="2057" spans="3:6" x14ac:dyDescent="0.25">
      <c r="C2057" s="2" t="s">
        <v>12580</v>
      </c>
      <c r="D2057" s="2" t="s">
        <v>82</v>
      </c>
      <c r="E2057" s="2">
        <v>143</v>
      </c>
      <c r="F2057" s="2">
        <v>2907.23</v>
      </c>
    </row>
    <row r="2058" spans="3:6" x14ac:dyDescent="0.25">
      <c r="C2058" s="2" t="s">
        <v>12581</v>
      </c>
      <c r="D2058" s="2" t="s">
        <v>82</v>
      </c>
      <c r="E2058" s="2">
        <v>143</v>
      </c>
      <c r="F2058" s="2">
        <v>3007.812</v>
      </c>
    </row>
    <row r="2059" spans="3:6" x14ac:dyDescent="0.25">
      <c r="C2059" s="2" t="s">
        <v>12582</v>
      </c>
      <c r="D2059" s="2" t="s">
        <v>82</v>
      </c>
      <c r="E2059" s="2">
        <v>100</v>
      </c>
      <c r="F2059" s="2">
        <v>2098.98</v>
      </c>
    </row>
    <row r="2060" spans="3:6" x14ac:dyDescent="0.25">
      <c r="C2060" s="2" t="s">
        <v>12583</v>
      </c>
      <c r="D2060" s="2" t="s">
        <v>82</v>
      </c>
      <c r="E2060" s="2">
        <v>23</v>
      </c>
      <c r="F2060" s="2">
        <v>479.5</v>
      </c>
    </row>
    <row r="2061" spans="3:6" x14ac:dyDescent="0.25">
      <c r="C2061" s="2" t="s">
        <v>12584</v>
      </c>
      <c r="D2061" s="2" t="s">
        <v>82</v>
      </c>
      <c r="E2061" s="2">
        <v>53</v>
      </c>
      <c r="F2061" s="2">
        <v>1104.74</v>
      </c>
    </row>
    <row r="2062" spans="3:6" x14ac:dyDescent="0.25">
      <c r="C2062" s="2" t="s">
        <v>12585</v>
      </c>
      <c r="D2062" s="2" t="s">
        <v>82</v>
      </c>
      <c r="E2062" s="2">
        <v>49</v>
      </c>
      <c r="F2062" s="2">
        <v>989.99</v>
      </c>
    </row>
    <row r="2063" spans="3:6" x14ac:dyDescent="0.25">
      <c r="C2063" s="2" t="s">
        <v>12586</v>
      </c>
      <c r="D2063" s="2" t="s">
        <v>82</v>
      </c>
      <c r="E2063" s="2">
        <v>33</v>
      </c>
      <c r="F2063" s="2">
        <v>683.6</v>
      </c>
    </row>
    <row r="2064" spans="3:6" x14ac:dyDescent="0.25">
      <c r="C2064" s="2" t="s">
        <v>12587</v>
      </c>
      <c r="D2064" s="2" t="s">
        <v>82</v>
      </c>
      <c r="E2064" s="2">
        <v>123</v>
      </c>
      <c r="F2064" s="2">
        <v>2542.56</v>
      </c>
    </row>
    <row r="2065" spans="3:6" x14ac:dyDescent="0.25">
      <c r="C2065" s="2" t="s">
        <v>12588</v>
      </c>
      <c r="D2065" s="2" t="s">
        <v>82</v>
      </c>
      <c r="E2065" s="2">
        <v>20</v>
      </c>
      <c r="F2065" s="2">
        <v>402.86</v>
      </c>
    </row>
    <row r="2066" spans="3:6" x14ac:dyDescent="0.25">
      <c r="C2066" s="2" t="s">
        <v>12589</v>
      </c>
      <c r="D2066" s="2" t="s">
        <v>82</v>
      </c>
      <c r="E2066" s="2">
        <v>74</v>
      </c>
      <c r="F2066" s="2">
        <v>1442.88</v>
      </c>
    </row>
    <row r="2067" spans="3:6" x14ac:dyDescent="0.25">
      <c r="C2067" s="2" t="s">
        <v>12590</v>
      </c>
      <c r="D2067" s="2" t="s">
        <v>82</v>
      </c>
      <c r="E2067" s="2">
        <v>16</v>
      </c>
      <c r="F2067" s="2">
        <v>306.48</v>
      </c>
    </row>
    <row r="2068" spans="3:6" x14ac:dyDescent="0.25">
      <c r="C2068" s="2" t="s">
        <v>12591</v>
      </c>
      <c r="D2068" s="2" t="s">
        <v>82</v>
      </c>
      <c r="E2068" s="2">
        <v>53</v>
      </c>
      <c r="F2068" s="2">
        <v>998.46</v>
      </c>
    </row>
    <row r="2069" spans="3:6" x14ac:dyDescent="0.25">
      <c r="C2069" s="2" t="s">
        <v>12592</v>
      </c>
      <c r="D2069" s="2" t="s">
        <v>82</v>
      </c>
      <c r="E2069" s="2">
        <v>107</v>
      </c>
      <c r="F2069" s="2">
        <v>2313.71</v>
      </c>
    </row>
    <row r="2070" spans="3:6" x14ac:dyDescent="0.25">
      <c r="C2070" s="2" t="s">
        <v>12593</v>
      </c>
      <c r="D2070" s="2" t="s">
        <v>82</v>
      </c>
      <c r="E2070" s="2">
        <v>36</v>
      </c>
      <c r="F2070" s="2">
        <v>746.11</v>
      </c>
    </row>
    <row r="2071" spans="3:6" x14ac:dyDescent="0.25">
      <c r="C2071" s="2" t="s">
        <v>12594</v>
      </c>
      <c r="D2071" s="2" t="s">
        <v>82</v>
      </c>
      <c r="E2071" s="2">
        <v>105</v>
      </c>
      <c r="F2071" s="2">
        <v>2101.52</v>
      </c>
    </row>
    <row r="2072" spans="3:6" x14ac:dyDescent="0.25">
      <c r="C2072" s="2" t="s">
        <v>12595</v>
      </c>
      <c r="D2072" s="2" t="s">
        <v>82</v>
      </c>
      <c r="E2072" s="2">
        <v>38</v>
      </c>
      <c r="F2072" s="2">
        <v>786.31</v>
      </c>
    </row>
    <row r="2073" spans="3:6" x14ac:dyDescent="0.25">
      <c r="C2073" s="2" t="s">
        <v>12596</v>
      </c>
      <c r="D2073" s="2" t="s">
        <v>82</v>
      </c>
      <c r="E2073" s="2">
        <v>70</v>
      </c>
      <c r="F2073" s="2">
        <v>1424.43</v>
      </c>
    </row>
    <row r="2074" spans="3:6" x14ac:dyDescent="0.25">
      <c r="C2074" s="2" t="s">
        <v>12597</v>
      </c>
      <c r="D2074" s="2" t="s">
        <v>82</v>
      </c>
      <c r="E2074" s="2">
        <v>73</v>
      </c>
      <c r="F2074" s="2">
        <v>1477.73</v>
      </c>
    </row>
    <row r="2075" spans="3:6" x14ac:dyDescent="0.25">
      <c r="C2075" s="2" t="s">
        <v>12598</v>
      </c>
      <c r="D2075" s="2" t="s">
        <v>82</v>
      </c>
      <c r="E2075" s="2">
        <v>92</v>
      </c>
      <c r="F2075" s="2">
        <v>1880.92</v>
      </c>
    </row>
    <row r="2076" spans="3:6" x14ac:dyDescent="0.25">
      <c r="C2076" s="2" t="s">
        <v>12599</v>
      </c>
      <c r="D2076" s="2" t="s">
        <v>82</v>
      </c>
      <c r="E2076" s="2">
        <v>51</v>
      </c>
      <c r="F2076" s="2">
        <v>1074.53</v>
      </c>
    </row>
    <row r="2077" spans="3:6" x14ac:dyDescent="0.25">
      <c r="C2077" s="2" t="s">
        <v>12600</v>
      </c>
      <c r="D2077" s="2" t="s">
        <v>82</v>
      </c>
      <c r="E2077" s="2">
        <v>93</v>
      </c>
      <c r="F2077" s="2">
        <v>1931.04</v>
      </c>
    </row>
    <row r="2078" spans="3:6" x14ac:dyDescent="0.25">
      <c r="C2078" s="2" t="s">
        <v>12601</v>
      </c>
      <c r="D2078" s="2" t="s">
        <v>82</v>
      </c>
      <c r="E2078" s="2">
        <v>31</v>
      </c>
      <c r="F2078" s="2">
        <v>633.15</v>
      </c>
    </row>
    <row r="2079" spans="3:6" x14ac:dyDescent="0.25">
      <c r="C2079" s="2" t="s">
        <v>12602</v>
      </c>
      <c r="D2079" s="2" t="s">
        <v>82</v>
      </c>
      <c r="E2079" s="2">
        <v>19</v>
      </c>
      <c r="F2079" s="2">
        <v>357.37</v>
      </c>
    </row>
    <row r="2080" spans="3:6" x14ac:dyDescent="0.25">
      <c r="C2080" s="2" t="s">
        <v>12603</v>
      </c>
      <c r="D2080" s="2" t="s">
        <v>82</v>
      </c>
      <c r="E2080" s="2">
        <v>102</v>
      </c>
      <c r="F2080" s="2">
        <v>1926.6</v>
      </c>
    </row>
    <row r="2081" spans="3:6" x14ac:dyDescent="0.25">
      <c r="C2081" s="2" t="s">
        <v>12604</v>
      </c>
      <c r="D2081" s="2" t="s">
        <v>82</v>
      </c>
      <c r="E2081" s="2">
        <v>43</v>
      </c>
      <c r="F2081" s="2">
        <v>883.99</v>
      </c>
    </row>
    <row r="2082" spans="3:6" x14ac:dyDescent="0.25">
      <c r="C2082" s="2" t="s">
        <v>12605</v>
      </c>
      <c r="D2082" s="2" t="s">
        <v>82</v>
      </c>
      <c r="E2082" s="2">
        <v>72</v>
      </c>
      <c r="F2082" s="2">
        <v>1524.24</v>
      </c>
    </row>
    <row r="2083" spans="3:6" x14ac:dyDescent="0.25">
      <c r="C2083" s="2" t="s">
        <v>12606</v>
      </c>
      <c r="D2083" s="2" t="s">
        <v>82</v>
      </c>
      <c r="E2083" s="2">
        <v>30</v>
      </c>
      <c r="F2083" s="2">
        <v>613.35</v>
      </c>
    </row>
    <row r="2084" spans="3:6" x14ac:dyDescent="0.25">
      <c r="C2084" s="2" t="s">
        <v>12607</v>
      </c>
      <c r="D2084" s="2" t="s">
        <v>82</v>
      </c>
      <c r="E2084" s="2">
        <v>58</v>
      </c>
      <c r="F2084" s="2">
        <v>1209.89</v>
      </c>
    </row>
    <row r="2085" spans="3:6" x14ac:dyDescent="0.25">
      <c r="C2085" s="2" t="s">
        <v>12608</v>
      </c>
      <c r="D2085" s="2" t="s">
        <v>82</v>
      </c>
      <c r="E2085" s="2">
        <v>44</v>
      </c>
      <c r="F2085" s="2">
        <v>937.19</v>
      </c>
    </row>
    <row r="2086" spans="3:6" x14ac:dyDescent="0.25">
      <c r="C2086" s="2" t="s">
        <v>12609</v>
      </c>
      <c r="D2086" s="2" t="s">
        <v>82</v>
      </c>
      <c r="E2086" s="2">
        <v>40</v>
      </c>
      <c r="F2086" s="2">
        <v>836.95</v>
      </c>
    </row>
    <row r="2087" spans="3:6" x14ac:dyDescent="0.25">
      <c r="C2087" s="2" t="s">
        <v>12610</v>
      </c>
      <c r="D2087" s="2" t="s">
        <v>82</v>
      </c>
      <c r="E2087" s="2">
        <v>40</v>
      </c>
      <c r="F2087" s="2">
        <v>850.15</v>
      </c>
    </row>
    <row r="2088" spans="3:6" x14ac:dyDescent="0.25">
      <c r="C2088" s="2" t="s">
        <v>12611</v>
      </c>
      <c r="D2088" s="2" t="s">
        <v>82</v>
      </c>
      <c r="E2088" s="2">
        <v>22</v>
      </c>
      <c r="F2088" s="2">
        <v>443.84</v>
      </c>
    </row>
    <row r="2090" spans="1:7" x14ac:dyDescent="0.25">
      <c r="A2090" s="1">
        <v>46132</v>
      </c>
      <c r="B2090" s="2" t="s">
        <v>290</v>
      </c>
      <c r="C2090" s="2" t="s">
        <v>12612</v>
      </c>
      <c r="D2090" s="2" t="s">
        <v>292</v>
      </c>
      <c r="E2090" s="2">
        <v>12</v>
      </c>
      <c r="F2090" s="2">
        <v>213.89</v>
      </c>
      <c r="G2090" s="1">
        <v>46132</v>
      </c>
    </row>
    <row r="2091" spans="3:6" x14ac:dyDescent="0.25">
      <c r="C2091" s="2" t="s">
        <v>12613</v>
      </c>
      <c r="D2091" s="2" t="s">
        <v>292</v>
      </c>
      <c r="E2091" s="2">
        <v>38</v>
      </c>
      <c r="F2091" s="2">
        <v>812.65</v>
      </c>
    </row>
    <row r="2092" spans="3:6" x14ac:dyDescent="0.25">
      <c r="C2092" s="2" t="s">
        <v>12614</v>
      </c>
      <c r="D2092" s="2" t="s">
        <v>292</v>
      </c>
      <c r="E2092" s="2">
        <v>91</v>
      </c>
      <c r="F2092" s="2">
        <v>1776.149</v>
      </c>
    </row>
    <row r="2093" spans="3:6" x14ac:dyDescent="0.25">
      <c r="C2093" s="2" t="s">
        <v>12615</v>
      </c>
      <c r="D2093" s="2" t="s">
        <v>292</v>
      </c>
      <c r="E2093" s="2">
        <v>141</v>
      </c>
      <c r="F2093" s="2">
        <v>2899.46</v>
      </c>
    </row>
    <row r="2094" spans="3:6" x14ac:dyDescent="0.25">
      <c r="C2094" s="2" t="s">
        <v>12616</v>
      </c>
      <c r="D2094" s="2" t="s">
        <v>292</v>
      </c>
      <c r="E2094" s="2">
        <v>141</v>
      </c>
      <c r="F2094" s="2">
        <v>2826.377</v>
      </c>
    </row>
    <row r="2095" spans="3:6" x14ac:dyDescent="0.25">
      <c r="C2095" s="2" t="s">
        <v>12617</v>
      </c>
      <c r="D2095" s="2" t="s">
        <v>292</v>
      </c>
      <c r="E2095" s="2">
        <v>141</v>
      </c>
      <c r="F2095" s="2">
        <v>3121.69</v>
      </c>
    </row>
    <row r="2096" spans="3:6" x14ac:dyDescent="0.25">
      <c r="C2096" s="2" t="s">
        <v>12618</v>
      </c>
      <c r="D2096" s="2" t="s">
        <v>292</v>
      </c>
      <c r="E2096" s="2">
        <v>141</v>
      </c>
      <c r="F2096" s="2">
        <v>2903.299</v>
      </c>
    </row>
    <row r="2097" spans="3:6" x14ac:dyDescent="0.25">
      <c r="C2097" s="2" t="s">
        <v>12619</v>
      </c>
      <c r="D2097" s="2" t="s">
        <v>292</v>
      </c>
      <c r="E2097" s="2">
        <v>20</v>
      </c>
      <c r="F2097" s="2">
        <v>101.93</v>
      </c>
    </row>
    <row r="2098" spans="3:6" x14ac:dyDescent="0.25">
      <c r="C2098" s="2" t="s">
        <v>12620</v>
      </c>
      <c r="D2098" s="2" t="s">
        <v>292</v>
      </c>
      <c r="E2098" s="2">
        <v>36</v>
      </c>
      <c r="F2098" s="2">
        <v>816.297</v>
      </c>
    </row>
    <row r="2099" spans="3:6" x14ac:dyDescent="0.25">
      <c r="C2099" s="2" t="s">
        <v>12621</v>
      </c>
      <c r="D2099" s="2" t="s">
        <v>292</v>
      </c>
      <c r="E2099" s="2">
        <v>79</v>
      </c>
      <c r="F2099" s="2">
        <v>1612.099</v>
      </c>
    </row>
    <row r="2100" spans="3:6" x14ac:dyDescent="0.25">
      <c r="C2100" s="2" t="s">
        <v>12622</v>
      </c>
      <c r="D2100" s="2" t="s">
        <v>292</v>
      </c>
      <c r="E2100" s="2">
        <v>112</v>
      </c>
      <c r="F2100" s="2">
        <v>2449.415</v>
      </c>
    </row>
    <row r="2101" spans="3:6" x14ac:dyDescent="0.25">
      <c r="C2101" s="2" t="s">
        <v>12623</v>
      </c>
      <c r="D2101" s="2" t="s">
        <v>292</v>
      </c>
      <c r="E2101" s="2">
        <v>123</v>
      </c>
      <c r="F2101" s="2">
        <v>2527.34</v>
      </c>
    </row>
    <row r="2102" spans="3:6" x14ac:dyDescent="0.25">
      <c r="C2102" s="2" t="s">
        <v>12624</v>
      </c>
      <c r="D2102" s="2" t="s">
        <v>292</v>
      </c>
      <c r="E2102" s="2">
        <v>82</v>
      </c>
      <c r="F2102" s="2">
        <v>1634.157</v>
      </c>
    </row>
    <row r="2103" spans="3:6" x14ac:dyDescent="0.25">
      <c r="C2103" s="2" t="s">
        <v>12625</v>
      </c>
      <c r="D2103" s="2" t="s">
        <v>292</v>
      </c>
      <c r="E2103" s="2">
        <v>141</v>
      </c>
      <c r="F2103" s="2">
        <v>3003.349</v>
      </c>
    </row>
    <row r="2104" spans="3:6" x14ac:dyDescent="0.25">
      <c r="C2104" s="2" t="s">
        <v>12626</v>
      </c>
      <c r="D2104" s="2" t="s">
        <v>292</v>
      </c>
      <c r="E2104" s="2">
        <v>59</v>
      </c>
      <c r="F2104" s="2">
        <v>1280.04</v>
      </c>
    </row>
    <row r="2105" spans="3:6" x14ac:dyDescent="0.25">
      <c r="C2105" s="2" t="s">
        <v>12627</v>
      </c>
      <c r="D2105" s="2" t="s">
        <v>292</v>
      </c>
      <c r="E2105" s="2">
        <v>75</v>
      </c>
      <c r="F2105" s="2">
        <v>399.48</v>
      </c>
    </row>
    <row r="2106" spans="3:6" x14ac:dyDescent="0.25">
      <c r="C2106" s="2" t="s">
        <v>12628</v>
      </c>
      <c r="D2106" s="2" t="s">
        <v>292</v>
      </c>
      <c r="E2106" s="2">
        <v>141</v>
      </c>
      <c r="F2106" s="2">
        <v>3194.61</v>
      </c>
    </row>
    <row r="2107" spans="3:6" x14ac:dyDescent="0.25">
      <c r="C2107" s="2" t="s">
        <v>12629</v>
      </c>
      <c r="D2107" s="2" t="s">
        <v>292</v>
      </c>
      <c r="E2107" s="2">
        <v>123</v>
      </c>
      <c r="F2107" s="2">
        <v>2561.4</v>
      </c>
    </row>
    <row r="2108" spans="3:6" x14ac:dyDescent="0.25">
      <c r="C2108" s="2" t="s">
        <v>12630</v>
      </c>
      <c r="D2108" s="2" t="s">
        <v>292</v>
      </c>
      <c r="E2108" s="2">
        <v>100</v>
      </c>
      <c r="F2108" s="2">
        <v>2028.32</v>
      </c>
    </row>
    <row r="2109" spans="3:6" x14ac:dyDescent="0.25">
      <c r="C2109" s="2" t="s">
        <v>12631</v>
      </c>
      <c r="D2109" s="2" t="s">
        <v>292</v>
      </c>
      <c r="E2109" s="2">
        <v>141</v>
      </c>
      <c r="F2109" s="2">
        <v>2893.68</v>
      </c>
    </row>
    <row r="2110" spans="3:6" x14ac:dyDescent="0.25">
      <c r="C2110" s="2" t="s">
        <v>12632</v>
      </c>
      <c r="D2110" s="2" t="s">
        <v>292</v>
      </c>
      <c r="E2110" s="2">
        <v>124</v>
      </c>
      <c r="F2110" s="2">
        <v>1619.224</v>
      </c>
    </row>
    <row r="2111" spans="3:6" x14ac:dyDescent="0.25">
      <c r="C2111" s="2" t="s">
        <v>12633</v>
      </c>
      <c r="D2111" s="2" t="s">
        <v>292</v>
      </c>
      <c r="E2111" s="2">
        <v>65</v>
      </c>
      <c r="F2111" s="2">
        <v>1434.94</v>
      </c>
    </row>
    <row r="2112" spans="3:6" x14ac:dyDescent="0.25">
      <c r="C2112" s="2" t="s">
        <v>12634</v>
      </c>
      <c r="D2112" s="2" t="s">
        <v>292</v>
      </c>
      <c r="E2112" s="2">
        <v>10</v>
      </c>
      <c r="F2112" s="2">
        <v>238.34</v>
      </c>
    </row>
    <row r="2113" spans="3:6" x14ac:dyDescent="0.25">
      <c r="C2113" s="2" t="s">
        <v>12635</v>
      </c>
      <c r="D2113" s="2" t="s">
        <v>292</v>
      </c>
      <c r="E2113" s="2">
        <v>134</v>
      </c>
      <c r="F2113" s="2">
        <v>2731.11</v>
      </c>
    </row>
    <row r="2114" spans="3:6" x14ac:dyDescent="0.25">
      <c r="C2114" s="2" t="s">
        <v>12636</v>
      </c>
      <c r="D2114" s="2" t="s">
        <v>292</v>
      </c>
      <c r="E2114" s="2">
        <v>43</v>
      </c>
      <c r="F2114" s="2">
        <v>866.1</v>
      </c>
    </row>
    <row r="2115" spans="3:6" x14ac:dyDescent="0.25">
      <c r="C2115" s="2" t="s">
        <v>12261</v>
      </c>
      <c r="D2115" s="2" t="s">
        <v>292</v>
      </c>
      <c r="E2115" s="2">
        <v>92</v>
      </c>
      <c r="F2115" s="2">
        <v>1903.54</v>
      </c>
    </row>
    <row r="2116" spans="3:6" x14ac:dyDescent="0.25">
      <c r="C2116" s="2" t="s">
        <v>12260</v>
      </c>
      <c r="D2116" s="2" t="s">
        <v>292</v>
      </c>
      <c r="E2116" s="2">
        <v>9</v>
      </c>
      <c r="F2116" s="2">
        <v>128.38</v>
      </c>
    </row>
    <row r="2117" spans="3:6" x14ac:dyDescent="0.25">
      <c r="C2117" s="2" t="s">
        <v>12637</v>
      </c>
      <c r="D2117" s="2" t="s">
        <v>292</v>
      </c>
      <c r="E2117" s="2">
        <v>143</v>
      </c>
      <c r="F2117" s="2">
        <v>3021.6</v>
      </c>
    </row>
    <row r="2118" spans="3:6" x14ac:dyDescent="0.25">
      <c r="C2118" s="2" t="s">
        <v>12638</v>
      </c>
      <c r="D2118" s="2" t="s">
        <v>292</v>
      </c>
      <c r="E2118" s="2">
        <v>143</v>
      </c>
      <c r="F2118" s="2">
        <v>3036.379</v>
      </c>
    </row>
    <row r="2119" spans="3:6" x14ac:dyDescent="0.25">
      <c r="C2119" s="2" t="s">
        <v>12639</v>
      </c>
      <c r="D2119" s="2" t="s">
        <v>292</v>
      </c>
      <c r="E2119" s="2">
        <v>15</v>
      </c>
      <c r="F2119" s="2">
        <v>303.52</v>
      </c>
    </row>
    <row r="2120" spans="3:6" x14ac:dyDescent="0.25">
      <c r="C2120" s="2" t="s">
        <v>12640</v>
      </c>
      <c r="D2120" s="2" t="s">
        <v>292</v>
      </c>
      <c r="E2120" s="2">
        <v>23</v>
      </c>
      <c r="F2120" s="2">
        <v>358.109</v>
      </c>
    </row>
    <row r="2121" spans="3:6" x14ac:dyDescent="0.25">
      <c r="C2121" s="2" t="s">
        <v>12641</v>
      </c>
      <c r="D2121" s="2" t="s">
        <v>292</v>
      </c>
      <c r="E2121" s="2">
        <v>80</v>
      </c>
      <c r="F2121" s="2">
        <v>611.913</v>
      </c>
    </row>
    <row r="2122" spans="3:6" x14ac:dyDescent="0.25">
      <c r="C2122" s="2" t="s">
        <v>12642</v>
      </c>
      <c r="D2122" s="2" t="s">
        <v>292</v>
      </c>
      <c r="E2122" s="2">
        <v>141</v>
      </c>
      <c r="F2122" s="2">
        <v>3039.84</v>
      </c>
    </row>
    <row r="2123" spans="3:6" x14ac:dyDescent="0.25">
      <c r="C2123" s="2" t="s">
        <v>12643</v>
      </c>
      <c r="D2123" s="2" t="s">
        <v>292</v>
      </c>
      <c r="E2123" s="2">
        <v>8</v>
      </c>
      <c r="F2123" s="2">
        <v>112.21</v>
      </c>
    </row>
    <row r="2124" spans="3:6" x14ac:dyDescent="0.25">
      <c r="C2124" s="2" t="s">
        <v>12644</v>
      </c>
      <c r="D2124" s="2" t="s">
        <v>292</v>
      </c>
      <c r="E2124" s="2">
        <v>134</v>
      </c>
      <c r="F2124" s="2">
        <v>2701.22</v>
      </c>
    </row>
    <row r="2125" spans="3:6" x14ac:dyDescent="0.25">
      <c r="C2125" s="2" t="s">
        <v>12645</v>
      </c>
      <c r="D2125" s="2" t="s">
        <v>292</v>
      </c>
      <c r="E2125" s="2">
        <v>105</v>
      </c>
      <c r="F2125" s="2">
        <v>2099.408</v>
      </c>
    </row>
    <row r="2126" spans="3:6" x14ac:dyDescent="0.25">
      <c r="C2126" s="2" t="s">
        <v>12646</v>
      </c>
      <c r="D2126" s="2" t="s">
        <v>292</v>
      </c>
      <c r="E2126" s="2">
        <v>100</v>
      </c>
      <c r="F2126" s="2">
        <v>2047.14</v>
      </c>
    </row>
    <row r="2127" spans="3:6" x14ac:dyDescent="0.25">
      <c r="C2127" s="2" t="s">
        <v>12647</v>
      </c>
      <c r="D2127" s="2" t="s">
        <v>292</v>
      </c>
      <c r="E2127" s="2">
        <v>75</v>
      </c>
      <c r="F2127" s="2">
        <v>393.72</v>
      </c>
    </row>
    <row r="2128" spans="3:6" x14ac:dyDescent="0.25">
      <c r="C2128" s="2" t="s">
        <v>12648</v>
      </c>
      <c r="D2128" s="2" t="s">
        <v>292</v>
      </c>
      <c r="E2128" s="2">
        <v>55</v>
      </c>
      <c r="F2128" s="2">
        <v>1124.85</v>
      </c>
    </row>
    <row r="2129" spans="3:6" x14ac:dyDescent="0.25">
      <c r="C2129" s="2" t="s">
        <v>12649</v>
      </c>
      <c r="D2129" s="2" t="s">
        <v>292</v>
      </c>
      <c r="E2129" s="2">
        <v>28</v>
      </c>
      <c r="F2129" s="2">
        <v>570.06</v>
      </c>
    </row>
    <row r="2130" spans="3:6" x14ac:dyDescent="0.25">
      <c r="C2130" s="2" t="s">
        <v>12650</v>
      </c>
      <c r="D2130" s="2" t="s">
        <v>292</v>
      </c>
      <c r="E2130" s="2">
        <v>86</v>
      </c>
      <c r="F2130" s="2">
        <v>1096.773</v>
      </c>
    </row>
    <row r="2131" spans="3:6" x14ac:dyDescent="0.25">
      <c r="C2131" s="2" t="s">
        <v>12651</v>
      </c>
      <c r="D2131" s="2" t="s">
        <v>292</v>
      </c>
      <c r="E2131" s="2">
        <v>113</v>
      </c>
      <c r="F2131" s="2">
        <v>2316.42</v>
      </c>
    </row>
    <row r="2132" spans="3:6" x14ac:dyDescent="0.25">
      <c r="C2132" s="2" t="s">
        <v>12652</v>
      </c>
      <c r="D2132" s="2" t="s">
        <v>292</v>
      </c>
      <c r="E2132" s="2">
        <v>123</v>
      </c>
      <c r="F2132" s="2">
        <v>2560.81</v>
      </c>
    </row>
    <row r="2133" spans="3:6" x14ac:dyDescent="0.25">
      <c r="C2133" s="2" t="s">
        <v>12653</v>
      </c>
      <c r="D2133" s="2" t="s">
        <v>292</v>
      </c>
      <c r="E2133" s="2">
        <v>85</v>
      </c>
      <c r="F2133" s="2">
        <v>1728.239</v>
      </c>
    </row>
    <row r="2134" spans="3:6" x14ac:dyDescent="0.25">
      <c r="C2134" s="2" t="s">
        <v>12654</v>
      </c>
      <c r="D2134" s="2" t="s">
        <v>292</v>
      </c>
      <c r="E2134" s="2">
        <v>68</v>
      </c>
      <c r="F2134" s="2">
        <v>1514.64</v>
      </c>
    </row>
    <row r="2135" spans="3:6" x14ac:dyDescent="0.25">
      <c r="C2135" s="2" t="s">
        <v>12655</v>
      </c>
      <c r="D2135" s="2" t="s">
        <v>292</v>
      </c>
      <c r="E2135" s="2">
        <v>14</v>
      </c>
      <c r="F2135" s="2">
        <v>283.01</v>
      </c>
    </row>
    <row r="2136" spans="3:6" x14ac:dyDescent="0.25">
      <c r="C2136" s="2" t="s">
        <v>12656</v>
      </c>
      <c r="D2136" s="2" t="s">
        <v>292</v>
      </c>
      <c r="E2136" s="2">
        <v>15</v>
      </c>
      <c r="F2136" s="2">
        <v>280.86</v>
      </c>
    </row>
    <row r="2138" spans="1:7" x14ac:dyDescent="0.25">
      <c r="A2138" s="1">
        <v>46132</v>
      </c>
      <c r="B2138" s="2" t="s">
        <v>128</v>
      </c>
      <c r="C2138" s="2" t="s">
        <v>12657</v>
      </c>
      <c r="D2138" s="2" t="s">
        <v>136</v>
      </c>
      <c r="E2138" s="2">
        <v>156</v>
      </c>
      <c r="F2138" s="2">
        <v>3042</v>
      </c>
      <c r="G2138" s="1">
        <v>46132</v>
      </c>
    </row>
    <row r="2139" spans="3:6" x14ac:dyDescent="0.25">
      <c r="C2139" s="2" t="s">
        <v>12658</v>
      </c>
      <c r="D2139" s="2" t="s">
        <v>136</v>
      </c>
      <c r="E2139" s="2">
        <v>156</v>
      </c>
      <c r="F2139" s="2">
        <v>3189</v>
      </c>
    </row>
    <row r="2141" spans="3:7" x14ac:dyDescent="0.25">
      <c r="C2141" s="2" t="s">
        <v>12659</v>
      </c>
      <c r="D2141" s="2" t="s">
        <v>30</v>
      </c>
      <c r="E2141" s="2">
        <v>95</v>
      </c>
      <c r="F2141" s="2">
        <v>1900.53</v>
      </c>
      <c r="G2141" s="1">
        <v>46132</v>
      </c>
    </row>
    <row r="2142" spans="3:6" x14ac:dyDescent="0.25">
      <c r="C2142" s="2" t="s">
        <v>12660</v>
      </c>
      <c r="D2142" s="2" t="s">
        <v>36</v>
      </c>
      <c r="E2142" s="2">
        <v>60</v>
      </c>
      <c r="F2142" s="2">
        <v>1106.928</v>
      </c>
    </row>
    <row r="2143" spans="3:6" x14ac:dyDescent="0.25">
      <c r="C2143" s="2" t="s">
        <v>12661</v>
      </c>
      <c r="D2143" s="2" t="s">
        <v>36</v>
      </c>
      <c r="E2143" s="2">
        <v>45</v>
      </c>
      <c r="F2143" s="2">
        <v>834.65</v>
      </c>
    </row>
    <row r="2144" spans="3:6" x14ac:dyDescent="0.25">
      <c r="C2144" s="2" t="s">
        <v>12662</v>
      </c>
      <c r="D2144" s="2" t="s">
        <v>30</v>
      </c>
      <c r="E2144" s="2">
        <v>14</v>
      </c>
      <c r="F2144" s="2">
        <v>250.25</v>
      </c>
    </row>
    <row r="2145" spans="3:6" x14ac:dyDescent="0.25">
      <c r="C2145" s="2" t="s">
        <v>12663</v>
      </c>
      <c r="D2145" s="2" t="s">
        <v>30</v>
      </c>
      <c r="E2145" s="2">
        <v>22</v>
      </c>
      <c r="F2145" s="2">
        <v>416.769</v>
      </c>
    </row>
    <row r="2146" spans="3:6" x14ac:dyDescent="0.25">
      <c r="C2146" s="2" t="s">
        <v>12664</v>
      </c>
      <c r="D2146" s="2" t="s">
        <v>15</v>
      </c>
      <c r="E2146" s="2">
        <v>163</v>
      </c>
      <c r="F2146" s="2">
        <v>3228.369</v>
      </c>
    </row>
    <row r="2147" spans="3:6" x14ac:dyDescent="0.25">
      <c r="C2147" s="2" t="s">
        <v>12665</v>
      </c>
      <c r="D2147" s="2" t="s">
        <v>36</v>
      </c>
      <c r="E2147" s="2">
        <v>19</v>
      </c>
      <c r="F2147" s="2">
        <v>355.599</v>
      </c>
    </row>
    <row r="2148" spans="3:6" x14ac:dyDescent="0.25">
      <c r="C2148" s="2" t="s">
        <v>12666</v>
      </c>
      <c r="D2148" s="2" t="s">
        <v>36</v>
      </c>
      <c r="E2148" s="2">
        <v>15</v>
      </c>
      <c r="F2148" s="2">
        <v>281.819</v>
      </c>
    </row>
    <row r="2149" spans="3:6" x14ac:dyDescent="0.25">
      <c r="C2149" s="2" t="s">
        <v>12667</v>
      </c>
      <c r="D2149" s="2" t="s">
        <v>36</v>
      </c>
      <c r="E2149" s="2">
        <v>71</v>
      </c>
      <c r="F2149" s="2">
        <v>1349.049</v>
      </c>
    </row>
    <row r="2150" spans="3:6" x14ac:dyDescent="0.25">
      <c r="C2150" s="2" t="s">
        <v>12668</v>
      </c>
      <c r="D2150" s="2" t="s">
        <v>15</v>
      </c>
      <c r="E2150" s="2">
        <v>163</v>
      </c>
      <c r="F2150" s="2">
        <v>3105.458</v>
      </c>
    </row>
    <row r="2151" spans="3:6" x14ac:dyDescent="0.25">
      <c r="C2151" s="2" t="s">
        <v>12669</v>
      </c>
      <c r="D2151" s="2" t="s">
        <v>15</v>
      </c>
      <c r="E2151" s="2">
        <v>105</v>
      </c>
      <c r="F2151" s="2">
        <v>2010.17</v>
      </c>
    </row>
    <row r="2152" spans="3:6" x14ac:dyDescent="0.25">
      <c r="C2152" s="2" t="s">
        <v>12670</v>
      </c>
      <c r="D2152" s="2" t="s">
        <v>136</v>
      </c>
      <c r="E2152" s="2">
        <v>17</v>
      </c>
      <c r="F2152" s="2">
        <v>309.15</v>
      </c>
    </row>
    <row r="2153" spans="3:6" x14ac:dyDescent="0.25">
      <c r="C2153" s="2" t="s">
        <v>12671</v>
      </c>
      <c r="D2153" s="2" t="s">
        <v>136</v>
      </c>
      <c r="E2153" s="2">
        <v>139</v>
      </c>
      <c r="F2153" s="2">
        <v>2531.309</v>
      </c>
    </row>
    <row r="2154" spans="3:6" x14ac:dyDescent="0.25">
      <c r="C2154" s="2" t="s">
        <v>12672</v>
      </c>
      <c r="D2154" s="2" t="s">
        <v>36</v>
      </c>
      <c r="E2154" s="2">
        <v>36</v>
      </c>
      <c r="F2154" s="2">
        <v>638.14</v>
      </c>
    </row>
    <row r="2155" spans="3:6" x14ac:dyDescent="0.25">
      <c r="C2155" s="2" t="s">
        <v>12673</v>
      </c>
      <c r="D2155" s="2" t="s">
        <v>42</v>
      </c>
      <c r="E2155" s="2">
        <v>100</v>
      </c>
      <c r="F2155" s="2">
        <v>1960.553</v>
      </c>
    </row>
    <row r="2156" spans="3:6" x14ac:dyDescent="0.25">
      <c r="C2156" s="2" t="s">
        <v>12674</v>
      </c>
      <c r="D2156" s="2" t="s">
        <v>42</v>
      </c>
      <c r="E2156" s="2">
        <v>9</v>
      </c>
      <c r="F2156" s="2">
        <v>171.41</v>
      </c>
    </row>
    <row r="2157" spans="3:6" x14ac:dyDescent="0.25">
      <c r="C2157" s="2" t="s">
        <v>12675</v>
      </c>
      <c r="D2157" s="2" t="s">
        <v>42</v>
      </c>
      <c r="E2157" s="2">
        <v>47</v>
      </c>
      <c r="F2157" s="2">
        <v>897.498</v>
      </c>
    </row>
    <row r="2158" spans="3:6" x14ac:dyDescent="0.25">
      <c r="C2158" s="2" t="s">
        <v>12676</v>
      </c>
      <c r="D2158" s="2" t="s">
        <v>15</v>
      </c>
      <c r="E2158" s="2">
        <v>163</v>
      </c>
      <c r="F2158" s="2">
        <v>2991.625</v>
      </c>
    </row>
    <row r="2159" spans="3:6" x14ac:dyDescent="0.25">
      <c r="C2159" s="2" t="s">
        <v>12677</v>
      </c>
      <c r="D2159" s="2" t="s">
        <v>15</v>
      </c>
      <c r="E2159" s="2">
        <v>163</v>
      </c>
      <c r="F2159" s="2">
        <v>3116.335</v>
      </c>
    </row>
    <row r="2160" spans="3:6" x14ac:dyDescent="0.25">
      <c r="C2160" s="2" t="s">
        <v>12678</v>
      </c>
      <c r="D2160" s="2" t="s">
        <v>15</v>
      </c>
      <c r="E2160" s="2">
        <v>163</v>
      </c>
      <c r="F2160" s="2">
        <v>3177.285</v>
      </c>
    </row>
    <row r="2161" spans="3:6" x14ac:dyDescent="0.25">
      <c r="C2161" s="2" t="s">
        <v>12679</v>
      </c>
      <c r="D2161" s="2" t="s">
        <v>36</v>
      </c>
      <c r="E2161" s="2">
        <v>60</v>
      </c>
      <c r="F2161" s="2">
        <v>1147.55</v>
      </c>
    </row>
    <row r="2162" spans="3:6" x14ac:dyDescent="0.25">
      <c r="C2162" s="2" t="s">
        <v>12680</v>
      </c>
      <c r="D2162" s="2" t="s">
        <v>26</v>
      </c>
      <c r="E2162" s="2">
        <v>156</v>
      </c>
      <c r="F2162" s="2">
        <v>3136.901</v>
      </c>
    </row>
    <row r="2163" spans="3:6" x14ac:dyDescent="0.25">
      <c r="C2163" s="2" t="s">
        <v>12681</v>
      </c>
      <c r="D2163" s="2" t="s">
        <v>36</v>
      </c>
      <c r="E2163" s="2">
        <v>60</v>
      </c>
      <c r="F2163" s="2">
        <v>1054.777</v>
      </c>
    </row>
    <row r="2164" spans="3:6" x14ac:dyDescent="0.25">
      <c r="C2164" s="2" t="s">
        <v>12682</v>
      </c>
      <c r="D2164" s="2" t="s">
        <v>15</v>
      </c>
      <c r="E2164" s="2">
        <v>129</v>
      </c>
      <c r="F2164" s="2">
        <v>2480.509</v>
      </c>
    </row>
    <row r="2165" spans="3:6" x14ac:dyDescent="0.25">
      <c r="C2165" s="2" t="s">
        <v>12683</v>
      </c>
      <c r="D2165" s="2" t="s">
        <v>30</v>
      </c>
      <c r="E2165" s="2">
        <v>134</v>
      </c>
      <c r="F2165" s="2">
        <v>2654.59</v>
      </c>
    </row>
    <row r="2166" spans="3:6" x14ac:dyDescent="0.25">
      <c r="C2166" s="2" t="s">
        <v>12684</v>
      </c>
      <c r="D2166" s="2" t="s">
        <v>30</v>
      </c>
      <c r="E2166" s="2">
        <v>134</v>
      </c>
      <c r="F2166" s="2">
        <v>2696.23</v>
      </c>
    </row>
    <row r="2167" spans="3:6" x14ac:dyDescent="0.25">
      <c r="C2167" s="2" t="s">
        <v>12685</v>
      </c>
      <c r="D2167" s="2" t="s">
        <v>30</v>
      </c>
      <c r="E2167" s="2">
        <v>134</v>
      </c>
      <c r="F2167" s="2">
        <v>2670.82</v>
      </c>
    </row>
    <row r="2168" spans="3:6" x14ac:dyDescent="0.25">
      <c r="C2168" s="2" t="s">
        <v>12686</v>
      </c>
      <c r="D2168" s="2" t="s">
        <v>30</v>
      </c>
      <c r="E2168" s="2">
        <v>134</v>
      </c>
      <c r="F2168" s="2">
        <v>2726.13</v>
      </c>
    </row>
    <row r="2169" spans="3:6" x14ac:dyDescent="0.25">
      <c r="C2169" s="2" t="s">
        <v>12687</v>
      </c>
      <c r="D2169" s="2" t="s">
        <v>30</v>
      </c>
      <c r="E2169" s="2">
        <v>134</v>
      </c>
      <c r="F2169" s="2">
        <v>2714.38</v>
      </c>
    </row>
    <row r="2170" spans="3:6" x14ac:dyDescent="0.25">
      <c r="C2170" s="2" t="s">
        <v>12688</v>
      </c>
      <c r="D2170" s="2" t="s">
        <v>30</v>
      </c>
      <c r="E2170" s="2">
        <v>134</v>
      </c>
      <c r="F2170" s="2">
        <v>2726.57</v>
      </c>
    </row>
    <row r="2171" spans="3:6" x14ac:dyDescent="0.25">
      <c r="C2171" s="2" t="s">
        <v>12689</v>
      </c>
      <c r="D2171" s="2" t="s">
        <v>15</v>
      </c>
      <c r="E2171" s="2">
        <v>163</v>
      </c>
      <c r="F2171" s="2">
        <v>3100.87</v>
      </c>
    </row>
    <row r="2172" spans="3:6" x14ac:dyDescent="0.25">
      <c r="C2172" s="2" t="s">
        <v>12690</v>
      </c>
      <c r="D2172" s="2" t="s">
        <v>15</v>
      </c>
      <c r="E2172" s="2">
        <v>163</v>
      </c>
      <c r="F2172" s="2">
        <v>3101.398</v>
      </c>
    </row>
    <row r="2173" spans="3:6" x14ac:dyDescent="0.25">
      <c r="C2173" s="2" t="s">
        <v>12691</v>
      </c>
      <c r="D2173" s="2" t="s">
        <v>15</v>
      </c>
      <c r="E2173" s="2">
        <v>163</v>
      </c>
      <c r="F2173" s="2">
        <v>3137.069</v>
      </c>
    </row>
    <row r="2174" spans="3:6" x14ac:dyDescent="0.25">
      <c r="C2174" s="2" t="s">
        <v>12692</v>
      </c>
      <c r="D2174" s="2" t="s">
        <v>15</v>
      </c>
      <c r="E2174" s="2">
        <v>62</v>
      </c>
      <c r="F2174" s="2">
        <v>622</v>
      </c>
    </row>
    <row r="2175" spans="3:6" x14ac:dyDescent="0.25">
      <c r="C2175" s="2" t="s">
        <v>12693</v>
      </c>
      <c r="D2175" s="2" t="s">
        <v>15</v>
      </c>
      <c r="E2175" s="2">
        <v>72</v>
      </c>
      <c r="F2175" s="2">
        <v>764</v>
      </c>
    </row>
    <row r="2176" spans="3:6" x14ac:dyDescent="0.25">
      <c r="C2176" s="2" t="s">
        <v>12694</v>
      </c>
      <c r="D2176" s="2" t="s">
        <v>15</v>
      </c>
      <c r="E2176" s="2">
        <v>67</v>
      </c>
      <c r="F2176" s="2">
        <v>802</v>
      </c>
    </row>
    <row r="2177" spans="3:6" x14ac:dyDescent="0.25">
      <c r="C2177" s="2" t="s">
        <v>12695</v>
      </c>
      <c r="D2177" s="2" t="s">
        <v>15</v>
      </c>
      <c r="E2177" s="2">
        <v>94</v>
      </c>
      <c r="F2177" s="2">
        <v>974</v>
      </c>
    </row>
    <row r="2179" spans="1:7" x14ac:dyDescent="0.25">
      <c r="A2179" s="1">
        <v>46132</v>
      </c>
      <c r="B2179" s="2" t="s">
        <v>1626</v>
      </c>
      <c r="C2179" s="2" t="s">
        <v>12696</v>
      </c>
      <c r="D2179" s="2" t="s">
        <v>59</v>
      </c>
      <c r="E2179" s="2">
        <v>204</v>
      </c>
      <c r="F2179" s="2">
        <v>4081.578</v>
      </c>
      <c r="G2179" s="1">
        <v>46130</v>
      </c>
    </row>
    <row r="2180" spans="3:6" x14ac:dyDescent="0.25">
      <c r="C2180" s="2" t="s">
        <v>12697</v>
      </c>
      <c r="D2180" s="2" t="s">
        <v>59</v>
      </c>
      <c r="E2180" s="2">
        <v>251</v>
      </c>
      <c r="F2180" s="2">
        <v>4763.19</v>
      </c>
    </row>
    <row r="2181" spans="3:6" x14ac:dyDescent="0.25">
      <c r="C2181" s="2" t="s">
        <v>12698</v>
      </c>
      <c r="D2181" s="2" t="s">
        <v>59</v>
      </c>
      <c r="E2181" s="2">
        <v>251</v>
      </c>
      <c r="F2181" s="2">
        <v>4684.999</v>
      </c>
    </row>
    <row r="2182" spans="3:6" x14ac:dyDescent="0.25">
      <c r="C2182" s="2" t="s">
        <v>12699</v>
      </c>
      <c r="D2182" s="2" t="s">
        <v>59</v>
      </c>
      <c r="E2182" s="2">
        <v>149</v>
      </c>
      <c r="F2182" s="2">
        <v>2746.068</v>
      </c>
    </row>
    <row r="2183" spans="3:6" x14ac:dyDescent="0.25">
      <c r="C2183" s="2" t="s">
        <v>12700</v>
      </c>
      <c r="D2183" s="2" t="s">
        <v>59</v>
      </c>
      <c r="E2183" s="2">
        <v>142</v>
      </c>
      <c r="F2183" s="2">
        <v>2689.184</v>
      </c>
    </row>
    <row r="2184" spans="3:6" x14ac:dyDescent="0.25">
      <c r="C2184" s="2" t="s">
        <v>12701</v>
      </c>
      <c r="D2184" s="2" t="s">
        <v>59</v>
      </c>
      <c r="E2184" s="2">
        <v>251</v>
      </c>
      <c r="F2184" s="2">
        <v>4756.219</v>
      </c>
    </row>
    <row r="2185" spans="3:6" x14ac:dyDescent="0.25">
      <c r="C2185" s="2" t="s">
        <v>12702</v>
      </c>
      <c r="D2185" s="2" t="s">
        <v>59</v>
      </c>
      <c r="E2185" s="2">
        <v>159</v>
      </c>
      <c r="F2185" s="2">
        <v>2883.328</v>
      </c>
    </row>
    <row r="2186" spans="3:6" x14ac:dyDescent="0.25">
      <c r="C2186" s="2" t="s">
        <v>12703</v>
      </c>
      <c r="D2186" s="2" t="s">
        <v>59</v>
      </c>
      <c r="E2186" s="2">
        <v>102</v>
      </c>
      <c r="F2186" s="2">
        <v>1971.699</v>
      </c>
    </row>
    <row r="2188" spans="1:7" x14ac:dyDescent="0.25">
      <c r="A2188" s="1">
        <v>46133</v>
      </c>
      <c r="B2188" s="2" t="s">
        <v>1012</v>
      </c>
      <c r="C2188" s="2" t="s">
        <v>12704</v>
      </c>
      <c r="D2188" s="2" t="s">
        <v>73</v>
      </c>
      <c r="E2188" s="2">
        <v>80</v>
      </c>
      <c r="F2188" s="2">
        <v>1494.45</v>
      </c>
      <c r="G2188" s="1">
        <v>46132</v>
      </c>
    </row>
    <row r="2189" spans="3:6" x14ac:dyDescent="0.25">
      <c r="C2189" s="2" t="s">
        <v>12705</v>
      </c>
      <c r="D2189" s="2" t="s">
        <v>73</v>
      </c>
      <c r="E2189" s="2">
        <v>20</v>
      </c>
      <c r="F2189" s="2">
        <v>359.44</v>
      </c>
    </row>
    <row r="2190" spans="3:6" x14ac:dyDescent="0.25">
      <c r="C2190" s="2" t="s">
        <v>12706</v>
      </c>
      <c r="D2190" s="2" t="s">
        <v>73</v>
      </c>
      <c r="E2190" s="2">
        <v>56</v>
      </c>
      <c r="F2190" s="2">
        <v>1260.25</v>
      </c>
    </row>
    <row r="2191" spans="3:6" x14ac:dyDescent="0.25">
      <c r="C2191" s="2" t="s">
        <v>12707</v>
      </c>
      <c r="D2191" s="2" t="s">
        <v>73</v>
      </c>
      <c r="E2191" s="2">
        <v>25</v>
      </c>
      <c r="F2191" s="2">
        <v>453.95</v>
      </c>
    </row>
    <row r="2192" spans="3:6" x14ac:dyDescent="0.25">
      <c r="C2192" s="2" t="s">
        <v>12708</v>
      </c>
      <c r="D2192" s="2" t="s">
        <v>73</v>
      </c>
      <c r="E2192" s="2">
        <v>28</v>
      </c>
      <c r="F2192" s="2">
        <v>508.23</v>
      </c>
    </row>
    <row r="2193" spans="3:6" x14ac:dyDescent="0.25">
      <c r="C2193" s="2" t="s">
        <v>12709</v>
      </c>
      <c r="D2193" s="2" t="s">
        <v>73</v>
      </c>
      <c r="E2193" s="2">
        <v>61</v>
      </c>
      <c r="F2193" s="2">
        <v>1254.669</v>
      </c>
    </row>
    <row r="2194" spans="3:6" x14ac:dyDescent="0.25">
      <c r="C2194" s="2" t="s">
        <v>12710</v>
      </c>
      <c r="D2194" s="2" t="s">
        <v>73</v>
      </c>
      <c r="E2194" s="2">
        <v>26</v>
      </c>
      <c r="F2194" s="2">
        <v>464.35</v>
      </c>
    </row>
    <row r="2195" spans="3:6" x14ac:dyDescent="0.25">
      <c r="C2195" s="2" t="s">
        <v>12711</v>
      </c>
      <c r="D2195" s="2" t="s">
        <v>73</v>
      </c>
      <c r="E2195" s="2">
        <v>28</v>
      </c>
      <c r="F2195" s="2">
        <v>482.919</v>
      </c>
    </row>
    <row r="2196" spans="3:6" x14ac:dyDescent="0.25">
      <c r="C2196" s="2" t="s">
        <v>12712</v>
      </c>
      <c r="D2196" s="2" t="s">
        <v>73</v>
      </c>
      <c r="E2196" s="2">
        <v>83</v>
      </c>
      <c r="F2196" s="2">
        <v>1627.52</v>
      </c>
    </row>
    <row r="2198" spans="1:7" x14ac:dyDescent="0.25">
      <c r="A2198" s="1">
        <v>46133</v>
      </c>
      <c r="B2198" s="2" t="s">
        <v>7875</v>
      </c>
      <c r="C2198" s="2" t="s">
        <v>12713</v>
      </c>
      <c r="D2198" s="2" t="s">
        <v>59</v>
      </c>
      <c r="E2198" s="2">
        <v>298</v>
      </c>
      <c r="F2198" s="2">
        <v>5640.919</v>
      </c>
      <c r="G2198" s="1">
        <v>46132</v>
      </c>
    </row>
    <row r="2199" spans="3:6" x14ac:dyDescent="0.25">
      <c r="C2199" s="2" t="s">
        <v>12714</v>
      </c>
      <c r="D2199" s="2" t="s">
        <v>59</v>
      </c>
      <c r="E2199" s="2">
        <v>298</v>
      </c>
      <c r="F2199" s="2">
        <v>5482.55</v>
      </c>
    </row>
    <row r="2200" spans="3:6" x14ac:dyDescent="0.25">
      <c r="C2200" s="2" t="s">
        <v>12715</v>
      </c>
      <c r="D2200" s="2" t="s">
        <v>59</v>
      </c>
      <c r="E2200" s="2">
        <v>298</v>
      </c>
      <c r="F2200" s="2">
        <v>5618.227</v>
      </c>
    </row>
    <row r="2201" spans="3:6" x14ac:dyDescent="0.25">
      <c r="C2201" s="2" t="s">
        <v>12716</v>
      </c>
      <c r="D2201" s="2" t="s">
        <v>59</v>
      </c>
      <c r="E2201" s="2">
        <v>150</v>
      </c>
      <c r="F2201" s="2">
        <v>3351.089</v>
      </c>
    </row>
    <row r="2202" spans="3:6" x14ac:dyDescent="0.25">
      <c r="C2202" s="2" t="s">
        <v>12717</v>
      </c>
      <c r="D2202" s="2" t="s">
        <v>59</v>
      </c>
      <c r="E2202" s="2">
        <v>25</v>
      </c>
      <c r="F2202" s="2">
        <v>512.859</v>
      </c>
    </row>
    <row r="2203" spans="3:6" x14ac:dyDescent="0.25">
      <c r="C2203" s="2" t="s">
        <v>12718</v>
      </c>
      <c r="D2203" s="2" t="s">
        <v>59</v>
      </c>
      <c r="E2203" s="2">
        <v>160</v>
      </c>
      <c r="F2203" s="2">
        <v>3077.302</v>
      </c>
    </row>
    <row r="2204" spans="3:6" x14ac:dyDescent="0.25">
      <c r="C2204" s="2" t="s">
        <v>12719</v>
      </c>
      <c r="D2204" s="2" t="s">
        <v>59</v>
      </c>
      <c r="E2204" s="2">
        <v>114</v>
      </c>
      <c r="F2204" s="2">
        <v>2125.168</v>
      </c>
    </row>
    <row r="2205" spans="3:6" x14ac:dyDescent="0.25">
      <c r="C2205" s="2" t="s">
        <v>12720</v>
      </c>
      <c r="D2205" s="2" t="s">
        <v>59</v>
      </c>
      <c r="E2205" s="2">
        <v>170</v>
      </c>
      <c r="F2205" s="2">
        <v>3171.27</v>
      </c>
    </row>
    <row r="2206" spans="3:6" x14ac:dyDescent="0.25">
      <c r="C2206" s="2" t="s">
        <v>12721</v>
      </c>
      <c r="D2206" s="2" t="s">
        <v>59</v>
      </c>
      <c r="E2206" s="2">
        <v>340</v>
      </c>
      <c r="F2206" s="2">
        <v>6156.488</v>
      </c>
    </row>
    <row r="2207" spans="3:6" x14ac:dyDescent="0.25">
      <c r="C2207" s="2" t="s">
        <v>12722</v>
      </c>
      <c r="D2207" s="2" t="s">
        <v>59</v>
      </c>
      <c r="E2207" s="2">
        <v>180</v>
      </c>
      <c r="F2207" s="2">
        <v>3455.6</v>
      </c>
    </row>
    <row r="2208" spans="3:6" x14ac:dyDescent="0.25">
      <c r="C2208" s="2" t="s">
        <v>12723</v>
      </c>
      <c r="D2208" s="2" t="s">
        <v>59</v>
      </c>
      <c r="E2208" s="2">
        <v>340</v>
      </c>
      <c r="F2208" s="2">
        <v>6022.9</v>
      </c>
    </row>
    <row r="2209" spans="3:6" x14ac:dyDescent="0.25">
      <c r="C2209" s="2" t="s">
        <v>12724</v>
      </c>
      <c r="D2209" s="2" t="s">
        <v>59</v>
      </c>
      <c r="E2209" s="2">
        <v>255</v>
      </c>
      <c r="F2209" s="2">
        <v>4760.717</v>
      </c>
    </row>
    <row r="2210" spans="3:6" x14ac:dyDescent="0.25">
      <c r="C2210" s="2" t="s">
        <v>12725</v>
      </c>
      <c r="D2210" s="2" t="s">
        <v>59</v>
      </c>
      <c r="E2210" s="2">
        <v>78</v>
      </c>
      <c r="F2210" s="2">
        <v>1420.18</v>
      </c>
    </row>
    <row r="2211" spans="3:6" x14ac:dyDescent="0.25">
      <c r="C2211" s="2" t="s">
        <v>12726</v>
      </c>
      <c r="D2211" s="2" t="s">
        <v>59</v>
      </c>
      <c r="E2211" s="2">
        <v>165</v>
      </c>
      <c r="F2211" s="2">
        <v>3174.43</v>
      </c>
    </row>
    <row r="2212" spans="3:6" x14ac:dyDescent="0.25">
      <c r="C2212" s="2" t="s">
        <v>12727</v>
      </c>
      <c r="D2212" s="2" t="s">
        <v>59</v>
      </c>
      <c r="E2212" s="2">
        <v>240</v>
      </c>
      <c r="F2212" s="2">
        <v>4559.679</v>
      </c>
    </row>
    <row r="2213" spans="3:6" x14ac:dyDescent="0.25">
      <c r="C2213" s="2" t="s">
        <v>12728</v>
      </c>
      <c r="D2213" s="2" t="s">
        <v>59</v>
      </c>
      <c r="E2213" s="2">
        <v>240</v>
      </c>
      <c r="F2213" s="2">
        <v>4746.836</v>
      </c>
    </row>
    <row r="2214" spans="3:6" x14ac:dyDescent="0.25">
      <c r="C2214" s="2" t="s">
        <v>12729</v>
      </c>
      <c r="D2214" s="2" t="s">
        <v>59</v>
      </c>
      <c r="E2214" s="2">
        <v>220</v>
      </c>
      <c r="F2214" s="2">
        <v>4193.228</v>
      </c>
    </row>
    <row r="2215" spans="3:6" x14ac:dyDescent="0.25">
      <c r="C2215" s="2" t="s">
        <v>12730</v>
      </c>
      <c r="D2215" s="2" t="s">
        <v>59</v>
      </c>
      <c r="E2215" s="2">
        <v>220</v>
      </c>
      <c r="F2215" s="2">
        <v>4061.349</v>
      </c>
    </row>
    <row r="2216" spans="3:6" x14ac:dyDescent="0.25">
      <c r="C2216" s="2" t="s">
        <v>12731</v>
      </c>
      <c r="D2216" s="2" t="s">
        <v>59</v>
      </c>
      <c r="E2216" s="2">
        <v>220</v>
      </c>
      <c r="F2216" s="2">
        <v>4310.518</v>
      </c>
    </row>
    <row r="2217" spans="3:6" x14ac:dyDescent="0.25">
      <c r="C2217" s="2" t="s">
        <v>12732</v>
      </c>
      <c r="D2217" s="2" t="s">
        <v>59</v>
      </c>
      <c r="E2217" s="2">
        <v>220</v>
      </c>
      <c r="F2217" s="2">
        <v>4456.61</v>
      </c>
    </row>
    <row r="2219" spans="1:7" x14ac:dyDescent="0.25">
      <c r="A2219" s="1">
        <v>46134</v>
      </c>
      <c r="B2219" s="2" t="s">
        <v>11412</v>
      </c>
      <c r="C2219" s="2" t="s">
        <v>12419</v>
      </c>
      <c r="D2219" s="2" t="s">
        <v>4096</v>
      </c>
      <c r="E2219" s="2">
        <v>113</v>
      </c>
      <c r="F2219" s="2">
        <v>2095.8</v>
      </c>
      <c r="G2219" s="1">
        <v>46133</v>
      </c>
    </row>
    <row r="2220" spans="3:6" x14ac:dyDescent="0.25">
      <c r="C2220" s="2" t="s">
        <v>12418</v>
      </c>
      <c r="D2220" s="2" t="s">
        <v>4096</v>
      </c>
      <c r="E2220" s="2">
        <v>28</v>
      </c>
      <c r="F2220" s="2">
        <v>564.08</v>
      </c>
    </row>
    <row r="2221" spans="3:6" x14ac:dyDescent="0.25">
      <c r="C2221" s="2" t="s">
        <v>12420</v>
      </c>
      <c r="D2221" s="2" t="s">
        <v>4096</v>
      </c>
      <c r="E2221" s="2">
        <v>71</v>
      </c>
      <c r="F2221" s="2">
        <v>2439.772</v>
      </c>
    </row>
    <row r="2222" spans="3:6" x14ac:dyDescent="0.25">
      <c r="C2222" s="2" t="s">
        <v>12421</v>
      </c>
      <c r="D2222" s="2" t="s">
        <v>4096</v>
      </c>
      <c r="E2222" s="2">
        <v>71</v>
      </c>
      <c r="F2222" s="2">
        <v>2464.861</v>
      </c>
    </row>
    <row r="2223" spans="3:6" x14ac:dyDescent="0.25">
      <c r="C2223" s="2" t="s">
        <v>12422</v>
      </c>
      <c r="D2223" s="2" t="s">
        <v>4096</v>
      </c>
      <c r="E2223" s="2">
        <v>37</v>
      </c>
      <c r="F2223" s="2">
        <v>755.8</v>
      </c>
    </row>
    <row r="2224" spans="3:6" x14ac:dyDescent="0.25">
      <c r="C2224" s="2" t="s">
        <v>12423</v>
      </c>
      <c r="D2224" s="2" t="s">
        <v>4096</v>
      </c>
      <c r="E2224" s="2">
        <v>88</v>
      </c>
      <c r="F2224" s="2">
        <v>1776.559</v>
      </c>
    </row>
    <row r="2225" spans="3:6" x14ac:dyDescent="0.25">
      <c r="C2225" s="2" t="s">
        <v>12424</v>
      </c>
      <c r="D2225" s="2" t="s">
        <v>4096</v>
      </c>
      <c r="E2225" s="2">
        <v>8</v>
      </c>
      <c r="F2225" s="2">
        <v>289.24</v>
      </c>
    </row>
    <row r="2226" spans="3:6" x14ac:dyDescent="0.25">
      <c r="C2226" s="2" t="s">
        <v>12416</v>
      </c>
      <c r="D2226" s="2" t="s">
        <v>4096</v>
      </c>
      <c r="E2226" s="2">
        <v>71</v>
      </c>
      <c r="F2226" s="2">
        <v>1380.41</v>
      </c>
    </row>
    <row r="2227" spans="3:6" x14ac:dyDescent="0.25">
      <c r="C2227" s="2" t="s">
        <v>12417</v>
      </c>
      <c r="D2227" s="2" t="s">
        <v>4096</v>
      </c>
      <c r="E2227" s="2">
        <v>70</v>
      </c>
      <c r="F2227" s="2">
        <v>1418.33</v>
      </c>
    </row>
    <row r="2229" spans="1:7" x14ac:dyDescent="0.25">
      <c r="A2229" s="1">
        <v>46134</v>
      </c>
      <c r="B2229" s="2" t="s">
        <v>3948</v>
      </c>
      <c r="C2229" s="2" t="s">
        <v>12733</v>
      </c>
      <c r="D2229" s="2" t="s">
        <v>178</v>
      </c>
      <c r="E2229" s="2">
        <v>246</v>
      </c>
      <c r="F2229" s="2">
        <v>5083.17</v>
      </c>
      <c r="G2229" s="1">
        <v>46133</v>
      </c>
    </row>
    <row r="2230" spans="3:6" x14ac:dyDescent="0.25">
      <c r="C2230" s="2" t="s">
        <v>12734</v>
      </c>
      <c r="D2230" s="2" t="s">
        <v>178</v>
      </c>
      <c r="E2230" s="2">
        <v>102</v>
      </c>
      <c r="F2230" s="2">
        <v>1976.75</v>
      </c>
    </row>
    <row r="2231" spans="3:6" x14ac:dyDescent="0.25">
      <c r="C2231" s="2" t="s">
        <v>12735</v>
      </c>
      <c r="D2231" s="2" t="s">
        <v>178</v>
      </c>
      <c r="E2231" s="2">
        <v>134</v>
      </c>
      <c r="F2231" s="2">
        <v>2765.63</v>
      </c>
    </row>
    <row r="2232" spans="3:6" x14ac:dyDescent="0.25">
      <c r="C2232" s="2" t="s">
        <v>12736</v>
      </c>
      <c r="D2232" s="2" t="s">
        <v>178</v>
      </c>
      <c r="E2232" s="2">
        <v>141</v>
      </c>
      <c r="F2232" s="2">
        <v>2670.35</v>
      </c>
    </row>
    <row r="2233" spans="3:6" x14ac:dyDescent="0.25">
      <c r="C2233" s="2" t="s">
        <v>12737</v>
      </c>
      <c r="D2233" s="2" t="s">
        <v>178</v>
      </c>
      <c r="E2233" s="2">
        <v>225</v>
      </c>
      <c r="F2233" s="2">
        <v>4592.549</v>
      </c>
    </row>
    <row r="2234" spans="3:6" x14ac:dyDescent="0.25">
      <c r="C2234" s="2" t="s">
        <v>12738</v>
      </c>
      <c r="D2234" s="2" t="s">
        <v>178</v>
      </c>
      <c r="E2234" s="2">
        <v>71</v>
      </c>
      <c r="F2234" s="2">
        <v>1266.62</v>
      </c>
    </row>
    <row r="2235" spans="3:6" x14ac:dyDescent="0.25">
      <c r="C2235" s="2" t="s">
        <v>12739</v>
      </c>
      <c r="D2235" s="2" t="s">
        <v>178</v>
      </c>
      <c r="E2235" s="2">
        <v>32</v>
      </c>
      <c r="F2235" s="2">
        <v>565.2</v>
      </c>
    </row>
    <row r="2236" spans="3:6" x14ac:dyDescent="0.25">
      <c r="C2236" s="2" t="s">
        <v>12740</v>
      </c>
      <c r="D2236" s="2" t="s">
        <v>178</v>
      </c>
      <c r="E2236" s="2">
        <v>282</v>
      </c>
      <c r="F2236" s="2">
        <v>6074.71</v>
      </c>
    </row>
    <row r="2237" spans="3:6" x14ac:dyDescent="0.25">
      <c r="C2237" s="2" t="s">
        <v>12741</v>
      </c>
      <c r="D2237" s="2" t="s">
        <v>178</v>
      </c>
      <c r="E2237" s="2">
        <v>37</v>
      </c>
      <c r="F2237" s="2">
        <v>159.08</v>
      </c>
    </row>
    <row r="2238" spans="3:6" x14ac:dyDescent="0.25">
      <c r="C2238" s="2" t="s">
        <v>12742</v>
      </c>
      <c r="D2238" s="2" t="s">
        <v>178</v>
      </c>
      <c r="E2238" s="2">
        <v>282</v>
      </c>
      <c r="F2238" s="2">
        <v>6011.909</v>
      </c>
    </row>
    <row r="2239" spans="3:6" x14ac:dyDescent="0.25">
      <c r="C2239" s="2" t="s">
        <v>12743</v>
      </c>
      <c r="D2239" s="2" t="s">
        <v>178</v>
      </c>
      <c r="E2239" s="2">
        <v>141</v>
      </c>
      <c r="F2239" s="2">
        <v>2868.74</v>
      </c>
    </row>
    <row r="2240" spans="3:6" x14ac:dyDescent="0.25">
      <c r="C2240" s="2" t="s">
        <v>12744</v>
      </c>
      <c r="D2240" s="2" t="s">
        <v>178</v>
      </c>
      <c r="E2240" s="2">
        <v>6</v>
      </c>
      <c r="F2240" s="2" t="s">
        <v>4167</v>
      </c>
    </row>
    <row r="2241" spans="3:6" x14ac:dyDescent="0.25">
      <c r="C2241" s="2" t="s">
        <v>12745</v>
      </c>
      <c r="D2241" s="2" t="s">
        <v>178</v>
      </c>
      <c r="E2241" s="2">
        <v>37</v>
      </c>
      <c r="F2241" s="2">
        <v>632.24</v>
      </c>
    </row>
    <row r="2242" spans="3:6" x14ac:dyDescent="0.25">
      <c r="C2242" s="2" t="s">
        <v>12746</v>
      </c>
      <c r="D2242" s="2" t="s">
        <v>178</v>
      </c>
      <c r="E2242" s="2">
        <v>32</v>
      </c>
      <c r="F2242" s="2">
        <v>664.69</v>
      </c>
    </row>
    <row r="2243" spans="3:6" x14ac:dyDescent="0.25">
      <c r="C2243" s="2" t="s">
        <v>12747</v>
      </c>
      <c r="D2243" s="2" t="s">
        <v>178</v>
      </c>
      <c r="E2243" s="2">
        <v>45</v>
      </c>
      <c r="F2243" s="2">
        <v>193.829</v>
      </c>
    </row>
    <row r="2244" spans="3:6" x14ac:dyDescent="0.25">
      <c r="C2244" s="2" t="s">
        <v>12748</v>
      </c>
      <c r="D2244" s="2" t="s">
        <v>178</v>
      </c>
      <c r="E2244" s="2">
        <v>102</v>
      </c>
      <c r="F2244" s="2">
        <v>2176.41</v>
      </c>
    </row>
    <row r="2245" spans="3:6" x14ac:dyDescent="0.25">
      <c r="C2245" s="2" t="s">
        <v>12749</v>
      </c>
      <c r="D2245" s="2" t="s">
        <v>178</v>
      </c>
      <c r="E2245" s="2">
        <v>64</v>
      </c>
      <c r="F2245" s="2">
        <v>1376.37</v>
      </c>
    </row>
    <row r="2246" spans="3:6" x14ac:dyDescent="0.25">
      <c r="C2246" s="2" t="s">
        <v>12750</v>
      </c>
      <c r="D2246" s="2" t="s">
        <v>178</v>
      </c>
      <c r="E2246" s="2">
        <v>59</v>
      </c>
      <c r="F2246" s="2">
        <v>1226.6</v>
      </c>
    </row>
    <row r="2247" spans="3:6" x14ac:dyDescent="0.25">
      <c r="C2247" s="2" t="s">
        <v>12751</v>
      </c>
      <c r="D2247" s="2" t="s">
        <v>178</v>
      </c>
      <c r="E2247" s="2">
        <v>75</v>
      </c>
      <c r="F2247" s="2">
        <v>1571.1</v>
      </c>
    </row>
    <row r="2248" spans="3:6" x14ac:dyDescent="0.25">
      <c r="C2248" s="2" t="s">
        <v>12752</v>
      </c>
      <c r="D2248" s="2" t="s">
        <v>178</v>
      </c>
      <c r="E2248" s="2" t="s">
        <v>4167</v>
      </c>
      <c r="F2248" s="2" t="s">
        <v>4167</v>
      </c>
    </row>
    <row r="2249" spans="3:6" x14ac:dyDescent="0.25">
      <c r="C2249" s="2" t="s">
        <v>12753</v>
      </c>
      <c r="D2249" s="2" t="s">
        <v>178</v>
      </c>
      <c r="E2249" s="2">
        <v>141</v>
      </c>
      <c r="F2249" s="2">
        <v>2872.059</v>
      </c>
    </row>
    <row r="2250" spans="3:6" x14ac:dyDescent="0.25">
      <c r="C2250" s="2" t="s">
        <v>12754</v>
      </c>
      <c r="D2250" s="2" t="s">
        <v>178</v>
      </c>
      <c r="E2250" s="2">
        <v>141</v>
      </c>
      <c r="F2250" s="2">
        <v>2897.81</v>
      </c>
    </row>
    <row r="2251" spans="3:6" x14ac:dyDescent="0.25">
      <c r="C2251" s="2" t="s">
        <v>12755</v>
      </c>
      <c r="D2251" s="2" t="s">
        <v>178</v>
      </c>
      <c r="E2251" s="2">
        <v>51</v>
      </c>
      <c r="F2251" s="2">
        <v>1014.92</v>
      </c>
    </row>
    <row r="2252" spans="3:6" x14ac:dyDescent="0.25">
      <c r="C2252" s="2" t="s">
        <v>12756</v>
      </c>
      <c r="D2252" s="2" t="s">
        <v>178</v>
      </c>
      <c r="E2252" s="2">
        <v>51</v>
      </c>
      <c r="F2252" s="2">
        <v>1109.2</v>
      </c>
    </row>
    <row r="2253" spans="3:6" x14ac:dyDescent="0.25">
      <c r="C2253" s="2" t="s">
        <v>12757</v>
      </c>
      <c r="D2253" s="2" t="s">
        <v>178</v>
      </c>
      <c r="E2253" s="2">
        <v>141</v>
      </c>
      <c r="F2253" s="2">
        <v>2982.12</v>
      </c>
    </row>
    <row r="2254" spans="3:6" x14ac:dyDescent="0.25">
      <c r="C2254" s="2" t="s">
        <v>12758</v>
      </c>
      <c r="D2254" s="2" t="s">
        <v>178</v>
      </c>
      <c r="E2254" s="2">
        <v>141</v>
      </c>
      <c r="F2254" s="2">
        <v>2825.28</v>
      </c>
    </row>
    <row r="2255" spans="3:6" x14ac:dyDescent="0.25">
      <c r="C2255" s="2" t="s">
        <v>12759</v>
      </c>
      <c r="D2255" s="2" t="s">
        <v>178</v>
      </c>
      <c r="E2255" s="2">
        <v>26</v>
      </c>
      <c r="F2255" s="2">
        <v>516.52</v>
      </c>
    </row>
    <row r="2256" spans="3:6" x14ac:dyDescent="0.25">
      <c r="C2256" s="2" t="s">
        <v>12760</v>
      </c>
      <c r="D2256" s="2" t="s">
        <v>178</v>
      </c>
      <c r="E2256" s="2">
        <v>115</v>
      </c>
      <c r="F2256" s="2">
        <v>2383.52</v>
      </c>
    </row>
    <row r="2257" spans="3:6" x14ac:dyDescent="0.25">
      <c r="C2257" s="2" t="s">
        <v>12761</v>
      </c>
      <c r="D2257" s="2" t="s">
        <v>178</v>
      </c>
      <c r="E2257" s="2">
        <v>83</v>
      </c>
      <c r="F2257" s="2">
        <v>1766.28</v>
      </c>
    </row>
    <row r="2258" spans="3:6" x14ac:dyDescent="0.25">
      <c r="C2258" s="2" t="s">
        <v>12762</v>
      </c>
      <c r="D2258" s="2" t="s">
        <v>178</v>
      </c>
      <c r="E2258" s="2">
        <v>18</v>
      </c>
      <c r="F2258" s="2">
        <v>381.09</v>
      </c>
    </row>
    <row r="2259" spans="3:6" x14ac:dyDescent="0.25">
      <c r="C2259" s="2" t="s">
        <v>12763</v>
      </c>
      <c r="D2259" s="2" t="s">
        <v>178</v>
      </c>
      <c r="E2259" s="2">
        <v>55</v>
      </c>
      <c r="F2259" s="2">
        <v>1069.84</v>
      </c>
    </row>
    <row r="2260" spans="3:6" x14ac:dyDescent="0.25">
      <c r="C2260" s="2" t="s">
        <v>12764</v>
      </c>
      <c r="D2260" s="2" t="s">
        <v>178</v>
      </c>
      <c r="E2260" s="2">
        <v>86</v>
      </c>
      <c r="F2260" s="2">
        <v>1691.74</v>
      </c>
    </row>
    <row r="2261" spans="3:6" x14ac:dyDescent="0.25">
      <c r="C2261" s="2" t="s">
        <v>12765</v>
      </c>
      <c r="D2261" s="2" t="s">
        <v>178</v>
      </c>
      <c r="E2261" s="2">
        <v>117</v>
      </c>
      <c r="F2261" s="2">
        <v>2068.04</v>
      </c>
    </row>
    <row r="2262" spans="3:6" x14ac:dyDescent="0.25">
      <c r="C2262" s="2" t="s">
        <v>12766</v>
      </c>
      <c r="D2262" s="2" t="s">
        <v>178</v>
      </c>
      <c r="E2262" s="2">
        <v>24</v>
      </c>
      <c r="F2262" s="2">
        <v>448.37</v>
      </c>
    </row>
    <row r="2263" spans="3:6" x14ac:dyDescent="0.25">
      <c r="C2263" s="2" t="s">
        <v>12767</v>
      </c>
      <c r="D2263" s="2" t="s">
        <v>178</v>
      </c>
      <c r="E2263" s="2">
        <v>141</v>
      </c>
      <c r="F2263" s="2">
        <v>3045.84</v>
      </c>
    </row>
    <row r="2264" spans="3:6" x14ac:dyDescent="0.25">
      <c r="C2264" s="2" t="s">
        <v>12768</v>
      </c>
      <c r="D2264" s="2" t="s">
        <v>178</v>
      </c>
      <c r="E2264" s="2">
        <v>83</v>
      </c>
      <c r="F2264" s="2">
        <v>1738.45</v>
      </c>
    </row>
    <row r="2265" spans="3:6" x14ac:dyDescent="0.25">
      <c r="C2265" s="2" t="s">
        <v>12769</v>
      </c>
      <c r="D2265" s="2" t="s">
        <v>178</v>
      </c>
      <c r="E2265" s="2">
        <v>58</v>
      </c>
      <c r="F2265" s="2">
        <v>1150.16</v>
      </c>
    </row>
    <row r="2266" spans="3:6" x14ac:dyDescent="0.25">
      <c r="C2266" s="2" t="s">
        <v>12770</v>
      </c>
      <c r="D2266" s="2" t="s">
        <v>178</v>
      </c>
      <c r="E2266" s="2">
        <v>36</v>
      </c>
      <c r="F2266" s="2">
        <v>686.33</v>
      </c>
    </row>
    <row r="2267" spans="3:6" x14ac:dyDescent="0.25">
      <c r="C2267" s="2" t="s">
        <v>12771</v>
      </c>
      <c r="D2267" s="2" t="s">
        <v>178</v>
      </c>
      <c r="E2267" s="2">
        <v>17</v>
      </c>
      <c r="F2267" s="2">
        <v>324.92</v>
      </c>
    </row>
    <row r="2268" spans="3:6" x14ac:dyDescent="0.25">
      <c r="C2268" s="2" t="s">
        <v>12772</v>
      </c>
      <c r="D2268" s="2" t="s">
        <v>178</v>
      </c>
      <c r="E2268" s="2">
        <v>88</v>
      </c>
      <c r="F2268" s="2">
        <v>1670.519</v>
      </c>
    </row>
    <row r="2269" spans="3:6" x14ac:dyDescent="0.25">
      <c r="C2269" s="2" t="s">
        <v>12773</v>
      </c>
      <c r="D2269" s="2" t="s">
        <v>178</v>
      </c>
      <c r="E2269" s="2">
        <v>141</v>
      </c>
      <c r="F2269" s="2">
        <v>2993.2</v>
      </c>
    </row>
    <row r="2270" spans="3:6" x14ac:dyDescent="0.25">
      <c r="C2270" s="2" t="s">
        <v>12774</v>
      </c>
      <c r="D2270" s="2" t="s">
        <v>178</v>
      </c>
      <c r="E2270" s="2">
        <v>106</v>
      </c>
      <c r="F2270" s="2">
        <v>2184.75</v>
      </c>
    </row>
    <row r="2271" spans="3:6" x14ac:dyDescent="0.25">
      <c r="C2271" s="2" t="s">
        <v>12775</v>
      </c>
      <c r="D2271" s="2" t="s">
        <v>178</v>
      </c>
      <c r="E2271" s="2">
        <v>35</v>
      </c>
      <c r="F2271" s="2">
        <v>730.05</v>
      </c>
    </row>
    <row r="2272" spans="3:6" x14ac:dyDescent="0.25">
      <c r="C2272" s="2" t="s">
        <v>12776</v>
      </c>
      <c r="D2272" s="2" t="s">
        <v>178</v>
      </c>
      <c r="E2272" s="2">
        <v>78</v>
      </c>
      <c r="F2272" s="2">
        <v>1662.26</v>
      </c>
    </row>
    <row r="2273" spans="3:6" x14ac:dyDescent="0.25">
      <c r="C2273" s="2" t="s">
        <v>12777</v>
      </c>
      <c r="D2273" s="2" t="s">
        <v>178</v>
      </c>
      <c r="E2273" s="2">
        <v>40</v>
      </c>
      <c r="F2273" s="2">
        <v>793.51</v>
      </c>
    </row>
    <row r="2274" spans="3:6" x14ac:dyDescent="0.25">
      <c r="C2274" s="2" t="s">
        <v>12778</v>
      </c>
      <c r="D2274" s="2" t="s">
        <v>178</v>
      </c>
      <c r="E2274" s="2">
        <v>20</v>
      </c>
      <c r="F2274" s="2">
        <v>415.19</v>
      </c>
    </row>
    <row r="2276" spans="1:7" x14ac:dyDescent="0.25">
      <c r="A2276" s="1">
        <v>46134</v>
      </c>
      <c r="B2276" s="2" t="s">
        <v>229</v>
      </c>
      <c r="C2276" s="2" t="s">
        <v>12779</v>
      </c>
      <c r="D2276" s="2" t="s">
        <v>292</v>
      </c>
      <c r="E2276" s="2">
        <v>102</v>
      </c>
      <c r="F2276" s="2">
        <v>2010.42</v>
      </c>
      <c r="G2276" s="1">
        <v>46133</v>
      </c>
    </row>
    <row r="2277" spans="3:6" x14ac:dyDescent="0.25">
      <c r="C2277" s="2" t="s">
        <v>12780</v>
      </c>
      <c r="D2277" s="2" t="s">
        <v>292</v>
      </c>
      <c r="E2277" s="2">
        <v>102</v>
      </c>
      <c r="F2277" s="2">
        <v>2130.89</v>
      </c>
    </row>
    <row r="2278" spans="3:6" x14ac:dyDescent="0.25">
      <c r="C2278" s="2" t="s">
        <v>12781</v>
      </c>
      <c r="D2278" s="2" t="s">
        <v>292</v>
      </c>
      <c r="E2278" s="2">
        <v>143</v>
      </c>
      <c r="F2278" s="2">
        <v>2964.42</v>
      </c>
    </row>
    <row r="2279" spans="3:6" x14ac:dyDescent="0.25">
      <c r="C2279" s="2" t="s">
        <v>12782</v>
      </c>
      <c r="D2279" s="2" t="s">
        <v>292</v>
      </c>
      <c r="E2279" s="2">
        <v>143</v>
      </c>
      <c r="F2279" s="2">
        <v>3016.24</v>
      </c>
    </row>
    <row r="2280" spans="3:6" x14ac:dyDescent="0.25">
      <c r="C2280" s="2" t="s">
        <v>12783</v>
      </c>
      <c r="D2280" s="2" t="s">
        <v>292</v>
      </c>
      <c r="E2280" s="2">
        <v>48</v>
      </c>
      <c r="F2280" s="2">
        <v>970.4</v>
      </c>
    </row>
    <row r="2281" spans="3:6" x14ac:dyDescent="0.25">
      <c r="C2281" s="2" t="s">
        <v>12784</v>
      </c>
      <c r="D2281" s="2" t="s">
        <v>292</v>
      </c>
      <c r="E2281" s="2">
        <v>45</v>
      </c>
      <c r="F2281" s="2">
        <v>921.08</v>
      </c>
    </row>
    <row r="2282" spans="3:6" x14ac:dyDescent="0.25">
      <c r="C2282" s="2" t="s">
        <v>12785</v>
      </c>
      <c r="D2282" s="2" t="s">
        <v>292</v>
      </c>
      <c r="E2282" s="2">
        <v>36</v>
      </c>
      <c r="F2282" s="2">
        <v>783.9</v>
      </c>
    </row>
    <row r="2283" spans="3:6" x14ac:dyDescent="0.25">
      <c r="C2283" s="2" t="s">
        <v>12786</v>
      </c>
      <c r="D2283" s="2" t="s">
        <v>292</v>
      </c>
      <c r="E2283" s="2">
        <v>64</v>
      </c>
      <c r="F2283" s="2">
        <v>1313.669</v>
      </c>
    </row>
    <row r="2284" spans="3:6" x14ac:dyDescent="0.25">
      <c r="C2284" s="2" t="s">
        <v>12787</v>
      </c>
      <c r="D2284" s="2" t="s">
        <v>292</v>
      </c>
      <c r="E2284" s="2">
        <v>84</v>
      </c>
      <c r="F2284" s="2">
        <v>1794.22</v>
      </c>
    </row>
    <row r="2285" spans="3:6" x14ac:dyDescent="0.25">
      <c r="C2285" s="2" t="s">
        <v>12788</v>
      </c>
      <c r="D2285" s="2" t="s">
        <v>292</v>
      </c>
      <c r="E2285" s="2">
        <v>123</v>
      </c>
      <c r="F2285" s="2">
        <v>2507.97</v>
      </c>
    </row>
    <row r="2286" spans="3:6" x14ac:dyDescent="0.25">
      <c r="C2286" s="2" t="s">
        <v>12789</v>
      </c>
      <c r="D2286" s="2" t="s">
        <v>292</v>
      </c>
      <c r="E2286" s="2">
        <v>41</v>
      </c>
      <c r="F2286" s="2">
        <v>895.35</v>
      </c>
    </row>
    <row r="2287" spans="3:6" x14ac:dyDescent="0.25">
      <c r="C2287" s="2" t="s">
        <v>12790</v>
      </c>
      <c r="D2287" s="2" t="s">
        <v>292</v>
      </c>
      <c r="E2287" s="2">
        <v>60</v>
      </c>
      <c r="F2287" s="2">
        <v>451.584</v>
      </c>
    </row>
    <row r="2288" spans="3:6" x14ac:dyDescent="0.25">
      <c r="C2288" s="2" t="s">
        <v>12791</v>
      </c>
      <c r="D2288" s="2" t="s">
        <v>292</v>
      </c>
      <c r="E2288" s="2">
        <v>12</v>
      </c>
      <c r="F2288" s="2">
        <v>221.59</v>
      </c>
    </row>
    <row r="2289" spans="3:6" x14ac:dyDescent="0.25">
      <c r="C2289" s="2" t="s">
        <v>12792</v>
      </c>
      <c r="D2289" s="2" t="s">
        <v>292</v>
      </c>
      <c r="E2289" s="2">
        <v>84</v>
      </c>
      <c r="F2289" s="2">
        <v>1667.28</v>
      </c>
    </row>
    <row r="2290" spans="3:6" x14ac:dyDescent="0.25">
      <c r="C2290" s="2" t="s">
        <v>12793</v>
      </c>
      <c r="D2290" s="2" t="s">
        <v>292</v>
      </c>
      <c r="E2290" s="2">
        <v>40</v>
      </c>
      <c r="F2290" s="2">
        <v>798.38</v>
      </c>
    </row>
    <row r="2291" spans="3:6" x14ac:dyDescent="0.25">
      <c r="C2291" s="2" t="s">
        <v>12794</v>
      </c>
      <c r="D2291" s="2" t="s">
        <v>292</v>
      </c>
      <c r="E2291" s="2">
        <v>19</v>
      </c>
      <c r="F2291" s="2">
        <v>400.12</v>
      </c>
    </row>
    <row r="2292" spans="3:6" x14ac:dyDescent="0.25">
      <c r="C2292" s="2" t="s">
        <v>12795</v>
      </c>
      <c r="D2292" s="2" t="s">
        <v>292</v>
      </c>
      <c r="E2292" s="2">
        <v>59</v>
      </c>
      <c r="F2292" s="2">
        <v>1139.84</v>
      </c>
    </row>
    <row r="2293" spans="3:6" x14ac:dyDescent="0.25">
      <c r="C2293" s="2" t="s">
        <v>12796</v>
      </c>
      <c r="D2293" s="2" t="s">
        <v>292</v>
      </c>
      <c r="E2293" s="2">
        <v>23</v>
      </c>
      <c r="F2293" s="2">
        <v>452.963</v>
      </c>
    </row>
    <row r="2294" spans="3:6" x14ac:dyDescent="0.25">
      <c r="C2294" s="2" t="s">
        <v>12797</v>
      </c>
      <c r="D2294" s="2" t="s">
        <v>292</v>
      </c>
      <c r="E2294" s="2">
        <v>55</v>
      </c>
      <c r="F2294" s="2">
        <v>1171.379</v>
      </c>
    </row>
    <row r="2295" spans="3:6" x14ac:dyDescent="0.25">
      <c r="C2295" s="2" t="s">
        <v>12798</v>
      </c>
      <c r="D2295" s="2" t="s">
        <v>292</v>
      </c>
      <c r="E2295" s="2">
        <v>52</v>
      </c>
      <c r="F2295" s="2">
        <v>1060.13</v>
      </c>
    </row>
    <row r="2296" spans="3:6" x14ac:dyDescent="0.25">
      <c r="C2296" s="2" t="s">
        <v>12799</v>
      </c>
      <c r="D2296" s="2" t="s">
        <v>292</v>
      </c>
      <c r="E2296" s="2">
        <v>43</v>
      </c>
      <c r="F2296" s="2">
        <v>833.07</v>
      </c>
    </row>
    <row r="2297" spans="3:6" x14ac:dyDescent="0.25">
      <c r="C2297" s="2" t="s">
        <v>12800</v>
      </c>
      <c r="D2297" s="2" t="s">
        <v>292</v>
      </c>
      <c r="E2297" s="2">
        <v>9</v>
      </c>
      <c r="F2297" s="2">
        <v>153.52</v>
      </c>
    </row>
    <row r="2298" spans="3:6" x14ac:dyDescent="0.25">
      <c r="C2298" s="2" t="s">
        <v>12801</v>
      </c>
      <c r="D2298" s="2" t="s">
        <v>292</v>
      </c>
      <c r="E2298" s="2">
        <v>32</v>
      </c>
      <c r="F2298" s="2">
        <v>690.78</v>
      </c>
    </row>
    <row r="2299" spans="3:6" x14ac:dyDescent="0.25">
      <c r="C2299" s="2" t="s">
        <v>12802</v>
      </c>
      <c r="D2299" s="2" t="s">
        <v>292</v>
      </c>
      <c r="E2299" s="2">
        <v>8</v>
      </c>
      <c r="F2299" s="2">
        <v>129.75</v>
      </c>
    </row>
    <row r="2300" spans="3:6" x14ac:dyDescent="0.25">
      <c r="C2300" s="2" t="s">
        <v>12803</v>
      </c>
      <c r="D2300" s="2" t="s">
        <v>292</v>
      </c>
      <c r="E2300" s="2">
        <v>92</v>
      </c>
      <c r="F2300" s="2">
        <v>1820.7</v>
      </c>
    </row>
    <row r="2301" spans="3:6" x14ac:dyDescent="0.25">
      <c r="C2301" s="2" t="s">
        <v>12804</v>
      </c>
      <c r="D2301" s="2" t="s">
        <v>292</v>
      </c>
      <c r="E2301" s="2">
        <v>141</v>
      </c>
      <c r="F2301" s="2">
        <v>3047.68</v>
      </c>
    </row>
    <row r="2302" spans="3:6" x14ac:dyDescent="0.25">
      <c r="C2302" s="2" t="s">
        <v>12805</v>
      </c>
      <c r="D2302" s="2" t="s">
        <v>292</v>
      </c>
      <c r="E2302" s="2">
        <v>133</v>
      </c>
      <c r="F2302" s="2">
        <v>2125.489</v>
      </c>
    </row>
    <row r="2303" spans="3:6" x14ac:dyDescent="0.25">
      <c r="C2303" s="2" t="s">
        <v>12806</v>
      </c>
      <c r="D2303" s="2" t="s">
        <v>292</v>
      </c>
      <c r="E2303" s="2">
        <v>10</v>
      </c>
      <c r="F2303" s="2">
        <v>198.24</v>
      </c>
    </row>
    <row r="2304" spans="3:6" x14ac:dyDescent="0.25">
      <c r="C2304" s="2" t="s">
        <v>12807</v>
      </c>
      <c r="D2304" s="2" t="s">
        <v>292</v>
      </c>
      <c r="E2304" s="2">
        <v>65</v>
      </c>
      <c r="F2304" s="2">
        <v>1298.86</v>
      </c>
    </row>
    <row r="2305" spans="3:6" x14ac:dyDescent="0.25">
      <c r="C2305" s="2" t="s">
        <v>12808</v>
      </c>
      <c r="D2305" s="2" t="s">
        <v>292</v>
      </c>
      <c r="E2305" s="2">
        <v>22</v>
      </c>
      <c r="F2305" s="2">
        <v>457.84</v>
      </c>
    </row>
    <row r="2306" spans="3:6" x14ac:dyDescent="0.25">
      <c r="C2306" s="2" t="s">
        <v>12809</v>
      </c>
      <c r="D2306" s="2" t="s">
        <v>292</v>
      </c>
      <c r="E2306" s="2">
        <v>52</v>
      </c>
      <c r="F2306" s="2">
        <v>938.41</v>
      </c>
    </row>
    <row r="2307" spans="3:6" x14ac:dyDescent="0.25">
      <c r="C2307" s="2" t="s">
        <v>12810</v>
      </c>
      <c r="D2307" s="2" t="s">
        <v>292</v>
      </c>
      <c r="E2307" s="2">
        <v>7</v>
      </c>
      <c r="F2307" s="2">
        <v>109.492</v>
      </c>
    </row>
    <row r="2308" spans="3:6" x14ac:dyDescent="0.25">
      <c r="C2308" s="2" t="s">
        <v>12811</v>
      </c>
      <c r="D2308" s="2" t="s">
        <v>292</v>
      </c>
      <c r="E2308" s="2">
        <v>100</v>
      </c>
      <c r="F2308" s="2">
        <v>2097.3</v>
      </c>
    </row>
    <row r="2309" spans="3:6" x14ac:dyDescent="0.25">
      <c r="C2309" s="2" t="s">
        <v>12812</v>
      </c>
      <c r="D2309" s="2" t="s">
        <v>292</v>
      </c>
      <c r="E2309" s="2">
        <v>131</v>
      </c>
      <c r="F2309" s="2">
        <v>2671.9</v>
      </c>
    </row>
    <row r="2310" spans="3:6" x14ac:dyDescent="0.25">
      <c r="C2310" s="2" t="s">
        <v>12813</v>
      </c>
      <c r="D2310" s="2" t="s">
        <v>292</v>
      </c>
      <c r="E2310" s="2">
        <v>26</v>
      </c>
      <c r="F2310" s="2">
        <v>510.36</v>
      </c>
    </row>
    <row r="2311" spans="3:6" x14ac:dyDescent="0.25">
      <c r="C2311" s="2" t="s">
        <v>12814</v>
      </c>
      <c r="D2311" s="2" t="s">
        <v>292</v>
      </c>
      <c r="E2311" s="2">
        <v>60</v>
      </c>
      <c r="F2311" s="2">
        <v>314.1</v>
      </c>
    </row>
    <row r="2312" spans="3:6" x14ac:dyDescent="0.25">
      <c r="C2312" s="2" t="s">
        <v>12815</v>
      </c>
      <c r="D2312" s="2" t="s">
        <v>292</v>
      </c>
      <c r="E2312" s="2">
        <v>47</v>
      </c>
      <c r="F2312" s="2">
        <v>949.25</v>
      </c>
    </row>
    <row r="2313" spans="3:6" x14ac:dyDescent="0.25">
      <c r="C2313" s="2" t="s">
        <v>12816</v>
      </c>
      <c r="D2313" s="2" t="s">
        <v>292</v>
      </c>
      <c r="E2313" s="2">
        <v>52</v>
      </c>
      <c r="F2313" s="2">
        <v>1038.587</v>
      </c>
    </row>
    <row r="2314" spans="3:6" x14ac:dyDescent="0.25">
      <c r="C2314" s="2" t="s">
        <v>12817</v>
      </c>
      <c r="D2314" s="2" t="s">
        <v>292</v>
      </c>
      <c r="E2314" s="2">
        <v>94</v>
      </c>
      <c r="F2314" s="2">
        <v>1859.49</v>
      </c>
    </row>
    <row r="2315" spans="3:6" x14ac:dyDescent="0.25">
      <c r="C2315" s="2" t="s">
        <v>12818</v>
      </c>
      <c r="D2315" s="2" t="s">
        <v>292</v>
      </c>
      <c r="E2315" s="2">
        <v>89</v>
      </c>
      <c r="F2315" s="2">
        <v>1803.15</v>
      </c>
    </row>
    <row r="2316" spans="3:6" x14ac:dyDescent="0.25">
      <c r="C2316" s="2" t="s">
        <v>12819</v>
      </c>
      <c r="D2316" s="2" t="s">
        <v>292</v>
      </c>
      <c r="E2316" s="2">
        <v>20</v>
      </c>
      <c r="F2316" s="2">
        <v>106.53</v>
      </c>
    </row>
    <row r="2317" spans="3:6" x14ac:dyDescent="0.25">
      <c r="C2317" s="2" t="s">
        <v>12820</v>
      </c>
      <c r="D2317" s="2" t="s">
        <v>292</v>
      </c>
      <c r="E2317" s="2">
        <v>123</v>
      </c>
      <c r="F2317" s="2">
        <v>2682.41</v>
      </c>
    </row>
    <row r="2318" spans="3:6" x14ac:dyDescent="0.25">
      <c r="C2318" s="2" t="s">
        <v>12821</v>
      </c>
      <c r="D2318" s="2" t="s">
        <v>292</v>
      </c>
      <c r="E2318" s="2">
        <v>24</v>
      </c>
      <c r="F2318" s="2">
        <v>459.37</v>
      </c>
    </row>
    <row r="2319" spans="3:6" x14ac:dyDescent="0.25">
      <c r="C2319" s="2" t="s">
        <v>12822</v>
      </c>
      <c r="D2319" s="2" t="s">
        <v>292</v>
      </c>
      <c r="E2319" s="2">
        <v>75</v>
      </c>
      <c r="F2319" s="2">
        <v>408.23</v>
      </c>
    </row>
    <row r="2320" spans="3:6" x14ac:dyDescent="0.25">
      <c r="C2320" s="2" t="s">
        <v>12823</v>
      </c>
      <c r="D2320" s="2" t="s">
        <v>292</v>
      </c>
      <c r="E2320" s="2">
        <v>117</v>
      </c>
      <c r="F2320" s="2">
        <v>2290.62</v>
      </c>
    </row>
    <row r="2321" spans="3:6" x14ac:dyDescent="0.25">
      <c r="C2321" s="2" t="s">
        <v>12824</v>
      </c>
      <c r="D2321" s="2" t="s">
        <v>292</v>
      </c>
      <c r="E2321" s="2">
        <v>141</v>
      </c>
      <c r="F2321" s="2">
        <v>2913.19</v>
      </c>
    </row>
    <row r="2322" spans="3:6" x14ac:dyDescent="0.25">
      <c r="C2322" s="2" t="s">
        <v>12825</v>
      </c>
      <c r="D2322" s="2" t="s">
        <v>292</v>
      </c>
      <c r="E2322" s="2">
        <v>141</v>
      </c>
      <c r="F2322" s="2">
        <v>2877.74</v>
      </c>
    </row>
    <row r="2323" spans="3:6" x14ac:dyDescent="0.25">
      <c r="C2323" s="2" t="s">
        <v>12826</v>
      </c>
      <c r="D2323" s="2" t="s">
        <v>292</v>
      </c>
      <c r="E2323" s="2">
        <v>123</v>
      </c>
      <c r="F2323" s="2">
        <v>2700.77</v>
      </c>
    </row>
    <row r="2324" spans="3:6" x14ac:dyDescent="0.25">
      <c r="C2324" s="2" t="s">
        <v>12827</v>
      </c>
      <c r="D2324" s="2" t="s">
        <v>292</v>
      </c>
      <c r="E2324" s="2">
        <v>141</v>
      </c>
      <c r="F2324" s="2">
        <v>2786.51</v>
      </c>
    </row>
    <row r="2325" spans="3:6" x14ac:dyDescent="0.25">
      <c r="C2325" s="2" t="s">
        <v>12828</v>
      </c>
      <c r="D2325" s="2" t="s">
        <v>292</v>
      </c>
      <c r="E2325" s="2">
        <v>52</v>
      </c>
      <c r="F2325" s="2">
        <v>1104.54</v>
      </c>
    </row>
    <row r="2327" spans="1:7" x14ac:dyDescent="0.25">
      <c r="A2327" s="1">
        <v>46134</v>
      </c>
      <c r="B2327" s="2" t="s">
        <v>12829</v>
      </c>
      <c r="C2327" s="2" t="s">
        <v>12830</v>
      </c>
      <c r="D2327" s="2" t="s">
        <v>82</v>
      </c>
      <c r="E2327" s="2">
        <v>143</v>
      </c>
      <c r="F2327" s="2">
        <v>3039.1</v>
      </c>
      <c r="G2327" s="1">
        <v>46133</v>
      </c>
    </row>
    <row r="2328" spans="3:6" x14ac:dyDescent="0.25">
      <c r="C2328" s="2" t="s">
        <v>12831</v>
      </c>
      <c r="D2328" s="2" t="s">
        <v>82</v>
      </c>
      <c r="E2328" s="2">
        <v>143</v>
      </c>
      <c r="F2328" s="2">
        <v>3010.45</v>
      </c>
    </row>
    <row r="2329" spans="3:6" x14ac:dyDescent="0.25">
      <c r="C2329" s="2" t="s">
        <v>12832</v>
      </c>
      <c r="D2329" s="2" t="s">
        <v>82</v>
      </c>
      <c r="E2329" s="2">
        <v>144</v>
      </c>
      <c r="F2329" s="2">
        <v>3006.45</v>
      </c>
    </row>
    <row r="2330" spans="3:6" x14ac:dyDescent="0.25">
      <c r="C2330" s="2" t="s">
        <v>12833</v>
      </c>
      <c r="D2330" s="2" t="s">
        <v>82</v>
      </c>
      <c r="E2330" s="2">
        <v>143</v>
      </c>
      <c r="F2330" s="2">
        <v>3039.08</v>
      </c>
    </row>
    <row r="2331" spans="3:6" x14ac:dyDescent="0.25">
      <c r="C2331" s="2" t="s">
        <v>12834</v>
      </c>
      <c r="D2331" s="2" t="s">
        <v>82</v>
      </c>
      <c r="E2331" s="2">
        <v>94</v>
      </c>
      <c r="F2331" s="2">
        <v>1956.24</v>
      </c>
    </row>
    <row r="2332" spans="3:6" x14ac:dyDescent="0.25">
      <c r="C2332" s="2" t="s">
        <v>12835</v>
      </c>
      <c r="D2332" s="2" t="s">
        <v>82</v>
      </c>
      <c r="E2332" s="2">
        <v>49</v>
      </c>
      <c r="F2332" s="2">
        <v>996.37</v>
      </c>
    </row>
    <row r="2333" spans="3:6" x14ac:dyDescent="0.25">
      <c r="C2333" s="2" t="s">
        <v>12836</v>
      </c>
      <c r="D2333" s="2" t="s">
        <v>82</v>
      </c>
      <c r="E2333" s="2">
        <v>102</v>
      </c>
      <c r="F2333" s="2">
        <v>2144.92</v>
      </c>
    </row>
    <row r="2334" spans="3:6" x14ac:dyDescent="0.25">
      <c r="C2334" s="2" t="s">
        <v>12837</v>
      </c>
      <c r="D2334" s="2" t="s">
        <v>82</v>
      </c>
      <c r="E2334" s="2">
        <v>76</v>
      </c>
      <c r="F2334" s="2">
        <v>2407.149</v>
      </c>
    </row>
    <row r="2335" spans="3:6" x14ac:dyDescent="0.25">
      <c r="C2335" s="2" t="s">
        <v>12838</v>
      </c>
      <c r="D2335" s="2" t="s">
        <v>82</v>
      </c>
      <c r="E2335" s="2">
        <v>110</v>
      </c>
      <c r="F2335" s="2">
        <v>1234.335</v>
      </c>
    </row>
    <row r="2336" spans="3:6" x14ac:dyDescent="0.25">
      <c r="C2336" s="2" t="s">
        <v>12839</v>
      </c>
      <c r="D2336" s="2" t="s">
        <v>82</v>
      </c>
      <c r="E2336" s="2">
        <v>84</v>
      </c>
      <c r="F2336" s="2">
        <v>1773.99</v>
      </c>
    </row>
    <row r="2337" spans="3:6" x14ac:dyDescent="0.25">
      <c r="C2337" s="2" t="s">
        <v>12840</v>
      </c>
      <c r="D2337" s="2" t="s">
        <v>82</v>
      </c>
      <c r="E2337" s="2">
        <v>59</v>
      </c>
      <c r="F2337" s="2">
        <v>1262.72</v>
      </c>
    </row>
    <row r="2338" spans="3:6" x14ac:dyDescent="0.25">
      <c r="C2338" s="2" t="s">
        <v>12841</v>
      </c>
      <c r="D2338" s="2" t="s">
        <v>82</v>
      </c>
      <c r="E2338" s="2">
        <v>98</v>
      </c>
      <c r="F2338" s="2">
        <v>2021.29</v>
      </c>
    </row>
    <row r="2339" spans="3:6" x14ac:dyDescent="0.25">
      <c r="C2339" s="2" t="s">
        <v>12842</v>
      </c>
      <c r="D2339" s="2" t="s">
        <v>82</v>
      </c>
      <c r="E2339" s="2">
        <v>13</v>
      </c>
      <c r="F2339" s="2">
        <v>272.99</v>
      </c>
    </row>
    <row r="2340" spans="3:6" x14ac:dyDescent="0.25">
      <c r="C2340" s="2" t="s">
        <v>12843</v>
      </c>
      <c r="D2340" s="2" t="s">
        <v>82</v>
      </c>
      <c r="E2340" s="2">
        <v>34</v>
      </c>
      <c r="F2340" s="2">
        <f>525.17+40.75</f>
        <v>565.92</v>
      </c>
    </row>
    <row r="2341" spans="3:6" x14ac:dyDescent="0.25">
      <c r="C2341" s="2" t="s">
        <v>12844</v>
      </c>
      <c r="D2341" s="2" t="s">
        <v>82</v>
      </c>
      <c r="E2341" s="2">
        <v>123</v>
      </c>
      <c r="F2341" s="2">
        <v>1126.521</v>
      </c>
    </row>
    <row r="2342" spans="3:6" x14ac:dyDescent="0.25">
      <c r="C2342" s="2" t="s">
        <v>12845</v>
      </c>
      <c r="D2342" s="2" t="s">
        <v>82</v>
      </c>
      <c r="E2342" s="2">
        <v>123</v>
      </c>
      <c r="F2342" s="2">
        <v>1454.793</v>
      </c>
    </row>
    <row r="2343" spans="3:6" x14ac:dyDescent="0.25">
      <c r="C2343" s="2" t="s">
        <v>12846</v>
      </c>
      <c r="D2343" s="2" t="s">
        <v>82</v>
      </c>
      <c r="E2343" s="2">
        <v>90</v>
      </c>
      <c r="F2343" s="2">
        <v>1943.64</v>
      </c>
    </row>
    <row r="2344" spans="3:6" x14ac:dyDescent="0.25">
      <c r="C2344" s="2" t="s">
        <v>12847</v>
      </c>
      <c r="D2344" s="2" t="s">
        <v>82</v>
      </c>
      <c r="E2344" s="2">
        <v>33</v>
      </c>
      <c r="F2344" s="2">
        <v>664.7</v>
      </c>
    </row>
    <row r="2345" spans="3:6" x14ac:dyDescent="0.25">
      <c r="C2345" s="2" t="s">
        <v>12848</v>
      </c>
      <c r="D2345" s="2" t="s">
        <v>82</v>
      </c>
      <c r="E2345" s="2">
        <v>73</v>
      </c>
      <c r="F2345" s="2">
        <v>1512.78</v>
      </c>
    </row>
    <row r="2346" spans="3:6" x14ac:dyDescent="0.25">
      <c r="C2346" s="2" t="s">
        <v>12849</v>
      </c>
      <c r="D2346" s="2" t="s">
        <v>82</v>
      </c>
      <c r="E2346" s="2">
        <v>50</v>
      </c>
      <c r="F2346" s="2">
        <v>1061.52</v>
      </c>
    </row>
    <row r="2347" spans="3:6" x14ac:dyDescent="0.25">
      <c r="C2347" s="2" t="s">
        <v>12850</v>
      </c>
      <c r="D2347" s="2" t="s">
        <v>82</v>
      </c>
      <c r="E2347" s="2">
        <v>22</v>
      </c>
      <c r="F2347" s="2">
        <v>485.22</v>
      </c>
    </row>
    <row r="2348" spans="3:6" x14ac:dyDescent="0.25">
      <c r="C2348" s="2" t="s">
        <v>12851</v>
      </c>
      <c r="D2348" s="2" t="s">
        <v>82</v>
      </c>
      <c r="E2348" s="2">
        <v>19</v>
      </c>
      <c r="F2348" s="2">
        <v>388.95</v>
      </c>
    </row>
    <row r="2349" spans="3:6" x14ac:dyDescent="0.25">
      <c r="C2349" s="2" t="s">
        <v>12852</v>
      </c>
      <c r="D2349" s="2" t="s">
        <v>82</v>
      </c>
      <c r="E2349" s="2">
        <v>16</v>
      </c>
      <c r="F2349" s="2">
        <v>334.57</v>
      </c>
    </row>
    <row r="2350" spans="3:6" x14ac:dyDescent="0.25">
      <c r="C2350" s="2" t="s">
        <v>12853</v>
      </c>
      <c r="D2350" s="2" t="s">
        <v>82</v>
      </c>
      <c r="E2350" s="2">
        <v>61</v>
      </c>
      <c r="F2350" s="2">
        <v>1297.15</v>
      </c>
    </row>
    <row r="2351" spans="3:6" x14ac:dyDescent="0.25">
      <c r="C2351" s="2" t="s">
        <v>12854</v>
      </c>
      <c r="D2351" s="2" t="s">
        <v>82</v>
      </c>
      <c r="E2351" s="2">
        <v>16</v>
      </c>
      <c r="F2351" s="2">
        <v>339.76</v>
      </c>
    </row>
    <row r="2352" spans="3:6" x14ac:dyDescent="0.25">
      <c r="C2352" s="2" t="s">
        <v>12855</v>
      </c>
      <c r="D2352" s="2" t="s">
        <v>82</v>
      </c>
      <c r="E2352" s="2">
        <v>43</v>
      </c>
      <c r="F2352" s="2">
        <v>794.4067796610169</v>
      </c>
    </row>
    <row r="2353" spans="3:6" x14ac:dyDescent="0.25">
      <c r="C2353" s="2" t="s">
        <v>12856</v>
      </c>
      <c r="D2353" s="2" t="s">
        <v>82</v>
      </c>
      <c r="E2353" s="2">
        <v>144</v>
      </c>
      <c r="F2353" s="2">
        <v>2941.56</v>
      </c>
    </row>
    <row r="2354" spans="3:6" x14ac:dyDescent="0.25">
      <c r="C2354" s="2" t="s">
        <v>12857</v>
      </c>
      <c r="D2354" s="2" t="s">
        <v>82</v>
      </c>
      <c r="E2354" s="2">
        <v>143</v>
      </c>
      <c r="F2354" s="2">
        <v>2938.42</v>
      </c>
    </row>
    <row r="2355" spans="3:6" x14ac:dyDescent="0.25">
      <c r="C2355" s="2" t="s">
        <v>12858</v>
      </c>
      <c r="D2355" s="2" t="s">
        <v>82</v>
      </c>
      <c r="E2355" s="2">
        <v>143</v>
      </c>
      <c r="F2355" s="2">
        <v>2958</v>
      </c>
    </row>
    <row r="2356" spans="3:6" x14ac:dyDescent="0.25">
      <c r="C2356" s="2" t="s">
        <v>12859</v>
      </c>
      <c r="D2356" s="2" t="s">
        <v>82</v>
      </c>
      <c r="E2356" s="2">
        <v>102</v>
      </c>
      <c r="F2356" s="2">
        <v>2153.1</v>
      </c>
    </row>
    <row r="2357" spans="3:6" x14ac:dyDescent="0.25">
      <c r="C2357" s="2" t="s">
        <v>12860</v>
      </c>
      <c r="D2357" s="2" t="s">
        <v>82</v>
      </c>
      <c r="E2357" s="2">
        <v>102</v>
      </c>
      <c r="F2357" s="2">
        <v>2137.59</v>
      </c>
    </row>
    <row r="2358" spans="3:6" x14ac:dyDescent="0.25">
      <c r="C2358" s="2" t="s">
        <v>12861</v>
      </c>
      <c r="D2358" s="2" t="s">
        <v>82</v>
      </c>
      <c r="E2358" s="2">
        <v>102</v>
      </c>
      <c r="F2358" s="2">
        <v>2082.35</v>
      </c>
    </row>
    <row r="2359" spans="3:6" x14ac:dyDescent="0.25">
      <c r="C2359" s="2" t="s">
        <v>12862</v>
      </c>
      <c r="D2359" s="2" t="s">
        <v>82</v>
      </c>
      <c r="E2359" s="2">
        <v>90</v>
      </c>
      <c r="F2359" s="2">
        <v>1825.29</v>
      </c>
    </row>
    <row r="2360" spans="3:6" x14ac:dyDescent="0.25">
      <c r="C2360" s="2" t="s">
        <v>12863</v>
      </c>
      <c r="D2360" s="2" t="s">
        <v>82</v>
      </c>
      <c r="E2360" s="2">
        <v>53</v>
      </c>
      <c r="F2360" s="2">
        <v>1109.289</v>
      </c>
    </row>
    <row r="2361" spans="3:6" x14ac:dyDescent="0.25">
      <c r="C2361" s="2" t="s">
        <v>12864</v>
      </c>
      <c r="D2361" s="2" t="s">
        <v>82</v>
      </c>
      <c r="E2361" s="2">
        <v>102</v>
      </c>
      <c r="F2361" s="2">
        <v>2104.03</v>
      </c>
    </row>
    <row r="2362" spans="3:6" x14ac:dyDescent="0.25">
      <c r="C2362" s="2" t="s">
        <v>12865</v>
      </c>
      <c r="D2362" s="2" t="s">
        <v>82</v>
      </c>
      <c r="E2362" s="2">
        <v>71</v>
      </c>
      <c r="F2362" s="2">
        <v>1399.7</v>
      </c>
    </row>
    <row r="2363" spans="3:6" x14ac:dyDescent="0.25">
      <c r="C2363" s="2" t="s">
        <v>12866</v>
      </c>
      <c r="D2363" s="2" t="s">
        <v>82</v>
      </c>
      <c r="E2363" s="2">
        <v>73</v>
      </c>
      <c r="F2363" s="2">
        <v>1395.828</v>
      </c>
    </row>
    <row r="2364" spans="3:6" x14ac:dyDescent="0.25">
      <c r="C2364" s="2" t="s">
        <v>12867</v>
      </c>
      <c r="D2364" s="2" t="s">
        <v>82</v>
      </c>
      <c r="E2364" s="2">
        <v>26</v>
      </c>
      <c r="F2364" s="2">
        <v>562.57</v>
      </c>
    </row>
    <row r="2365" spans="3:6" x14ac:dyDescent="0.25">
      <c r="C2365" s="2" t="s">
        <v>12868</v>
      </c>
      <c r="D2365" s="2" t="s">
        <v>82</v>
      </c>
      <c r="E2365" s="2">
        <v>32</v>
      </c>
      <c r="F2365" s="2">
        <v>688.45</v>
      </c>
    </row>
    <row r="2366" spans="3:6" x14ac:dyDescent="0.25">
      <c r="C2366" s="2" t="s">
        <v>12869</v>
      </c>
      <c r="D2366" s="2" t="s">
        <v>82</v>
      </c>
      <c r="E2366" s="2">
        <v>85</v>
      </c>
      <c r="F2366" s="2">
        <v>1773.87</v>
      </c>
    </row>
    <row r="2367" spans="3:6" x14ac:dyDescent="0.25">
      <c r="C2367" s="2" t="s">
        <v>12870</v>
      </c>
      <c r="D2367" s="2" t="s">
        <v>82</v>
      </c>
      <c r="E2367" s="2">
        <v>62</v>
      </c>
      <c r="F2367" s="2">
        <v>1292.98</v>
      </c>
    </row>
    <row r="2368" spans="3:6" x14ac:dyDescent="0.25">
      <c r="C2368" s="2" t="s">
        <v>12871</v>
      </c>
      <c r="D2368" s="2" t="s">
        <v>82</v>
      </c>
      <c r="E2368" s="2">
        <v>40</v>
      </c>
      <c r="F2368" s="2">
        <v>810.28</v>
      </c>
    </row>
    <row r="2369" spans="3:6" x14ac:dyDescent="0.25">
      <c r="C2369" s="2" t="s">
        <v>12872</v>
      </c>
      <c r="D2369" s="2" t="s">
        <v>82</v>
      </c>
      <c r="E2369" s="2">
        <v>73</v>
      </c>
      <c r="F2369" s="2">
        <v>1514.47</v>
      </c>
    </row>
    <row r="2370" spans="3:6" x14ac:dyDescent="0.25">
      <c r="C2370" s="2" t="s">
        <v>12873</v>
      </c>
      <c r="D2370" s="2" t="s">
        <v>82</v>
      </c>
      <c r="E2370" s="2">
        <v>70</v>
      </c>
      <c r="F2370" s="2">
        <v>1426.529</v>
      </c>
    </row>
    <row r="2372" spans="1:7" x14ac:dyDescent="0.25">
      <c r="A2372" s="1">
        <v>46134</v>
      </c>
      <c r="B2372" s="2" t="s">
        <v>7</v>
      </c>
      <c r="C2372" s="2" t="s">
        <v>12874</v>
      </c>
      <c r="D2372" s="2" t="s">
        <v>9</v>
      </c>
      <c r="E2372" s="2">
        <v>88</v>
      </c>
      <c r="F2372" s="2">
        <v>1849.17</v>
      </c>
      <c r="G2372" s="1">
        <v>46133</v>
      </c>
    </row>
    <row r="2373" spans="3:6" x14ac:dyDescent="0.25">
      <c r="C2373" s="2" t="s">
        <v>12875</v>
      </c>
      <c r="D2373" s="2" t="s">
        <v>9</v>
      </c>
      <c r="E2373" s="2">
        <v>83</v>
      </c>
      <c r="F2373" s="2">
        <v>1734.73</v>
      </c>
    </row>
    <row r="2375" spans="1:7" x14ac:dyDescent="0.25">
      <c r="A2375" s="1">
        <v>46134</v>
      </c>
      <c r="B2375" s="2" t="s">
        <v>7875</v>
      </c>
      <c r="C2375" s="2" t="s">
        <v>12876</v>
      </c>
      <c r="D2375" s="2" t="s">
        <v>59</v>
      </c>
      <c r="E2375" s="2">
        <v>215</v>
      </c>
      <c r="F2375" s="2">
        <v>4425.09</v>
      </c>
      <c r="G2375" s="1">
        <v>46132</v>
      </c>
    </row>
    <row r="2376" spans="3:6" x14ac:dyDescent="0.25">
      <c r="C2376" s="2" t="s">
        <v>12877</v>
      </c>
      <c r="D2376" s="2" t="s">
        <v>59</v>
      </c>
      <c r="E2376" s="2">
        <v>173</v>
      </c>
      <c r="F2376" s="2">
        <v>3621.196</v>
      </c>
    </row>
    <row r="2377" spans="3:6" x14ac:dyDescent="0.25">
      <c r="C2377" s="2" t="s">
        <v>12878</v>
      </c>
      <c r="D2377" s="2" t="s">
        <v>59</v>
      </c>
      <c r="E2377" s="2">
        <v>251</v>
      </c>
      <c r="F2377" s="2">
        <v>4849.7</v>
      </c>
    </row>
    <row r="2378" spans="3:6" x14ac:dyDescent="0.25">
      <c r="C2378" s="2" t="s">
        <v>12879</v>
      </c>
      <c r="D2378" s="2" t="s">
        <v>59</v>
      </c>
      <c r="E2378" s="2">
        <v>102</v>
      </c>
      <c r="F2378" s="2">
        <v>1952.339</v>
      </c>
    </row>
    <row r="2379" spans="3:6" x14ac:dyDescent="0.25">
      <c r="C2379" s="2" t="s">
        <v>12880</v>
      </c>
      <c r="D2379" s="2" t="s">
        <v>59</v>
      </c>
      <c r="E2379" s="2">
        <v>298</v>
      </c>
      <c r="F2379" s="2">
        <v>5373.319</v>
      </c>
    </row>
    <row r="2380" spans="3:6" x14ac:dyDescent="0.25">
      <c r="C2380" s="2" t="s">
        <v>12881</v>
      </c>
      <c r="D2380" s="2" t="s">
        <v>59</v>
      </c>
      <c r="E2380" s="2">
        <v>298</v>
      </c>
      <c r="F2380" s="2">
        <v>5612.057</v>
      </c>
    </row>
    <row r="2381" spans="3:6" x14ac:dyDescent="0.25">
      <c r="C2381" s="2" t="s">
        <v>12882</v>
      </c>
      <c r="D2381" s="2" t="s">
        <v>59</v>
      </c>
      <c r="E2381" s="2">
        <v>149</v>
      </c>
      <c r="F2381" s="2">
        <v>2834.56</v>
      </c>
    </row>
    <row r="2383" spans="1:7" x14ac:dyDescent="0.25">
      <c r="A2383" s="1">
        <v>46134</v>
      </c>
      <c r="B2383" s="2" t="s">
        <v>427</v>
      </c>
      <c r="C2383" s="2" t="s">
        <v>12883</v>
      </c>
      <c r="D2383" s="2" t="s">
        <v>59</v>
      </c>
      <c r="E2383" s="2">
        <v>149</v>
      </c>
      <c r="F2383" s="2">
        <v>2853.759</v>
      </c>
      <c r="G2383" s="1">
        <v>46132</v>
      </c>
    </row>
    <row r="2384" spans="3:6" x14ac:dyDescent="0.25">
      <c r="C2384" s="2" t="s">
        <v>12884</v>
      </c>
      <c r="D2384" s="2" t="s">
        <v>59</v>
      </c>
      <c r="E2384" s="2">
        <v>149</v>
      </c>
      <c r="F2384" s="2">
        <v>3059.67</v>
      </c>
    </row>
    <row r="2385" spans="3:6" x14ac:dyDescent="0.25">
      <c r="C2385" s="2" t="s">
        <v>12885</v>
      </c>
      <c r="D2385" s="2" t="s">
        <v>59</v>
      </c>
      <c r="E2385" s="2">
        <v>149</v>
      </c>
      <c r="F2385" s="2">
        <v>2526.9</v>
      </c>
    </row>
    <row r="2386" spans="3:6" x14ac:dyDescent="0.25">
      <c r="C2386" s="2" t="s">
        <v>12886</v>
      </c>
      <c r="D2386" s="2" t="s">
        <v>59</v>
      </c>
      <c r="E2386" s="2">
        <v>149</v>
      </c>
      <c r="F2386" s="2">
        <v>2736.259</v>
      </c>
    </row>
    <row r="2387" spans="3:6" x14ac:dyDescent="0.25">
      <c r="C2387" s="2" t="s">
        <v>12887</v>
      </c>
      <c r="D2387" s="2" t="s">
        <v>59</v>
      </c>
      <c r="E2387" s="2">
        <v>149</v>
      </c>
      <c r="F2387" s="2">
        <v>2834.2</v>
      </c>
    </row>
    <row r="2388" spans="3:6" x14ac:dyDescent="0.25">
      <c r="C2388" s="2" t="s">
        <v>12888</v>
      </c>
      <c r="D2388" s="2" t="s">
        <v>59</v>
      </c>
      <c r="E2388" s="2">
        <v>149</v>
      </c>
      <c r="F2388" s="2">
        <v>3013.82</v>
      </c>
    </row>
    <row r="2389" spans="3:6" x14ac:dyDescent="0.25">
      <c r="C2389" s="2" t="s">
        <v>12889</v>
      </c>
      <c r="D2389" s="2" t="s">
        <v>59</v>
      </c>
      <c r="E2389" s="2">
        <v>149</v>
      </c>
      <c r="F2389" s="2">
        <v>2798.76</v>
      </c>
    </row>
    <row r="2391" spans="1:7" x14ac:dyDescent="0.25">
      <c r="A2391" s="1">
        <v>46135</v>
      </c>
      <c r="B2391" s="2" t="s">
        <v>433</v>
      </c>
      <c r="C2391" s="2" t="s">
        <v>12890</v>
      </c>
      <c r="D2391" s="2" t="s">
        <v>73</v>
      </c>
      <c r="E2391" s="2">
        <v>85</v>
      </c>
      <c r="F2391" s="2">
        <v>1758.979</v>
      </c>
      <c r="G2391" s="1">
        <v>46133</v>
      </c>
    </row>
    <row r="2392" spans="3:6" x14ac:dyDescent="0.25">
      <c r="C2392" s="2" t="s">
        <v>12891</v>
      </c>
      <c r="D2392" s="2" t="s">
        <v>73</v>
      </c>
      <c r="E2392" s="2">
        <v>54</v>
      </c>
      <c r="F2392" s="2">
        <v>1057.86</v>
      </c>
    </row>
    <row r="2393" spans="3:6" x14ac:dyDescent="0.25">
      <c r="C2393" s="2" t="s">
        <v>12892</v>
      </c>
      <c r="D2393" s="2" t="s">
        <v>73</v>
      </c>
      <c r="E2393" s="2">
        <v>42</v>
      </c>
      <c r="F2393" s="2">
        <v>771.77</v>
      </c>
    </row>
    <row r="2394" spans="3:6" x14ac:dyDescent="0.25">
      <c r="C2394" s="2" t="s">
        <v>12893</v>
      </c>
      <c r="D2394" s="2" t="s">
        <v>73</v>
      </c>
      <c r="E2394" s="2">
        <v>10</v>
      </c>
      <c r="F2394" s="2">
        <v>161.4</v>
      </c>
    </row>
    <row r="2395" spans="3:6" x14ac:dyDescent="0.25">
      <c r="C2395" s="2" t="s">
        <v>12894</v>
      </c>
      <c r="D2395" s="2" t="s">
        <v>73</v>
      </c>
      <c r="E2395" s="2">
        <v>61</v>
      </c>
      <c r="F2395" s="2">
        <v>1153.13</v>
      </c>
    </row>
    <row r="2396" spans="3:6" x14ac:dyDescent="0.25">
      <c r="C2396" s="2" t="s">
        <v>12895</v>
      </c>
      <c r="D2396" s="2" t="s">
        <v>73</v>
      </c>
      <c r="E2396" s="2">
        <v>24</v>
      </c>
      <c r="F2396" s="2">
        <v>428.59</v>
      </c>
    </row>
    <row r="2397" spans="3:6" x14ac:dyDescent="0.25">
      <c r="C2397" s="2" t="s">
        <v>12896</v>
      </c>
      <c r="D2397" s="2" t="s">
        <v>73</v>
      </c>
      <c r="E2397" s="2">
        <v>6</v>
      </c>
      <c r="F2397" s="2">
        <v>107.49</v>
      </c>
    </row>
    <row r="2399" spans="1:7" x14ac:dyDescent="0.25">
      <c r="A2399" s="1">
        <v>46135</v>
      </c>
      <c r="B2399" s="2" t="s">
        <v>7</v>
      </c>
      <c r="C2399" s="2" t="s">
        <v>12897</v>
      </c>
      <c r="D2399" s="2" t="s">
        <v>9</v>
      </c>
      <c r="E2399" s="2">
        <v>99</v>
      </c>
      <c r="F2399" s="2">
        <v>1950.171</v>
      </c>
      <c r="G2399" s="1">
        <v>46134</v>
      </c>
    </row>
    <row r="2400" spans="3:6" x14ac:dyDescent="0.25">
      <c r="C2400" s="2" t="s">
        <v>12898</v>
      </c>
      <c r="D2400" s="2" t="s">
        <v>9</v>
      </c>
      <c r="E2400" s="2">
        <v>99</v>
      </c>
      <c r="F2400" s="2">
        <v>1840.164</v>
      </c>
    </row>
    <row r="2402" spans="1:7" x14ac:dyDescent="0.25">
      <c r="A2402" s="1">
        <v>46135</v>
      </c>
      <c r="B2402" s="2" t="s">
        <v>1626</v>
      </c>
      <c r="C2402" s="2" t="s">
        <v>12899</v>
      </c>
      <c r="D2402" s="2" t="s">
        <v>59</v>
      </c>
      <c r="E2402" s="2">
        <v>131</v>
      </c>
      <c r="F2402" s="2">
        <v>2608.39</v>
      </c>
      <c r="G2402" s="1">
        <v>46134</v>
      </c>
    </row>
    <row r="2403" spans="3:6" x14ac:dyDescent="0.25">
      <c r="C2403" s="2" t="s">
        <v>12900</v>
      </c>
      <c r="D2403" s="2" t="s">
        <v>59</v>
      </c>
      <c r="E2403" s="2">
        <v>263</v>
      </c>
      <c r="F2403" s="2">
        <v>5809.891</v>
      </c>
    </row>
    <row r="2404" spans="3:6" x14ac:dyDescent="0.25">
      <c r="C2404" s="2" t="s">
        <v>12901</v>
      </c>
      <c r="D2404" s="2" t="s">
        <v>59</v>
      </c>
      <c r="E2404" s="2">
        <v>149</v>
      </c>
      <c r="F2404" s="2">
        <v>2778.019</v>
      </c>
    </row>
    <row r="2405" spans="3:6" x14ac:dyDescent="0.25">
      <c r="C2405" s="2" t="s">
        <v>12902</v>
      </c>
      <c r="D2405" s="2" t="s">
        <v>59</v>
      </c>
      <c r="E2405" s="2">
        <v>102</v>
      </c>
      <c r="F2405" s="2">
        <v>1988.34</v>
      </c>
    </row>
    <row r="2406" spans="3:6" x14ac:dyDescent="0.25">
      <c r="C2406" s="2" t="s">
        <v>12903</v>
      </c>
      <c r="D2406" s="2" t="s">
        <v>59</v>
      </c>
      <c r="E2406" s="2">
        <v>251</v>
      </c>
      <c r="F2406" s="2">
        <v>4553.588</v>
      </c>
    </row>
    <row r="2407" spans="3:6" x14ac:dyDescent="0.25">
      <c r="C2407" s="2" t="s">
        <v>12904</v>
      </c>
      <c r="D2407" s="2" t="s">
        <v>59</v>
      </c>
      <c r="E2407" s="2">
        <v>298</v>
      </c>
      <c r="F2407" s="2">
        <v>5596.808</v>
      </c>
    </row>
    <row r="2408" spans="3:6" x14ac:dyDescent="0.25">
      <c r="C2408" s="2" t="s">
        <v>12905</v>
      </c>
      <c r="D2408" s="2" t="s">
        <v>59</v>
      </c>
      <c r="E2408" s="2">
        <v>149</v>
      </c>
      <c r="F2408" s="2">
        <v>2633.77</v>
      </c>
    </row>
    <row r="2410" spans="1:7" x14ac:dyDescent="0.25">
      <c r="A2410" s="1">
        <v>46136</v>
      </c>
      <c r="B2410" s="2" t="s">
        <v>71</v>
      </c>
      <c r="C2410" s="2" t="s">
        <v>12906</v>
      </c>
      <c r="D2410" s="2" t="s">
        <v>73</v>
      </c>
      <c r="E2410" s="2">
        <v>9</v>
      </c>
      <c r="F2410" s="2">
        <v>158.2</v>
      </c>
      <c r="G2410" s="1">
        <v>46135</v>
      </c>
    </row>
    <row r="2411" spans="3:6" x14ac:dyDescent="0.25">
      <c r="C2411" s="2" t="s">
        <v>12907</v>
      </c>
      <c r="D2411" s="2" t="s">
        <v>73</v>
      </c>
      <c r="E2411" s="2">
        <v>40</v>
      </c>
      <c r="F2411" s="2">
        <v>803.07</v>
      </c>
    </row>
    <row r="2412" spans="3:6" x14ac:dyDescent="0.25">
      <c r="C2412" s="2" t="s">
        <v>12908</v>
      </c>
      <c r="D2412" s="2" t="s">
        <v>73</v>
      </c>
      <c r="E2412" s="2">
        <v>52</v>
      </c>
      <c r="F2412" s="2">
        <v>958.94</v>
      </c>
    </row>
    <row r="2413" spans="3:6" x14ac:dyDescent="0.25">
      <c r="C2413" s="2" t="s">
        <v>12909</v>
      </c>
      <c r="D2413" s="2" t="s">
        <v>73</v>
      </c>
      <c r="E2413" s="2">
        <v>34</v>
      </c>
      <c r="F2413" s="2">
        <v>598.5</v>
      </c>
    </row>
    <row r="2414" spans="3:6" x14ac:dyDescent="0.25">
      <c r="C2414" s="2" t="s">
        <v>12910</v>
      </c>
      <c r="D2414" s="2" t="s">
        <v>73</v>
      </c>
      <c r="E2414" s="2">
        <v>65</v>
      </c>
      <c r="F2414" s="2">
        <v>1268.339</v>
      </c>
    </row>
    <row r="2416" spans="1:7" x14ac:dyDescent="0.25">
      <c r="A2416" s="1">
        <v>46136</v>
      </c>
      <c r="B2416" s="2" t="s">
        <v>229</v>
      </c>
      <c r="C2416" s="2" t="s">
        <v>12911</v>
      </c>
      <c r="D2416" s="2" t="s">
        <v>82</v>
      </c>
      <c r="E2416" s="2">
        <v>123</v>
      </c>
      <c r="F2416" s="2">
        <v>2562.53</v>
      </c>
      <c r="G2416" s="1">
        <v>46135</v>
      </c>
    </row>
    <row r="2417" spans="3:6" x14ac:dyDescent="0.25">
      <c r="C2417" s="2" t="s">
        <v>12912</v>
      </c>
      <c r="D2417" s="2" t="s">
        <v>82</v>
      </c>
      <c r="E2417" s="2">
        <v>123</v>
      </c>
      <c r="F2417" s="2">
        <v>2606.75</v>
      </c>
    </row>
    <row r="2418" spans="3:6" x14ac:dyDescent="0.25">
      <c r="C2418" s="2" t="s">
        <v>12913</v>
      </c>
      <c r="D2418" s="2" t="s">
        <v>82</v>
      </c>
      <c r="E2418" s="2">
        <v>123</v>
      </c>
      <c r="F2418" s="2">
        <v>2428.935</v>
      </c>
    </row>
    <row r="2419" spans="3:6" x14ac:dyDescent="0.25">
      <c r="C2419" s="2" t="s">
        <v>12914</v>
      </c>
      <c r="D2419" s="2" t="s">
        <v>82</v>
      </c>
      <c r="E2419" s="2">
        <v>80</v>
      </c>
      <c r="F2419" s="2">
        <v>1498.929</v>
      </c>
    </row>
    <row r="2420" spans="3:6" x14ac:dyDescent="0.25">
      <c r="C2420" s="2" t="s">
        <v>12915</v>
      </c>
      <c r="D2420" s="2" t="s">
        <v>82</v>
      </c>
      <c r="E2420" s="2">
        <v>43</v>
      </c>
      <c r="F2420" s="2">
        <v>877.51</v>
      </c>
    </row>
    <row r="2421" spans="3:6" x14ac:dyDescent="0.25">
      <c r="C2421" s="2" t="s">
        <v>12916</v>
      </c>
      <c r="D2421" s="2" t="s">
        <v>82</v>
      </c>
      <c r="E2421" s="2">
        <v>134</v>
      </c>
      <c r="F2421" s="2">
        <v>2767.2</v>
      </c>
    </row>
    <row r="2422" spans="3:6" x14ac:dyDescent="0.25">
      <c r="C2422" s="2" t="s">
        <v>12917</v>
      </c>
      <c r="D2422" s="2" t="s">
        <v>82</v>
      </c>
      <c r="E2422" s="2">
        <v>230</v>
      </c>
      <c r="F2422" s="2">
        <v>990.619</v>
      </c>
    </row>
    <row r="2423" spans="3:6" x14ac:dyDescent="0.25">
      <c r="C2423" s="2" t="s">
        <v>12918</v>
      </c>
      <c r="D2423" s="2" t="s">
        <v>82</v>
      </c>
      <c r="E2423" s="2">
        <v>75</v>
      </c>
      <c r="F2423" s="2">
        <v>1410.76</v>
      </c>
    </row>
    <row r="2424" spans="3:6" x14ac:dyDescent="0.25">
      <c r="C2424" s="2" t="s">
        <v>12919</v>
      </c>
      <c r="D2424" s="2" t="s">
        <v>82</v>
      </c>
      <c r="E2424" s="2">
        <v>130</v>
      </c>
      <c r="F2424" s="2">
        <v>2722.05</v>
      </c>
    </row>
    <row r="2425" spans="3:6" x14ac:dyDescent="0.25">
      <c r="C2425" s="2" t="s">
        <v>12920</v>
      </c>
      <c r="D2425" s="2" t="s">
        <v>82</v>
      </c>
      <c r="E2425" s="2">
        <v>11</v>
      </c>
      <c r="F2425" s="2">
        <v>231.81</v>
      </c>
    </row>
    <row r="2426" spans="3:6" x14ac:dyDescent="0.25">
      <c r="C2426" s="2" t="s">
        <v>12921</v>
      </c>
      <c r="D2426" s="2" t="s">
        <v>82</v>
      </c>
      <c r="E2426" s="2">
        <v>77</v>
      </c>
      <c r="F2426" s="2">
        <v>1572.58</v>
      </c>
    </row>
    <row r="2427" spans="3:6" x14ac:dyDescent="0.25">
      <c r="C2427" s="2" t="s">
        <v>12922</v>
      </c>
      <c r="D2427" s="2" t="s">
        <v>82</v>
      </c>
      <c r="E2427" s="2">
        <v>5</v>
      </c>
      <c r="F2427" s="2">
        <v>87.79</v>
      </c>
    </row>
    <row r="2428" spans="3:6" x14ac:dyDescent="0.25">
      <c r="C2428" s="2" t="s">
        <v>12923</v>
      </c>
      <c r="D2428" s="2" t="s">
        <v>82</v>
      </c>
      <c r="E2428" s="2">
        <v>54</v>
      </c>
      <c r="F2428" s="2">
        <v>1109.07</v>
      </c>
    </row>
    <row r="2429" spans="3:6" x14ac:dyDescent="0.25">
      <c r="C2429" s="2" t="s">
        <v>12924</v>
      </c>
      <c r="D2429" s="2" t="s">
        <v>82</v>
      </c>
      <c r="E2429" s="2">
        <v>141</v>
      </c>
      <c r="F2429" s="2">
        <v>2882.379</v>
      </c>
    </row>
    <row r="2430" spans="3:6" x14ac:dyDescent="0.25">
      <c r="C2430" s="2" t="s">
        <v>12925</v>
      </c>
      <c r="D2430" s="2" t="s">
        <v>82</v>
      </c>
      <c r="E2430" s="2">
        <v>97</v>
      </c>
      <c r="F2430" s="2">
        <v>1973.66</v>
      </c>
    </row>
    <row r="2431" spans="3:6" x14ac:dyDescent="0.25">
      <c r="C2431" s="2" t="s">
        <v>12926</v>
      </c>
      <c r="D2431" s="2" t="s">
        <v>82</v>
      </c>
      <c r="E2431" s="2">
        <v>24</v>
      </c>
      <c r="F2431" s="2">
        <v>487.05</v>
      </c>
    </row>
    <row r="2432" spans="3:6" x14ac:dyDescent="0.25">
      <c r="C2432" s="2" t="s">
        <v>12927</v>
      </c>
      <c r="D2432" s="2" t="s">
        <v>82</v>
      </c>
      <c r="E2432" s="2">
        <v>20</v>
      </c>
      <c r="F2432" s="2">
        <v>395.71</v>
      </c>
    </row>
    <row r="2433" spans="3:6" x14ac:dyDescent="0.25">
      <c r="C2433" s="2" t="s">
        <v>12928</v>
      </c>
      <c r="D2433" s="2" t="s">
        <v>82</v>
      </c>
      <c r="E2433" s="2">
        <v>141</v>
      </c>
      <c r="F2433" s="2">
        <v>2831.04</v>
      </c>
    </row>
    <row r="2434" spans="3:6" x14ac:dyDescent="0.25">
      <c r="C2434" s="2" t="s">
        <v>12929</v>
      </c>
      <c r="D2434" s="2" t="s">
        <v>82</v>
      </c>
      <c r="E2434" s="2">
        <v>72</v>
      </c>
      <c r="F2434" s="2">
        <v>2101.601</v>
      </c>
    </row>
    <row r="2435" spans="3:6" x14ac:dyDescent="0.25">
      <c r="C2435" s="2" t="s">
        <v>12930</v>
      </c>
      <c r="D2435" s="2" t="s">
        <v>82</v>
      </c>
      <c r="E2435" s="2">
        <v>101</v>
      </c>
      <c r="F2435" s="2">
        <v>2228.848</v>
      </c>
    </row>
    <row r="2436" spans="3:6" x14ac:dyDescent="0.25">
      <c r="C2436" s="2" t="s">
        <v>12931</v>
      </c>
      <c r="D2436" s="2" t="s">
        <v>82</v>
      </c>
      <c r="E2436" s="2">
        <v>72</v>
      </c>
      <c r="F2436" s="2">
        <v>1820.051</v>
      </c>
    </row>
    <row r="2437" spans="3:6" x14ac:dyDescent="0.25">
      <c r="C2437" s="2" t="s">
        <v>12932</v>
      </c>
      <c r="D2437" s="2" t="s">
        <v>82</v>
      </c>
      <c r="E2437" s="2">
        <v>102</v>
      </c>
      <c r="F2437" s="2">
        <v>2049.999</v>
      </c>
    </row>
    <row r="2438" spans="3:6" x14ac:dyDescent="0.25">
      <c r="C2438" s="2" t="s">
        <v>12933</v>
      </c>
      <c r="D2438" s="2" t="s">
        <v>82</v>
      </c>
      <c r="E2438" s="2">
        <v>102</v>
      </c>
      <c r="F2438" s="2">
        <v>1899.19</v>
      </c>
    </row>
    <row r="2439" spans="3:6" x14ac:dyDescent="0.25">
      <c r="C2439" s="2" t="s">
        <v>12934</v>
      </c>
      <c r="D2439" s="2" t="s">
        <v>82</v>
      </c>
      <c r="E2439" s="2">
        <v>37</v>
      </c>
      <c r="F2439" s="2">
        <v>725.79</v>
      </c>
    </row>
    <row r="2440" spans="3:6" x14ac:dyDescent="0.25">
      <c r="C2440" s="2" t="s">
        <v>12935</v>
      </c>
      <c r="D2440" s="2" t="s">
        <v>82</v>
      </c>
      <c r="E2440" s="2">
        <v>19</v>
      </c>
      <c r="F2440" s="2">
        <v>359.45</v>
      </c>
    </row>
    <row r="2441" spans="3:6" x14ac:dyDescent="0.25">
      <c r="C2441" s="2" t="s">
        <v>12936</v>
      </c>
      <c r="D2441" s="2" t="s">
        <v>82</v>
      </c>
      <c r="E2441" s="2">
        <v>20</v>
      </c>
      <c r="F2441" s="2">
        <f>331.33+16.45</f>
        <v>347.78</v>
      </c>
    </row>
    <row r="2442" spans="3:6" x14ac:dyDescent="0.25">
      <c r="C2442" s="2" t="s">
        <v>12937</v>
      </c>
      <c r="D2442" s="2" t="s">
        <v>82</v>
      </c>
      <c r="E2442" s="2">
        <v>17</v>
      </c>
      <c r="F2442" s="2">
        <v>226.05</v>
      </c>
    </row>
    <row r="2443" spans="3:6" x14ac:dyDescent="0.25">
      <c r="C2443" s="2" t="s">
        <v>12938</v>
      </c>
      <c r="D2443" s="2" t="s">
        <v>82</v>
      </c>
      <c r="E2443" s="2">
        <v>13</v>
      </c>
      <c r="F2443" s="2">
        <v>146.88</v>
      </c>
    </row>
    <row r="2444" spans="3:6" x14ac:dyDescent="0.25">
      <c r="C2444" s="2" t="s">
        <v>12939</v>
      </c>
      <c r="D2444" s="2" t="s">
        <v>82</v>
      </c>
      <c r="E2444" s="2">
        <v>45</v>
      </c>
      <c r="F2444" s="2">
        <v>431.071</v>
      </c>
    </row>
    <row r="2445" spans="3:6" x14ac:dyDescent="0.25">
      <c r="C2445" s="2" t="s">
        <v>12940</v>
      </c>
      <c r="D2445" s="2" t="s">
        <v>82</v>
      </c>
      <c r="E2445" s="2">
        <v>42</v>
      </c>
      <c r="F2445" s="2">
        <v>824.45</v>
      </c>
    </row>
    <row r="2446" spans="3:6" x14ac:dyDescent="0.25">
      <c r="C2446" s="2" t="s">
        <v>12941</v>
      </c>
      <c r="D2446" s="2" t="s">
        <v>82</v>
      </c>
      <c r="E2446" s="2">
        <v>80</v>
      </c>
      <c r="F2446" s="2">
        <v>1590</v>
      </c>
    </row>
    <row r="2447" spans="3:6" x14ac:dyDescent="0.25">
      <c r="C2447" s="2" t="s">
        <v>12942</v>
      </c>
      <c r="D2447" s="2" t="s">
        <v>82</v>
      </c>
      <c r="E2447" s="2">
        <v>22</v>
      </c>
      <c r="F2447" s="2">
        <v>450.62</v>
      </c>
    </row>
    <row r="2448" spans="3:6" x14ac:dyDescent="0.25">
      <c r="C2448" s="2" t="s">
        <v>12943</v>
      </c>
      <c r="D2448" s="2" t="s">
        <v>82</v>
      </c>
      <c r="E2448" s="2">
        <v>35</v>
      </c>
      <c r="F2448" s="2">
        <v>708.44</v>
      </c>
    </row>
    <row r="2449" spans="3:6" x14ac:dyDescent="0.25">
      <c r="C2449" s="2" t="s">
        <v>12944</v>
      </c>
      <c r="D2449" s="2" t="s">
        <v>82</v>
      </c>
      <c r="E2449" s="2">
        <v>106</v>
      </c>
      <c r="F2449" s="2">
        <v>2201.88</v>
      </c>
    </row>
    <row r="2450" spans="3:6" x14ac:dyDescent="0.25">
      <c r="C2450" s="2" t="s">
        <v>12945</v>
      </c>
      <c r="D2450" s="2" t="s">
        <v>82</v>
      </c>
      <c r="E2450" s="2">
        <v>86</v>
      </c>
      <c r="F2450" s="2">
        <v>1817.8</v>
      </c>
    </row>
    <row r="2451" spans="3:6" x14ac:dyDescent="0.25">
      <c r="C2451" s="2" t="s">
        <v>12946</v>
      </c>
      <c r="D2451" s="2" t="s">
        <v>82</v>
      </c>
      <c r="E2451" s="2">
        <v>55</v>
      </c>
      <c r="F2451" s="2">
        <v>1118.01</v>
      </c>
    </row>
    <row r="2452" spans="3:6" x14ac:dyDescent="0.25">
      <c r="C2452" s="2" t="s">
        <v>12947</v>
      </c>
      <c r="D2452" s="2" t="s">
        <v>82</v>
      </c>
      <c r="E2452" s="2">
        <v>141</v>
      </c>
      <c r="F2452" s="2">
        <v>2898.19</v>
      </c>
    </row>
    <row r="2453" spans="3:6" x14ac:dyDescent="0.25">
      <c r="C2453" s="2" t="s">
        <v>12948</v>
      </c>
      <c r="D2453" s="2" t="s">
        <v>82</v>
      </c>
      <c r="E2453" s="2">
        <v>90</v>
      </c>
      <c r="F2453" s="2">
        <v>1876.08</v>
      </c>
    </row>
    <row r="2454" spans="3:6" x14ac:dyDescent="0.25">
      <c r="C2454" s="2" t="s">
        <v>12949</v>
      </c>
      <c r="D2454" s="2" t="s">
        <v>82</v>
      </c>
      <c r="E2454" s="2">
        <v>51</v>
      </c>
      <c r="F2454" s="2">
        <v>1078.94</v>
      </c>
    </row>
    <row r="2455" spans="3:6" x14ac:dyDescent="0.25">
      <c r="C2455" s="2" t="s">
        <v>12950</v>
      </c>
      <c r="D2455" s="2" t="s">
        <v>82</v>
      </c>
      <c r="E2455" s="2">
        <v>91</v>
      </c>
      <c r="F2455" s="2">
        <v>1855.39</v>
      </c>
    </row>
    <row r="2456" spans="3:6" x14ac:dyDescent="0.25">
      <c r="C2456" s="2" t="s">
        <v>12951</v>
      </c>
      <c r="D2456" s="2" t="s">
        <v>82</v>
      </c>
      <c r="E2456" s="2">
        <v>50</v>
      </c>
      <c r="F2456" s="2">
        <v>1070.62</v>
      </c>
    </row>
    <row r="2457" spans="3:6" x14ac:dyDescent="0.25">
      <c r="C2457" s="2" t="s">
        <v>12952</v>
      </c>
      <c r="D2457" s="2" t="s">
        <v>82</v>
      </c>
      <c r="E2457" s="2">
        <v>58</v>
      </c>
      <c r="F2457" s="2">
        <v>1208.49</v>
      </c>
    </row>
    <row r="2458" spans="3:6" x14ac:dyDescent="0.25">
      <c r="C2458" s="2" t="s">
        <v>12953</v>
      </c>
      <c r="D2458" s="2" t="s">
        <v>82</v>
      </c>
      <c r="E2458" s="2">
        <v>43</v>
      </c>
      <c r="F2458" s="2">
        <v>885.7</v>
      </c>
    </row>
    <row r="2459" spans="3:6" x14ac:dyDescent="0.25">
      <c r="C2459" s="2" t="s">
        <v>12954</v>
      </c>
      <c r="D2459" s="2" t="s">
        <v>82</v>
      </c>
      <c r="E2459" s="2">
        <v>40</v>
      </c>
      <c r="F2459" s="2">
        <v>826.4</v>
      </c>
    </row>
    <row r="2461" spans="1:7" x14ac:dyDescent="0.25">
      <c r="A2461" s="1">
        <v>46136</v>
      </c>
      <c r="B2461" s="2" t="s">
        <v>897</v>
      </c>
      <c r="C2461" s="2" t="s">
        <v>12955</v>
      </c>
      <c r="D2461" s="2" t="s">
        <v>292</v>
      </c>
      <c r="E2461" s="2">
        <v>8</v>
      </c>
      <c r="F2461" s="2">
        <v>140</v>
      </c>
      <c r="G2461" s="1">
        <v>46142</v>
      </c>
    </row>
    <row r="2462" spans="3:6" x14ac:dyDescent="0.25">
      <c r="C2462" s="2" t="s">
        <v>12956</v>
      </c>
      <c r="D2462" s="2" t="s">
        <v>292</v>
      </c>
      <c r="E2462" s="2">
        <v>92</v>
      </c>
      <c r="F2462" s="2">
        <v>1861.57</v>
      </c>
    </row>
    <row r="2463" spans="3:6" x14ac:dyDescent="0.25">
      <c r="C2463" s="2" t="s">
        <v>12957</v>
      </c>
      <c r="D2463" s="2" t="s">
        <v>292</v>
      </c>
      <c r="E2463" s="2">
        <v>75</v>
      </c>
      <c r="F2463" s="2">
        <v>411.59</v>
      </c>
    </row>
    <row r="2464" spans="3:6" x14ac:dyDescent="0.25">
      <c r="C2464" s="2" t="s">
        <v>12958</v>
      </c>
      <c r="D2464" s="2" t="s">
        <v>292</v>
      </c>
      <c r="E2464" s="2">
        <v>133</v>
      </c>
      <c r="F2464" s="2">
        <v>2282.953</v>
      </c>
    </row>
    <row r="2465" spans="3:6" x14ac:dyDescent="0.25">
      <c r="C2465" s="2" t="s">
        <v>12959</v>
      </c>
      <c r="D2465" s="2" t="s">
        <v>292</v>
      </c>
      <c r="E2465" s="2">
        <v>141</v>
      </c>
      <c r="F2465" s="2">
        <v>2911.22</v>
      </c>
    </row>
    <row r="2466" spans="3:6" x14ac:dyDescent="0.25">
      <c r="C2466" s="2" t="s">
        <v>12960</v>
      </c>
      <c r="D2466" s="2" t="s">
        <v>292</v>
      </c>
      <c r="E2466" s="2">
        <v>141</v>
      </c>
      <c r="F2466" s="2">
        <v>2823.279</v>
      </c>
    </row>
    <row r="2467" spans="3:6" x14ac:dyDescent="0.25">
      <c r="C2467" s="2" t="s">
        <v>12961</v>
      </c>
      <c r="D2467" s="2" t="s">
        <v>292</v>
      </c>
      <c r="E2467" s="2">
        <v>143</v>
      </c>
      <c r="F2467" s="2">
        <v>2949.46</v>
      </c>
    </row>
    <row r="2468" spans="3:6" x14ac:dyDescent="0.25">
      <c r="C2468" s="2" t="s">
        <v>12962</v>
      </c>
      <c r="D2468" s="2" t="s">
        <v>292</v>
      </c>
      <c r="E2468" s="2">
        <v>143</v>
      </c>
      <c r="F2468" s="2">
        <v>2907.72</v>
      </c>
    </row>
    <row r="2469" spans="3:6" x14ac:dyDescent="0.25">
      <c r="C2469" s="2" t="s">
        <v>12963</v>
      </c>
      <c r="D2469" s="2" t="s">
        <v>292</v>
      </c>
      <c r="E2469" s="2">
        <v>52</v>
      </c>
      <c r="F2469" s="2">
        <v>1023.5</v>
      </c>
    </row>
    <row r="2470" spans="3:6" x14ac:dyDescent="0.25">
      <c r="C2470" s="2" t="s">
        <v>12964</v>
      </c>
      <c r="D2470" s="2" t="s">
        <v>292</v>
      </c>
      <c r="E2470" s="2">
        <v>35</v>
      </c>
      <c r="F2470" s="2">
        <v>646.23</v>
      </c>
    </row>
    <row r="2471" spans="3:6" x14ac:dyDescent="0.25">
      <c r="C2471" s="2" t="s">
        <v>12965</v>
      </c>
      <c r="D2471" s="2" t="s">
        <v>292</v>
      </c>
      <c r="E2471" s="2">
        <v>76</v>
      </c>
      <c r="F2471" s="2">
        <v>1513.58</v>
      </c>
    </row>
    <row r="2472" spans="3:6" x14ac:dyDescent="0.25">
      <c r="C2472" s="2" t="s">
        <v>12966</v>
      </c>
      <c r="D2472" s="2" t="s">
        <v>292</v>
      </c>
      <c r="E2472" s="2">
        <v>48</v>
      </c>
      <c r="F2472" s="2">
        <v>514.691</v>
      </c>
    </row>
    <row r="2473" spans="3:6" x14ac:dyDescent="0.25">
      <c r="C2473" s="2" t="s">
        <v>12967</v>
      </c>
      <c r="D2473" s="2" t="s">
        <v>292</v>
      </c>
      <c r="E2473" s="2">
        <v>65</v>
      </c>
      <c r="F2473" s="2">
        <v>1388.7</v>
      </c>
    </row>
    <row r="2474" spans="3:6" x14ac:dyDescent="0.25">
      <c r="C2474" s="2" t="s">
        <v>12968</v>
      </c>
      <c r="D2474" s="2" t="s">
        <v>292</v>
      </c>
      <c r="E2474" s="2">
        <v>106</v>
      </c>
      <c r="F2474" s="2">
        <v>2142.93</v>
      </c>
    </row>
    <row r="2475" spans="3:6" x14ac:dyDescent="0.25">
      <c r="C2475" s="2" t="s">
        <v>12969</v>
      </c>
      <c r="D2475" s="2" t="s">
        <v>292</v>
      </c>
      <c r="E2475" s="2">
        <v>75</v>
      </c>
      <c r="F2475" s="2">
        <v>386.03</v>
      </c>
    </row>
    <row r="2476" spans="3:6" x14ac:dyDescent="0.25">
      <c r="C2476" s="2" t="s">
        <v>12970</v>
      </c>
      <c r="D2476" s="2" t="s">
        <v>292</v>
      </c>
      <c r="E2476" s="2">
        <v>134</v>
      </c>
      <c r="F2476" s="2">
        <v>2774.989</v>
      </c>
    </row>
    <row r="2477" spans="3:6" x14ac:dyDescent="0.25">
      <c r="C2477" s="2" t="s">
        <v>12971</v>
      </c>
      <c r="D2477" s="2" t="s">
        <v>292</v>
      </c>
      <c r="E2477" s="2">
        <v>43</v>
      </c>
      <c r="F2477" s="2">
        <v>845.181</v>
      </c>
    </row>
    <row r="2478" spans="3:6" x14ac:dyDescent="0.25">
      <c r="C2478" s="2" t="s">
        <v>12972</v>
      </c>
      <c r="D2478" s="2" t="s">
        <v>292</v>
      </c>
      <c r="E2478" s="2">
        <v>20</v>
      </c>
      <c r="F2478" s="2">
        <v>103.81</v>
      </c>
    </row>
    <row r="2479" spans="3:6" x14ac:dyDescent="0.25">
      <c r="C2479" s="2" t="s">
        <v>12973</v>
      </c>
      <c r="D2479" s="2" t="s">
        <v>292</v>
      </c>
      <c r="E2479" s="2">
        <v>141</v>
      </c>
      <c r="F2479" s="2">
        <v>2604.82</v>
      </c>
    </row>
    <row r="2480" spans="3:6" x14ac:dyDescent="0.25">
      <c r="C2480" s="2" t="s">
        <v>12974</v>
      </c>
      <c r="D2480" s="2" t="s">
        <v>292</v>
      </c>
      <c r="E2480" s="2">
        <v>123</v>
      </c>
      <c r="F2480" s="2">
        <v>2470.18</v>
      </c>
    </row>
    <row r="2481" spans="3:6" x14ac:dyDescent="0.25">
      <c r="C2481" s="2" t="s">
        <v>12975</v>
      </c>
      <c r="D2481" s="2" t="s">
        <v>292</v>
      </c>
      <c r="E2481" s="2">
        <v>4</v>
      </c>
      <c r="F2481" s="2">
        <v>77.388</v>
      </c>
    </row>
    <row r="2482" spans="3:6" x14ac:dyDescent="0.25">
      <c r="C2482" s="2" t="s">
        <v>12976</v>
      </c>
      <c r="D2482" s="2" t="s">
        <v>292</v>
      </c>
      <c r="E2482" s="2">
        <v>94</v>
      </c>
      <c r="F2482" s="2">
        <v>1975.41</v>
      </c>
    </row>
    <row r="2483" spans="3:6" x14ac:dyDescent="0.25">
      <c r="C2483" s="2" t="s">
        <v>12977</v>
      </c>
      <c r="D2483" s="2" t="s">
        <v>292</v>
      </c>
      <c r="E2483" s="2">
        <v>10</v>
      </c>
      <c r="F2483" s="2">
        <v>211.28</v>
      </c>
    </row>
    <row r="2484" spans="3:6" x14ac:dyDescent="0.25">
      <c r="C2484" s="2" t="s">
        <v>12978</v>
      </c>
      <c r="D2484" s="2" t="s">
        <v>292</v>
      </c>
      <c r="E2484" s="2">
        <v>65</v>
      </c>
      <c r="F2484" s="2">
        <v>1375.83</v>
      </c>
    </row>
    <row r="2485" spans="3:6" x14ac:dyDescent="0.25">
      <c r="C2485" s="2" t="s">
        <v>12979</v>
      </c>
      <c r="D2485" s="2" t="s">
        <v>292</v>
      </c>
      <c r="E2485" s="2">
        <v>62</v>
      </c>
      <c r="F2485" s="2">
        <v>1197.052</v>
      </c>
    </row>
    <row r="2486" spans="3:6" x14ac:dyDescent="0.25">
      <c r="C2486" s="2" t="s">
        <v>12980</v>
      </c>
      <c r="D2486" s="2" t="s">
        <v>292</v>
      </c>
      <c r="E2486" s="2">
        <v>53</v>
      </c>
      <c r="F2486" s="2">
        <v>1005.47</v>
      </c>
    </row>
    <row r="2487" spans="3:6" x14ac:dyDescent="0.25">
      <c r="C2487" s="2" t="s">
        <v>12981</v>
      </c>
      <c r="D2487" s="2" t="s">
        <v>292</v>
      </c>
      <c r="E2487" s="2">
        <v>98</v>
      </c>
      <c r="F2487" s="2">
        <v>1047.155</v>
      </c>
    </row>
    <row r="2488" spans="3:6" x14ac:dyDescent="0.25">
      <c r="C2488" s="2" t="s">
        <v>12982</v>
      </c>
      <c r="D2488" s="2" t="s">
        <v>292</v>
      </c>
      <c r="E2488" s="2">
        <v>24</v>
      </c>
      <c r="F2488" s="2">
        <v>525.3</v>
      </c>
    </row>
    <row r="2489" spans="3:6" x14ac:dyDescent="0.25">
      <c r="C2489" s="2" t="s">
        <v>12983</v>
      </c>
      <c r="D2489" s="2" t="s">
        <v>292</v>
      </c>
      <c r="E2489" s="2">
        <v>117</v>
      </c>
      <c r="F2489" s="2">
        <v>2455.14</v>
      </c>
    </row>
    <row r="2490" spans="3:6" x14ac:dyDescent="0.25">
      <c r="C2490" s="2" t="s">
        <v>12984</v>
      </c>
      <c r="D2490" s="2" t="s">
        <v>292</v>
      </c>
      <c r="E2490" s="2">
        <v>102</v>
      </c>
      <c r="F2490" s="2">
        <v>2134.24</v>
      </c>
    </row>
    <row r="2491" spans="3:6" x14ac:dyDescent="0.25">
      <c r="C2491" s="2" t="s">
        <v>12985</v>
      </c>
      <c r="D2491" s="2" t="s">
        <v>292</v>
      </c>
      <c r="E2491" s="2">
        <v>143</v>
      </c>
      <c r="F2491" s="2">
        <v>2815.23</v>
      </c>
    </row>
    <row r="2492" spans="3:6" x14ac:dyDescent="0.25">
      <c r="C2492" s="2" t="s">
        <v>12986</v>
      </c>
      <c r="D2492" s="2" t="s">
        <v>292</v>
      </c>
      <c r="E2492" s="2">
        <v>106</v>
      </c>
      <c r="F2492" s="2">
        <v>2182.28</v>
      </c>
    </row>
    <row r="2493" spans="3:6" x14ac:dyDescent="0.25">
      <c r="C2493" s="2" t="s">
        <v>12987</v>
      </c>
      <c r="D2493" s="2" t="s">
        <v>292</v>
      </c>
      <c r="E2493" s="2">
        <v>19</v>
      </c>
      <c r="F2493" s="2">
        <v>348.03</v>
      </c>
    </row>
    <row r="2494" spans="3:6" x14ac:dyDescent="0.25">
      <c r="C2494" s="2" t="s">
        <v>12988</v>
      </c>
      <c r="D2494" s="2" t="s">
        <v>292</v>
      </c>
      <c r="E2494" s="2">
        <v>16</v>
      </c>
      <c r="F2494" s="2">
        <v>312.15</v>
      </c>
    </row>
    <row r="2495" spans="3:6" x14ac:dyDescent="0.25">
      <c r="C2495" s="2" t="s">
        <v>12989</v>
      </c>
      <c r="D2495" s="2" t="s">
        <v>292</v>
      </c>
      <c r="E2495" s="2">
        <v>60</v>
      </c>
      <c r="F2495" s="2">
        <v>1212.56</v>
      </c>
    </row>
    <row r="2496" spans="3:6" x14ac:dyDescent="0.25">
      <c r="C2496" s="2" t="s">
        <v>12990</v>
      </c>
      <c r="D2496" s="2" t="s">
        <v>292</v>
      </c>
      <c r="E2496" s="2">
        <v>90</v>
      </c>
      <c r="F2496" s="2">
        <v>1846.44</v>
      </c>
    </row>
    <row r="2497" spans="3:6" x14ac:dyDescent="0.25">
      <c r="C2497" s="2" t="s">
        <v>12991</v>
      </c>
      <c r="D2497" s="2" t="s">
        <v>292</v>
      </c>
      <c r="E2497" s="2">
        <v>16</v>
      </c>
      <c r="F2497" s="2">
        <v>223.3</v>
      </c>
    </row>
    <row r="2498" spans="3:6" x14ac:dyDescent="0.25">
      <c r="C2498" s="2" t="s">
        <v>12992</v>
      </c>
      <c r="D2498" s="2" t="s">
        <v>292</v>
      </c>
      <c r="E2498" s="2">
        <v>29</v>
      </c>
      <c r="F2498" s="2">
        <v>583.831</v>
      </c>
    </row>
    <row r="2499" spans="3:6" x14ac:dyDescent="0.25">
      <c r="C2499" s="2" t="s">
        <v>12993</v>
      </c>
      <c r="D2499" s="2" t="s">
        <v>292</v>
      </c>
      <c r="E2499" s="2">
        <v>12</v>
      </c>
      <c r="F2499" s="2">
        <v>196.499</v>
      </c>
    </row>
    <row r="2500" spans="3:6" x14ac:dyDescent="0.25">
      <c r="C2500" s="2" t="s">
        <v>12994</v>
      </c>
      <c r="D2500" s="2" t="s">
        <v>292</v>
      </c>
      <c r="E2500" s="2">
        <v>66</v>
      </c>
      <c r="F2500" s="2">
        <v>1327.95</v>
      </c>
    </row>
    <row r="2501" spans="3:6" x14ac:dyDescent="0.25">
      <c r="C2501" s="2" t="s">
        <v>12995</v>
      </c>
      <c r="D2501" s="2" t="s">
        <v>292</v>
      </c>
      <c r="E2501" s="2">
        <v>49</v>
      </c>
      <c r="F2501" s="2">
        <v>1047.12</v>
      </c>
    </row>
    <row r="2502" spans="3:6" x14ac:dyDescent="0.25">
      <c r="C2502" s="2" t="s">
        <v>12996</v>
      </c>
      <c r="D2502" s="2" t="s">
        <v>292</v>
      </c>
      <c r="E2502" s="2">
        <v>22</v>
      </c>
      <c r="F2502" s="2">
        <v>493.23</v>
      </c>
    </row>
    <row r="2503" spans="3:6" x14ac:dyDescent="0.25">
      <c r="C2503" s="2" t="s">
        <v>12997</v>
      </c>
      <c r="D2503" s="2" t="s">
        <v>292</v>
      </c>
      <c r="E2503" s="2">
        <v>102</v>
      </c>
      <c r="F2503" s="2">
        <v>1980.639</v>
      </c>
    </row>
    <row r="2504" spans="3:6" x14ac:dyDescent="0.25">
      <c r="C2504" s="2" t="s">
        <v>12998</v>
      </c>
      <c r="D2504" s="2" t="s">
        <v>292</v>
      </c>
      <c r="E2504" s="2">
        <v>143</v>
      </c>
      <c r="F2504" s="2">
        <v>2885.84</v>
      </c>
    </row>
    <row r="2505" spans="3:6" x14ac:dyDescent="0.25">
      <c r="C2505" s="2" t="s">
        <v>12999</v>
      </c>
      <c r="D2505" s="2" t="s">
        <v>292</v>
      </c>
      <c r="E2505" s="2">
        <v>57</v>
      </c>
      <c r="F2505" s="2">
        <v>1155.75</v>
      </c>
    </row>
    <row r="2506" spans="3:6" x14ac:dyDescent="0.25">
      <c r="C2506" s="2" t="s">
        <v>13000</v>
      </c>
      <c r="D2506" s="2" t="s">
        <v>292</v>
      </c>
      <c r="E2506" s="2">
        <v>12</v>
      </c>
      <c r="F2506" s="2">
        <v>210.09</v>
      </c>
    </row>
    <row r="2507" spans="3:6" x14ac:dyDescent="0.25">
      <c r="C2507" s="2" t="s">
        <v>13001</v>
      </c>
      <c r="D2507" s="2" t="s">
        <v>292</v>
      </c>
      <c r="E2507" s="2">
        <v>54</v>
      </c>
      <c r="F2507" s="2">
        <v>1160.73</v>
      </c>
    </row>
    <row r="2508" spans="3:6" x14ac:dyDescent="0.25">
      <c r="C2508" s="2" t="s">
        <v>13002</v>
      </c>
      <c r="D2508" s="2" t="s">
        <v>292</v>
      </c>
      <c r="E2508" s="2">
        <v>15</v>
      </c>
      <c r="F2508" s="2">
        <v>306.125</v>
      </c>
    </row>
    <row r="2509" spans="3:6" x14ac:dyDescent="0.25">
      <c r="C2509" s="2" t="s">
        <v>13003</v>
      </c>
      <c r="D2509" s="2" t="s">
        <v>292</v>
      </c>
      <c r="E2509" s="2">
        <v>69</v>
      </c>
      <c r="F2509" s="2">
        <v>1516.54</v>
      </c>
    </row>
    <row r="2510" spans="3:6" x14ac:dyDescent="0.25">
      <c r="C2510" s="2" t="s">
        <v>13004</v>
      </c>
      <c r="D2510" s="2" t="s">
        <v>292</v>
      </c>
      <c r="E2510" s="2">
        <v>85</v>
      </c>
      <c r="F2510" s="2">
        <v>1732.37</v>
      </c>
    </row>
    <row r="2511" spans="3:6" x14ac:dyDescent="0.25">
      <c r="C2511" s="2" t="s">
        <v>13005</v>
      </c>
      <c r="D2511" s="2" t="s">
        <v>292</v>
      </c>
      <c r="E2511" s="2">
        <v>31</v>
      </c>
      <c r="F2511" s="2">
        <v>636.23</v>
      </c>
    </row>
    <row r="2512" spans="3:6" x14ac:dyDescent="0.25">
      <c r="C2512" s="2" t="s">
        <v>13006</v>
      </c>
      <c r="D2512" s="2" t="s">
        <v>292</v>
      </c>
      <c r="E2512" s="2">
        <v>52</v>
      </c>
      <c r="F2512" s="2">
        <v>1044.95</v>
      </c>
    </row>
    <row r="2513" spans="3:6" x14ac:dyDescent="0.25">
      <c r="C2513" s="2" t="s">
        <v>13007</v>
      </c>
      <c r="D2513" s="2" t="s">
        <v>292</v>
      </c>
      <c r="E2513" s="2">
        <v>22</v>
      </c>
      <c r="F2513" s="2">
        <v>456.78</v>
      </c>
    </row>
    <row r="2514" spans="3:6" x14ac:dyDescent="0.25">
      <c r="C2514" s="2" t="s">
        <v>13008</v>
      </c>
      <c r="D2514" s="2" t="s">
        <v>292</v>
      </c>
      <c r="E2514" s="2">
        <v>13</v>
      </c>
      <c r="F2514" s="2">
        <v>263.54</v>
      </c>
    </row>
    <row r="2515" spans="3:6" x14ac:dyDescent="0.25">
      <c r="C2515" s="2" t="s">
        <v>13009</v>
      </c>
      <c r="D2515" s="2" t="s">
        <v>292</v>
      </c>
      <c r="E2515" s="2">
        <v>29</v>
      </c>
      <c r="F2515" s="2">
        <v>588.81</v>
      </c>
    </row>
    <row r="2516" spans="3:6" x14ac:dyDescent="0.25">
      <c r="C2516" s="2" t="s">
        <v>13010</v>
      </c>
      <c r="D2516" s="2" t="s">
        <v>292</v>
      </c>
      <c r="E2516" s="2">
        <v>119</v>
      </c>
      <c r="F2516" s="2">
        <v>2442.21</v>
      </c>
    </row>
    <row r="2517" spans="3:6" x14ac:dyDescent="0.25">
      <c r="C2517" s="2" t="s">
        <v>13011</v>
      </c>
      <c r="D2517" s="2" t="s">
        <v>292</v>
      </c>
      <c r="E2517" s="2">
        <v>99</v>
      </c>
      <c r="F2517" s="2">
        <v>2047.285</v>
      </c>
    </row>
    <row r="2519" spans="1:7" x14ac:dyDescent="0.25">
      <c r="A2519" s="1">
        <v>46136</v>
      </c>
      <c r="B2519" s="2" t="s">
        <v>290</v>
      </c>
      <c r="C2519" s="2" t="s">
        <v>13012</v>
      </c>
      <c r="D2519" s="2" t="s">
        <v>178</v>
      </c>
      <c r="E2519" s="2">
        <v>306</v>
      </c>
      <c r="F2519" s="2">
        <v>6330.49</v>
      </c>
      <c r="G2519" s="1">
        <v>46136</v>
      </c>
    </row>
    <row r="2520" spans="3:6" x14ac:dyDescent="0.25">
      <c r="C2520" s="2" t="s">
        <v>13013</v>
      </c>
      <c r="D2520" s="2" t="s">
        <v>178</v>
      </c>
      <c r="E2520" s="2">
        <v>123</v>
      </c>
      <c r="F2520" s="2">
        <v>2258.01</v>
      </c>
    </row>
    <row r="2521" spans="3:6" x14ac:dyDescent="0.25">
      <c r="C2521" s="2" t="s">
        <v>13014</v>
      </c>
      <c r="D2521" s="2" t="s">
        <v>178</v>
      </c>
      <c r="E2521" s="2">
        <v>52</v>
      </c>
      <c r="F2521" s="2">
        <v>1019.149</v>
      </c>
    </row>
    <row r="2522" spans="3:6" x14ac:dyDescent="0.25">
      <c r="C2522" s="2" t="s">
        <v>13015</v>
      </c>
      <c r="D2522" s="2" t="s">
        <v>178</v>
      </c>
      <c r="E2522" s="2">
        <v>50</v>
      </c>
      <c r="F2522" s="2">
        <v>970.3</v>
      </c>
    </row>
    <row r="2523" spans="3:6" x14ac:dyDescent="0.25">
      <c r="C2523" s="2" t="s">
        <v>13016</v>
      </c>
      <c r="D2523" s="2" t="s">
        <v>178</v>
      </c>
      <c r="E2523" s="2">
        <v>112</v>
      </c>
      <c r="F2523" s="2">
        <v>2033.079</v>
      </c>
    </row>
    <row r="2524" spans="3:6" x14ac:dyDescent="0.25">
      <c r="C2524" s="2" t="s">
        <v>13017</v>
      </c>
      <c r="D2524" s="2" t="s">
        <v>178</v>
      </c>
      <c r="E2524" s="2">
        <v>30</v>
      </c>
      <c r="F2524" s="2">
        <v>534.51</v>
      </c>
    </row>
    <row r="2525" spans="3:6" x14ac:dyDescent="0.25">
      <c r="C2525" s="2" t="s">
        <v>13018</v>
      </c>
      <c r="D2525" s="2" t="s">
        <v>178</v>
      </c>
      <c r="E2525" s="2">
        <v>6</v>
      </c>
      <c r="F2525" s="2">
        <v>32.92</v>
      </c>
    </row>
    <row r="2526" spans="3:6" x14ac:dyDescent="0.25">
      <c r="C2526" s="2" t="s">
        <v>13019</v>
      </c>
      <c r="D2526" s="2" t="s">
        <v>178</v>
      </c>
      <c r="E2526" s="2">
        <v>69</v>
      </c>
      <c r="F2526" s="2">
        <v>1272.709</v>
      </c>
    </row>
    <row r="2527" spans="3:6" x14ac:dyDescent="0.25">
      <c r="C2527" s="2" t="s">
        <v>13020</v>
      </c>
      <c r="D2527" s="2" t="s">
        <v>178</v>
      </c>
      <c r="E2527" s="2">
        <v>123</v>
      </c>
      <c r="F2527" s="2">
        <v>2599.4</v>
      </c>
    </row>
    <row r="2528" spans="3:6" x14ac:dyDescent="0.25">
      <c r="C2528" s="2" t="s">
        <v>13021</v>
      </c>
      <c r="D2528" s="2" t="s">
        <v>178</v>
      </c>
      <c r="E2528" s="2">
        <v>141</v>
      </c>
      <c r="F2528" s="2">
        <v>2949.39</v>
      </c>
    </row>
    <row r="2529" spans="3:6" x14ac:dyDescent="0.25">
      <c r="C2529" s="2" t="s">
        <v>13022</v>
      </c>
      <c r="D2529" s="2" t="s">
        <v>178</v>
      </c>
      <c r="E2529" s="2">
        <v>246</v>
      </c>
      <c r="F2529" s="2">
        <v>5185.119</v>
      </c>
    </row>
    <row r="2530" spans="3:6" x14ac:dyDescent="0.25">
      <c r="C2530" s="2" t="s">
        <v>13023</v>
      </c>
      <c r="D2530" s="2" t="s">
        <v>178</v>
      </c>
      <c r="E2530" s="2">
        <v>45</v>
      </c>
      <c r="F2530" s="2">
        <v>195.75</v>
      </c>
    </row>
    <row r="2531" spans="3:6" x14ac:dyDescent="0.25">
      <c r="C2531" s="2" t="s">
        <v>13024</v>
      </c>
      <c r="D2531" s="2" t="s">
        <v>178</v>
      </c>
      <c r="E2531" s="2">
        <v>134</v>
      </c>
      <c r="F2531" s="2">
        <v>2729.249</v>
      </c>
    </row>
    <row r="2532" spans="3:6" x14ac:dyDescent="0.25">
      <c r="C2532" s="2" t="s">
        <v>13025</v>
      </c>
      <c r="D2532" s="2" t="s">
        <v>178</v>
      </c>
      <c r="E2532" s="2">
        <v>15</v>
      </c>
      <c r="F2532" s="2">
        <v>63.91</v>
      </c>
    </row>
    <row r="2533" spans="3:6" x14ac:dyDescent="0.25">
      <c r="C2533" s="2" t="s">
        <v>13026</v>
      </c>
      <c r="D2533" s="2" t="s">
        <v>178</v>
      </c>
      <c r="E2533" s="2">
        <v>141</v>
      </c>
      <c r="F2533" s="2">
        <v>2969.85</v>
      </c>
    </row>
    <row r="2534" spans="3:6" x14ac:dyDescent="0.25">
      <c r="C2534" s="2" t="s">
        <v>13027</v>
      </c>
      <c r="D2534" s="2" t="s">
        <v>178</v>
      </c>
      <c r="E2534" s="2">
        <v>141</v>
      </c>
      <c r="F2534" s="2">
        <v>2878.62</v>
      </c>
    </row>
    <row r="2535" spans="3:6" x14ac:dyDescent="0.25">
      <c r="C2535" s="2" t="s">
        <v>13028</v>
      </c>
      <c r="D2535" s="2" t="s">
        <v>178</v>
      </c>
      <c r="E2535" s="2">
        <v>282</v>
      </c>
      <c r="F2535" s="2">
        <v>5831.24</v>
      </c>
    </row>
    <row r="2536" spans="3:6" x14ac:dyDescent="0.25">
      <c r="C2536" s="2" t="s">
        <v>13029</v>
      </c>
      <c r="D2536" s="2" t="s">
        <v>178</v>
      </c>
      <c r="E2536" s="2">
        <v>204</v>
      </c>
      <c r="F2536" s="2">
        <v>4238.12</v>
      </c>
    </row>
    <row r="2537" spans="3:6" x14ac:dyDescent="0.25">
      <c r="C2537" s="2" t="s">
        <v>13030</v>
      </c>
      <c r="D2537" s="2" t="s">
        <v>178</v>
      </c>
      <c r="E2537" s="2">
        <v>141</v>
      </c>
      <c r="F2537" s="2">
        <v>3028.49</v>
      </c>
    </row>
    <row r="2538" spans="3:6" x14ac:dyDescent="0.25">
      <c r="C2538" s="2" t="s">
        <v>13031</v>
      </c>
      <c r="D2538" s="2" t="s">
        <v>178</v>
      </c>
      <c r="E2538" s="2">
        <v>141</v>
      </c>
      <c r="F2538" s="2">
        <v>2931.62</v>
      </c>
    </row>
    <row r="2539" spans="3:6" x14ac:dyDescent="0.25">
      <c r="C2539" s="2" t="s">
        <v>13032</v>
      </c>
      <c r="D2539" s="2" t="s">
        <v>178</v>
      </c>
      <c r="E2539" s="2">
        <v>243</v>
      </c>
      <c r="F2539" s="2">
        <v>5062.73</v>
      </c>
    </row>
    <row r="2540" spans="3:6" x14ac:dyDescent="0.25">
      <c r="C2540" s="2" t="s">
        <v>13033</v>
      </c>
      <c r="D2540" s="2" t="s">
        <v>178</v>
      </c>
      <c r="E2540" s="2">
        <v>141</v>
      </c>
      <c r="F2540" s="2">
        <v>2890</v>
      </c>
    </row>
    <row r="2541" spans="3:6" x14ac:dyDescent="0.25">
      <c r="C2541" s="2" t="s">
        <v>13034</v>
      </c>
      <c r="D2541" s="2" t="s">
        <v>178</v>
      </c>
      <c r="E2541" s="2">
        <v>100</v>
      </c>
      <c r="F2541" s="2">
        <v>1973.13</v>
      </c>
    </row>
    <row r="2542" spans="3:6" x14ac:dyDescent="0.25">
      <c r="C2542" s="2" t="s">
        <v>13035</v>
      </c>
      <c r="D2542" s="2" t="s">
        <v>178</v>
      </c>
      <c r="E2542" s="2">
        <v>41</v>
      </c>
      <c r="F2542" s="2">
        <v>819.09</v>
      </c>
    </row>
    <row r="2543" spans="3:6" x14ac:dyDescent="0.25">
      <c r="C2543" s="2" t="s">
        <v>13036</v>
      </c>
      <c r="D2543" s="2" t="s">
        <v>178</v>
      </c>
      <c r="E2543" s="2">
        <v>90</v>
      </c>
      <c r="F2543" s="2">
        <v>389.64</v>
      </c>
    </row>
    <row r="2544" spans="3:6" x14ac:dyDescent="0.25">
      <c r="C2544" s="2" t="s">
        <v>13037</v>
      </c>
      <c r="D2544" s="2" t="s">
        <v>178</v>
      </c>
      <c r="E2544" s="2">
        <v>72</v>
      </c>
      <c r="F2544" s="2">
        <v>1503.59</v>
      </c>
    </row>
    <row r="2545" spans="3:6" x14ac:dyDescent="0.25">
      <c r="C2545" s="2" t="s">
        <v>13038</v>
      </c>
      <c r="D2545" s="2" t="s">
        <v>178</v>
      </c>
      <c r="E2545" s="2">
        <v>69</v>
      </c>
      <c r="F2545" s="2">
        <v>1491.61</v>
      </c>
    </row>
    <row r="2546" spans="3:6" x14ac:dyDescent="0.25">
      <c r="C2546" s="2" t="s">
        <v>13039</v>
      </c>
      <c r="D2546" s="2" t="s">
        <v>178</v>
      </c>
      <c r="E2546" s="2">
        <v>119</v>
      </c>
      <c r="F2546" s="2">
        <v>2212.46</v>
      </c>
    </row>
    <row r="2547" spans="3:6" x14ac:dyDescent="0.25">
      <c r="C2547" s="2" t="s">
        <v>13040</v>
      </c>
      <c r="D2547" s="2" t="s">
        <v>178</v>
      </c>
      <c r="E2547" s="2">
        <v>22</v>
      </c>
      <c r="F2547" s="2">
        <v>384.48</v>
      </c>
    </row>
    <row r="2548" spans="3:6" x14ac:dyDescent="0.25">
      <c r="C2548" s="2" t="s">
        <v>13041</v>
      </c>
      <c r="D2548" s="2" t="s">
        <v>178</v>
      </c>
      <c r="E2548" s="2">
        <v>45</v>
      </c>
      <c r="F2548" s="2">
        <v>196.39</v>
      </c>
    </row>
    <row r="2549" spans="3:6" x14ac:dyDescent="0.25">
      <c r="C2549" s="2" t="s">
        <v>13042</v>
      </c>
      <c r="D2549" s="2" t="s">
        <v>178</v>
      </c>
      <c r="E2549" s="2">
        <v>141</v>
      </c>
      <c r="F2549" s="2">
        <v>2939.34</v>
      </c>
    </row>
    <row r="2550" spans="3:6" x14ac:dyDescent="0.25">
      <c r="C2550" s="2" t="s">
        <v>13043</v>
      </c>
      <c r="D2550" s="2" t="s">
        <v>178</v>
      </c>
      <c r="E2550" s="2">
        <v>93</v>
      </c>
      <c r="F2550" s="2">
        <v>1977.36</v>
      </c>
    </row>
    <row r="2551" spans="3:6" x14ac:dyDescent="0.25">
      <c r="C2551" s="2" t="s">
        <v>13044</v>
      </c>
      <c r="D2551" s="2" t="s">
        <v>178</v>
      </c>
      <c r="E2551" s="2">
        <v>48</v>
      </c>
      <c r="F2551" s="2">
        <v>939.94</v>
      </c>
    </row>
    <row r="2552" spans="3:6" x14ac:dyDescent="0.25">
      <c r="C2552" s="2" t="s">
        <v>13045</v>
      </c>
      <c r="D2552" s="2" t="s">
        <v>178</v>
      </c>
      <c r="E2552" s="2">
        <v>141</v>
      </c>
      <c r="F2552" s="2">
        <v>2812.96</v>
      </c>
    </row>
    <row r="2553" spans="3:6" x14ac:dyDescent="0.25">
      <c r="C2553" s="2" t="s">
        <v>13046</v>
      </c>
      <c r="D2553" s="2" t="s">
        <v>178</v>
      </c>
      <c r="E2553" s="2">
        <v>70</v>
      </c>
      <c r="F2553" s="2">
        <v>1339.84</v>
      </c>
    </row>
    <row r="2554" spans="3:6" x14ac:dyDescent="0.25">
      <c r="C2554" s="2" t="s">
        <v>13047</v>
      </c>
      <c r="D2554" s="2" t="s">
        <v>178</v>
      </c>
      <c r="E2554" s="2">
        <v>64</v>
      </c>
      <c r="F2554" s="2">
        <v>1203.99</v>
      </c>
    </row>
    <row r="2555" spans="3:6" x14ac:dyDescent="0.25">
      <c r="C2555" s="2" t="s">
        <v>13048</v>
      </c>
      <c r="D2555" s="2" t="s">
        <v>178</v>
      </c>
      <c r="E2555" s="2">
        <v>7</v>
      </c>
      <c r="F2555" s="2">
        <v>130.72</v>
      </c>
    </row>
    <row r="2556" spans="3:6" x14ac:dyDescent="0.25">
      <c r="C2556" s="2" t="s">
        <v>13049</v>
      </c>
      <c r="D2556" s="2" t="s">
        <v>178</v>
      </c>
      <c r="E2556" s="2">
        <v>79</v>
      </c>
      <c r="F2556" s="2">
        <v>1609.87</v>
      </c>
    </row>
    <row r="2557" spans="3:6" x14ac:dyDescent="0.25">
      <c r="C2557" s="2" t="s">
        <v>13050</v>
      </c>
      <c r="D2557" s="2" t="s">
        <v>178</v>
      </c>
      <c r="E2557" s="2">
        <v>57</v>
      </c>
      <c r="F2557" s="2">
        <v>1167.94</v>
      </c>
    </row>
    <row r="2558" spans="3:6" x14ac:dyDescent="0.25">
      <c r="C2558" s="2" t="s">
        <v>13051</v>
      </c>
      <c r="D2558" s="2" t="s">
        <v>178</v>
      </c>
      <c r="E2558" s="2">
        <v>48</v>
      </c>
      <c r="F2558" s="2">
        <v>958.779</v>
      </c>
    </row>
    <row r="2559" spans="3:6" x14ac:dyDescent="0.25">
      <c r="C2559" s="2" t="s">
        <v>13052</v>
      </c>
      <c r="D2559" s="2" t="s">
        <v>178</v>
      </c>
      <c r="E2559" s="2">
        <v>93</v>
      </c>
      <c r="F2559" s="2">
        <v>1957.96</v>
      </c>
    </row>
    <row r="2561" spans="1:7" x14ac:dyDescent="0.25">
      <c r="A2561" s="1">
        <v>46136</v>
      </c>
      <c r="B2561" s="2" t="s">
        <v>13053</v>
      </c>
      <c r="C2561" s="2" t="s">
        <v>13054</v>
      </c>
      <c r="D2561" s="2" t="s">
        <v>9</v>
      </c>
      <c r="E2561" s="2">
        <v>90</v>
      </c>
      <c r="F2561" s="2">
        <v>1924.75</v>
      </c>
      <c r="G2561" s="1">
        <v>46136</v>
      </c>
    </row>
    <row r="2562" spans="3:6" x14ac:dyDescent="0.25">
      <c r="C2562" s="2" t="s">
        <v>13055</v>
      </c>
      <c r="D2562" s="2" t="s">
        <v>9</v>
      </c>
      <c r="E2562" s="2">
        <v>95</v>
      </c>
      <c r="F2562" s="2">
        <v>1989.99</v>
      </c>
    </row>
    <row r="2563" spans="3:6" x14ac:dyDescent="0.25">
      <c r="C2563" s="2" t="s">
        <v>13056</v>
      </c>
      <c r="D2563" s="2" t="s">
        <v>9</v>
      </c>
      <c r="E2563" s="2">
        <v>90</v>
      </c>
      <c r="F2563" s="2">
        <v>1924.03</v>
      </c>
    </row>
    <row r="2564" spans="3:6" x14ac:dyDescent="0.25">
      <c r="C2564" s="2" t="s">
        <v>13057</v>
      </c>
      <c r="D2564" s="2" t="s">
        <v>9</v>
      </c>
      <c r="E2564" s="2">
        <v>134</v>
      </c>
      <c r="F2564" s="2">
        <v>2815.41</v>
      </c>
    </row>
    <row r="2565" spans="3:6" x14ac:dyDescent="0.25">
      <c r="C2565" s="2" t="s">
        <v>13058</v>
      </c>
      <c r="D2565" s="2" t="s">
        <v>9</v>
      </c>
      <c r="E2565" s="2">
        <v>138</v>
      </c>
      <c r="F2565" s="2">
        <v>2753.27</v>
      </c>
    </row>
    <row r="2567" spans="1:7" x14ac:dyDescent="0.25">
      <c r="A2567" s="1">
        <v>46136</v>
      </c>
      <c r="B2567" s="2" t="s">
        <v>7875</v>
      </c>
      <c r="C2567" s="2" t="s">
        <v>13059</v>
      </c>
      <c r="D2567" s="2" t="s">
        <v>59</v>
      </c>
      <c r="E2567" s="2">
        <v>200</v>
      </c>
      <c r="F2567" s="2">
        <v>4394.634</v>
      </c>
      <c r="G2567" s="1">
        <v>46134</v>
      </c>
    </row>
    <row r="2568" spans="3:6" x14ac:dyDescent="0.25">
      <c r="C2568" s="2" t="s">
        <v>13060</v>
      </c>
      <c r="D2568" s="2" t="s">
        <v>59</v>
      </c>
      <c r="E2568" s="2">
        <v>270</v>
      </c>
      <c r="F2568" s="2">
        <v>5213.488</v>
      </c>
    </row>
    <row r="2569" spans="3:6" x14ac:dyDescent="0.25">
      <c r="C2569" s="2" t="s">
        <v>13061</v>
      </c>
      <c r="D2569" s="2" t="s">
        <v>59</v>
      </c>
      <c r="E2569" s="2">
        <v>228</v>
      </c>
      <c r="F2569" s="2">
        <v>4426.706</v>
      </c>
    </row>
    <row r="2570" spans="3:6" x14ac:dyDescent="0.25">
      <c r="C2570" s="2" t="s">
        <v>13062</v>
      </c>
      <c r="D2570" s="2" t="s">
        <v>59</v>
      </c>
      <c r="E2570" s="2">
        <v>284</v>
      </c>
      <c r="F2570" s="2">
        <v>5574.219</v>
      </c>
    </row>
    <row r="2571" spans="3:6" x14ac:dyDescent="0.25">
      <c r="C2571" s="2" t="s">
        <v>13063</v>
      </c>
      <c r="D2571" s="2" t="s">
        <v>59</v>
      </c>
      <c r="E2571" s="2">
        <v>284</v>
      </c>
      <c r="F2571" s="2">
        <v>5591.04</v>
      </c>
    </row>
    <row r="2572" spans="3:6" x14ac:dyDescent="0.25">
      <c r="C2572" s="2" t="s">
        <v>13064</v>
      </c>
      <c r="D2572" s="2" t="s">
        <v>59</v>
      </c>
      <c r="E2572" s="2">
        <v>262</v>
      </c>
      <c r="F2572" s="2">
        <v>5093.839</v>
      </c>
    </row>
    <row r="2573" spans="3:6" x14ac:dyDescent="0.25">
      <c r="C2573" s="2" t="s">
        <v>13065</v>
      </c>
      <c r="D2573" s="2" t="s">
        <v>59</v>
      </c>
      <c r="E2573" s="2">
        <v>284</v>
      </c>
      <c r="F2573" s="2">
        <v>5538.855</v>
      </c>
    </row>
    <row r="2574" spans="3:6" x14ac:dyDescent="0.25">
      <c r="C2574" s="2" t="s">
        <v>13066</v>
      </c>
      <c r="D2574" s="2" t="s">
        <v>59</v>
      </c>
      <c r="E2574" s="2">
        <v>180</v>
      </c>
      <c r="F2574" s="2">
        <v>2855.231</v>
      </c>
    </row>
    <row r="2575" spans="3:6" x14ac:dyDescent="0.25">
      <c r="C2575" s="2" t="s">
        <v>13067</v>
      </c>
      <c r="D2575" s="2" t="s">
        <v>59</v>
      </c>
      <c r="E2575" s="2">
        <v>195</v>
      </c>
      <c r="F2575" s="2">
        <v>3773.959</v>
      </c>
    </row>
    <row r="2576" spans="3:6" x14ac:dyDescent="0.25">
      <c r="C2576" s="2" t="s">
        <v>13068</v>
      </c>
      <c r="D2576" s="2" t="s">
        <v>59</v>
      </c>
      <c r="E2576" s="2">
        <v>220</v>
      </c>
      <c r="F2576" s="2">
        <v>4138.911</v>
      </c>
    </row>
    <row r="2577" spans="3:6" x14ac:dyDescent="0.25">
      <c r="C2577" s="2" t="s">
        <v>13069</v>
      </c>
      <c r="D2577" s="2" t="s">
        <v>59</v>
      </c>
      <c r="E2577" s="2">
        <v>310</v>
      </c>
      <c r="F2577" s="2">
        <v>6080.719</v>
      </c>
    </row>
    <row r="2578" spans="3:6" x14ac:dyDescent="0.25">
      <c r="C2578" s="2" t="s">
        <v>13070</v>
      </c>
      <c r="D2578" s="2" t="s">
        <v>59</v>
      </c>
      <c r="E2578" s="2">
        <v>340</v>
      </c>
      <c r="F2578" s="2">
        <v>6523.858</v>
      </c>
    </row>
    <row r="2579" spans="3:6" x14ac:dyDescent="0.25">
      <c r="C2579" s="2" t="s">
        <v>13071</v>
      </c>
      <c r="D2579" s="2" t="s">
        <v>59</v>
      </c>
      <c r="E2579" s="2">
        <v>284</v>
      </c>
      <c r="F2579" s="2">
        <v>5495.372</v>
      </c>
    </row>
    <row r="2580" spans="3:6" x14ac:dyDescent="0.25">
      <c r="C2580" s="2" t="s">
        <v>13072</v>
      </c>
      <c r="D2580" s="2" t="s">
        <v>59</v>
      </c>
      <c r="E2580" s="2">
        <v>356</v>
      </c>
      <c r="F2580" s="2">
        <v>7505.83</v>
      </c>
    </row>
    <row r="2581" spans="3:6" x14ac:dyDescent="0.25">
      <c r="C2581" s="2" t="s">
        <v>13073</v>
      </c>
      <c r="D2581" s="2" t="s">
        <v>59</v>
      </c>
      <c r="E2581" s="2">
        <v>305</v>
      </c>
      <c r="F2581" s="2">
        <v>5793.41</v>
      </c>
    </row>
    <row r="2582" spans="3:6" x14ac:dyDescent="0.25">
      <c r="C2582" s="2" t="s">
        <v>13074</v>
      </c>
      <c r="D2582" s="2" t="s">
        <v>59</v>
      </c>
      <c r="E2582" s="2">
        <v>305</v>
      </c>
      <c r="F2582" s="2">
        <v>5887.119</v>
      </c>
    </row>
    <row r="2583" spans="3:6" x14ac:dyDescent="0.25">
      <c r="C2583" s="2" t="s">
        <v>13075</v>
      </c>
      <c r="D2583" s="2" t="s">
        <v>59</v>
      </c>
      <c r="E2583" s="2">
        <v>270</v>
      </c>
      <c r="F2583" s="2">
        <v>5278.199</v>
      </c>
    </row>
    <row r="2585" spans="1:7" x14ac:dyDescent="0.25">
      <c r="A2585" s="1">
        <v>46136</v>
      </c>
      <c r="B2585" s="2" t="s">
        <v>57</v>
      </c>
      <c r="C2585" s="2" t="s">
        <v>13076</v>
      </c>
      <c r="D2585" s="2" t="s">
        <v>59</v>
      </c>
      <c r="E2585" s="2">
        <v>312</v>
      </c>
      <c r="F2585" s="2">
        <v>5741.73</v>
      </c>
      <c r="G2585" s="1">
        <v>46135</v>
      </c>
    </row>
    <row r="2586" spans="3:6" x14ac:dyDescent="0.25">
      <c r="C2586" s="2" t="s">
        <v>13077</v>
      </c>
      <c r="D2586" s="2" t="s">
        <v>59</v>
      </c>
      <c r="E2586" s="2">
        <v>210</v>
      </c>
      <c r="F2586" s="2">
        <v>4162.73</v>
      </c>
    </row>
    <row r="2587" spans="3:6" x14ac:dyDescent="0.25">
      <c r="C2587" s="2" t="s">
        <v>13078</v>
      </c>
      <c r="D2587" s="2" t="s">
        <v>59</v>
      </c>
      <c r="E2587" s="2">
        <v>344</v>
      </c>
      <c r="F2587" s="2">
        <v>6971.58</v>
      </c>
    </row>
    <row r="2588" spans="3:6" x14ac:dyDescent="0.25">
      <c r="C2588" s="2" t="s">
        <v>13079</v>
      </c>
      <c r="D2588" s="2" t="s">
        <v>59</v>
      </c>
      <c r="E2588" s="2">
        <v>282</v>
      </c>
      <c r="F2588" s="2">
        <v>5024.476</v>
      </c>
    </row>
    <row r="2589" spans="3:6" x14ac:dyDescent="0.25">
      <c r="C2589" s="2" t="s">
        <v>13080</v>
      </c>
      <c r="D2589" s="2" t="s">
        <v>59</v>
      </c>
      <c r="E2589" s="2">
        <v>233</v>
      </c>
      <c r="F2589" s="2">
        <v>4897.279</v>
      </c>
    </row>
    <row r="2590" spans="3:6" x14ac:dyDescent="0.25">
      <c r="C2590" s="2" t="s">
        <v>13081</v>
      </c>
      <c r="D2590" s="2" t="s">
        <v>59</v>
      </c>
      <c r="E2590" s="2">
        <v>163</v>
      </c>
      <c r="F2590" s="2">
        <v>3041.17</v>
      </c>
    </row>
    <row r="2592" spans="1:7" x14ac:dyDescent="0.25">
      <c r="A2592" s="1">
        <v>46136</v>
      </c>
      <c r="B2592" s="2" t="s">
        <v>2428</v>
      </c>
      <c r="C2592" s="2" t="s">
        <v>13082</v>
      </c>
      <c r="D2592" s="2" t="s">
        <v>59</v>
      </c>
      <c r="E2592" s="2">
        <v>293</v>
      </c>
      <c r="F2592" s="2">
        <v>5787.788</v>
      </c>
      <c r="G2592" s="1">
        <v>46135</v>
      </c>
    </row>
    <row r="2593" spans="3:6" x14ac:dyDescent="0.25">
      <c r="C2593" s="2" t="s">
        <v>13083</v>
      </c>
      <c r="D2593" s="2" t="s">
        <v>59</v>
      </c>
      <c r="E2593" s="2">
        <v>356</v>
      </c>
      <c r="F2593" s="2">
        <v>6754.888</v>
      </c>
    </row>
    <row r="2594" spans="3:6" x14ac:dyDescent="0.25">
      <c r="C2594" s="2" t="s">
        <v>13084</v>
      </c>
      <c r="D2594" s="2" t="s">
        <v>59</v>
      </c>
      <c r="E2594" s="2">
        <v>173</v>
      </c>
      <c r="F2594" s="2">
        <v>3350.82</v>
      </c>
    </row>
    <row r="2595" spans="3:6" x14ac:dyDescent="0.25">
      <c r="C2595" s="2" t="s">
        <v>13085</v>
      </c>
      <c r="D2595" s="2" t="s">
        <v>59</v>
      </c>
      <c r="E2595" s="2">
        <v>261</v>
      </c>
      <c r="F2595" s="2">
        <v>5032.28</v>
      </c>
    </row>
    <row r="2596" spans="3:6" x14ac:dyDescent="0.25">
      <c r="C2596" s="2" t="s">
        <v>13086</v>
      </c>
      <c r="D2596" s="2" t="s">
        <v>59</v>
      </c>
      <c r="E2596" s="2">
        <v>105</v>
      </c>
      <c r="F2596" s="2">
        <v>1943.596</v>
      </c>
    </row>
    <row r="2597" spans="3:6" x14ac:dyDescent="0.25">
      <c r="C2597" s="2" t="s">
        <v>13087</v>
      </c>
      <c r="D2597" s="2" t="s">
        <v>59</v>
      </c>
      <c r="E2597" s="2">
        <v>163</v>
      </c>
      <c r="F2597" s="2">
        <v>3107.91</v>
      </c>
    </row>
    <row r="2598" spans="3:6" x14ac:dyDescent="0.25">
      <c r="C2598" s="2" t="s">
        <v>13088</v>
      </c>
      <c r="D2598" s="2" t="s">
        <v>59</v>
      </c>
      <c r="E2598" s="2">
        <v>275</v>
      </c>
      <c r="F2598" s="2">
        <v>5799.712</v>
      </c>
    </row>
    <row r="2600" spans="1:7" x14ac:dyDescent="0.25">
      <c r="A2600" s="1">
        <v>46136</v>
      </c>
      <c r="B2600" s="2" t="s">
        <v>664</v>
      </c>
      <c r="C2600" s="2" t="s">
        <v>13089</v>
      </c>
      <c r="D2600" s="2" t="s">
        <v>136</v>
      </c>
      <c r="E2600" s="2">
        <v>122</v>
      </c>
      <c r="F2600" s="2">
        <v>2494.559</v>
      </c>
      <c r="G2600" s="1">
        <v>46135</v>
      </c>
    </row>
    <row r="2601" spans="3:6" x14ac:dyDescent="0.25">
      <c r="C2601" s="2" t="s">
        <v>13090</v>
      </c>
      <c r="D2601" s="2" t="s">
        <v>136</v>
      </c>
      <c r="E2601" s="2">
        <v>17</v>
      </c>
      <c r="F2601" s="2">
        <v>325.18</v>
      </c>
    </row>
    <row r="2603" spans="1:7" x14ac:dyDescent="0.25">
      <c r="A2603" s="1">
        <v>46136</v>
      </c>
      <c r="B2603" s="2" t="s">
        <v>666</v>
      </c>
      <c r="C2603" s="2" t="s">
        <v>13091</v>
      </c>
      <c r="D2603" s="2" t="s">
        <v>59</v>
      </c>
      <c r="E2603" s="2">
        <v>149</v>
      </c>
      <c r="F2603" s="2">
        <v>3136.01</v>
      </c>
      <c r="G2603" s="1">
        <v>46133</v>
      </c>
    </row>
    <row r="2604" spans="3:6" x14ac:dyDescent="0.25">
      <c r="C2604" s="2" t="s">
        <v>13092</v>
      </c>
      <c r="D2604" s="2" t="s">
        <v>59</v>
      </c>
      <c r="E2604" s="2">
        <v>149</v>
      </c>
      <c r="F2604" s="2">
        <v>3493.17</v>
      </c>
    </row>
    <row r="2605" spans="3:6" x14ac:dyDescent="0.25">
      <c r="C2605" s="2" t="s">
        <v>13093</v>
      </c>
      <c r="D2605" s="2" t="s">
        <v>59</v>
      </c>
      <c r="E2605" s="2">
        <v>149</v>
      </c>
      <c r="F2605" s="2">
        <v>3009.489</v>
      </c>
    </row>
    <row r="2606" spans="3:6" x14ac:dyDescent="0.25">
      <c r="C2606" s="2" t="s">
        <v>13094</v>
      </c>
      <c r="D2606" s="2" t="s">
        <v>59</v>
      </c>
      <c r="E2606" s="2">
        <v>149</v>
      </c>
      <c r="F2606" s="2">
        <v>3821.01</v>
      </c>
    </row>
    <row r="2607" spans="3:6" x14ac:dyDescent="0.25">
      <c r="C2607" s="2" t="s">
        <v>13095</v>
      </c>
      <c r="D2607" s="2" t="s">
        <v>59</v>
      </c>
      <c r="E2607" s="2">
        <v>149</v>
      </c>
      <c r="F2607" s="2">
        <v>3072.26</v>
      </c>
    </row>
    <row r="2608" spans="3:6" x14ac:dyDescent="0.25">
      <c r="C2608" s="2" t="s">
        <v>13096</v>
      </c>
      <c r="D2608" s="2" t="s">
        <v>59</v>
      </c>
      <c r="E2608" s="2">
        <v>149</v>
      </c>
      <c r="F2608" s="2">
        <v>3111.22</v>
      </c>
    </row>
    <row r="2609" spans="3:6" x14ac:dyDescent="0.25">
      <c r="C2609" s="2" t="s">
        <v>13097</v>
      </c>
      <c r="D2609" s="2" t="s">
        <v>59</v>
      </c>
      <c r="E2609" s="2">
        <v>149</v>
      </c>
      <c r="F2609" s="2">
        <v>3072.658</v>
      </c>
    </row>
    <row r="2611" spans="1:7" x14ac:dyDescent="0.25">
      <c r="A2611" s="1">
        <v>46137</v>
      </c>
      <c r="B2611" s="2" t="s">
        <v>1012</v>
      </c>
      <c r="C2611" s="2" t="s">
        <v>13098</v>
      </c>
      <c r="D2611" s="2" t="s">
        <v>73</v>
      </c>
      <c r="E2611" s="2">
        <v>62</v>
      </c>
      <c r="F2611" s="2">
        <v>1194.18</v>
      </c>
      <c r="G2611" s="1">
        <v>46135</v>
      </c>
    </row>
    <row r="2612" spans="3:6" x14ac:dyDescent="0.25">
      <c r="C2612" s="2" t="s">
        <v>13099</v>
      </c>
      <c r="D2612" s="2" t="s">
        <v>73</v>
      </c>
      <c r="E2612" s="2">
        <v>38</v>
      </c>
      <c r="F2612" s="2">
        <v>706.919</v>
      </c>
    </row>
    <row r="2613" spans="3:6" x14ac:dyDescent="0.25">
      <c r="C2613" s="2" t="s">
        <v>13100</v>
      </c>
      <c r="D2613" s="2" t="s">
        <v>73</v>
      </c>
      <c r="E2613" s="2">
        <v>61</v>
      </c>
      <c r="F2613" s="2">
        <v>1212.859</v>
      </c>
    </row>
    <row r="2614" spans="3:6" x14ac:dyDescent="0.25">
      <c r="C2614" s="2" t="s">
        <v>13101</v>
      </c>
      <c r="D2614" s="2" t="s">
        <v>73</v>
      </c>
      <c r="E2614" s="2">
        <v>33</v>
      </c>
      <c r="F2614" s="2">
        <v>558.629</v>
      </c>
    </row>
    <row r="2616" spans="1:7" x14ac:dyDescent="0.25">
      <c r="A2616" s="1">
        <v>46137</v>
      </c>
      <c r="B2616" s="2" t="s">
        <v>13102</v>
      </c>
      <c r="C2616" s="2" t="s">
        <v>13103</v>
      </c>
      <c r="D2616" s="2" t="s">
        <v>82</v>
      </c>
      <c r="E2616" s="2">
        <v>18</v>
      </c>
      <c r="F2616" s="2">
        <v>367.74</v>
      </c>
      <c r="G2616" s="1">
        <v>46136</v>
      </c>
    </row>
    <row r="2617" spans="3:6" x14ac:dyDescent="0.25">
      <c r="C2617" s="2" t="s">
        <v>13104</v>
      </c>
      <c r="D2617" s="2" t="s">
        <v>82</v>
      </c>
      <c r="E2617" s="2">
        <v>59</v>
      </c>
      <c r="F2617" s="2">
        <v>1241.93</v>
      </c>
    </row>
    <row r="2618" spans="3:6" x14ac:dyDescent="0.25">
      <c r="C2618" s="2" t="s">
        <v>13105</v>
      </c>
      <c r="D2618" s="2" t="s">
        <v>82</v>
      </c>
      <c r="E2618" s="2">
        <v>40</v>
      </c>
      <c r="F2618" s="2">
        <v>758.429</v>
      </c>
    </row>
    <row r="2619" spans="3:6" x14ac:dyDescent="0.25">
      <c r="C2619" s="2" t="s">
        <v>13106</v>
      </c>
      <c r="D2619" s="2" t="s">
        <v>82</v>
      </c>
      <c r="E2619" s="2">
        <v>6</v>
      </c>
      <c r="F2619" s="2">
        <v>68.662</v>
      </c>
    </row>
    <row r="2620" spans="3:6" x14ac:dyDescent="0.25">
      <c r="C2620" s="2" t="s">
        <v>13107</v>
      </c>
      <c r="D2620" s="2" t="s">
        <v>82</v>
      </c>
      <c r="E2620" s="2">
        <v>16</v>
      </c>
      <c r="F2620" s="2">
        <v>306.09</v>
      </c>
    </row>
    <row r="2621" spans="3:6" x14ac:dyDescent="0.25">
      <c r="C2621" s="2" t="s">
        <v>13108</v>
      </c>
      <c r="D2621" s="2" t="s">
        <v>82</v>
      </c>
      <c r="E2621" s="2">
        <v>36</v>
      </c>
      <c r="F2621" s="2">
        <v>358.034</v>
      </c>
    </row>
    <row r="2622" spans="3:6" x14ac:dyDescent="0.25">
      <c r="C2622" s="2" t="s">
        <v>13109</v>
      </c>
      <c r="D2622" s="2" t="s">
        <v>82</v>
      </c>
      <c r="E2622" s="2">
        <v>30</v>
      </c>
      <c r="F2622" s="2">
        <v>591.1</v>
      </c>
    </row>
    <row r="2623" spans="3:6" x14ac:dyDescent="0.25">
      <c r="C2623" s="2" t="s">
        <v>13110</v>
      </c>
      <c r="D2623" s="2" t="s">
        <v>82</v>
      </c>
      <c r="E2623" s="2">
        <v>40</v>
      </c>
      <c r="F2623" s="2">
        <v>779.86</v>
      </c>
    </row>
    <row r="2624" spans="3:6" x14ac:dyDescent="0.25">
      <c r="C2624" s="2" t="s">
        <v>13111</v>
      </c>
      <c r="D2624" s="2" t="s">
        <v>82</v>
      </c>
      <c r="E2624" s="2">
        <v>21</v>
      </c>
      <c r="F2624" s="2">
        <v>430.7</v>
      </c>
    </row>
    <row r="2625" spans="3:6" x14ac:dyDescent="0.25">
      <c r="C2625" s="2" t="s">
        <v>13112</v>
      </c>
      <c r="D2625" s="2" t="s">
        <v>82</v>
      </c>
      <c r="E2625" s="2">
        <v>141</v>
      </c>
      <c r="F2625" s="2">
        <v>2736.25</v>
      </c>
    </row>
    <row r="2626" spans="3:6" x14ac:dyDescent="0.25">
      <c r="C2626" s="2" t="s">
        <v>13113</v>
      </c>
      <c r="D2626" s="2" t="s">
        <v>82</v>
      </c>
      <c r="E2626" s="2">
        <v>32</v>
      </c>
      <c r="F2626" s="2">
        <v>641.05</v>
      </c>
    </row>
    <row r="2627" spans="3:6" x14ac:dyDescent="0.25">
      <c r="C2627" s="2" t="s">
        <v>13114</v>
      </c>
      <c r="D2627" s="2" t="s">
        <v>82</v>
      </c>
      <c r="E2627" s="2">
        <v>9</v>
      </c>
      <c r="F2627" s="2">
        <v>157.73</v>
      </c>
    </row>
    <row r="2628" spans="3:6" x14ac:dyDescent="0.25">
      <c r="C2628" s="2" t="s">
        <v>13115</v>
      </c>
      <c r="D2628" s="2" t="s">
        <v>82</v>
      </c>
      <c r="E2628" s="2">
        <v>10</v>
      </c>
      <c r="F2628" s="2">
        <v>102.2</v>
      </c>
    </row>
    <row r="2629" spans="3:6" x14ac:dyDescent="0.25">
      <c r="C2629" s="2" t="s">
        <v>13116</v>
      </c>
      <c r="D2629" s="2" t="s">
        <v>82</v>
      </c>
      <c r="E2629" s="2">
        <v>11</v>
      </c>
      <c r="F2629" s="2">
        <v>201.35</v>
      </c>
    </row>
    <row r="2630" spans="3:6" x14ac:dyDescent="0.25">
      <c r="C2630" s="2" t="s">
        <v>13117</v>
      </c>
      <c r="D2630" s="2" t="s">
        <v>82</v>
      </c>
      <c r="E2630" s="2">
        <v>11</v>
      </c>
      <c r="F2630" s="2">
        <v>202.1</v>
      </c>
    </row>
    <row r="2631" spans="3:6" x14ac:dyDescent="0.25">
      <c r="C2631" s="2" t="s">
        <v>13118</v>
      </c>
      <c r="D2631" s="2" t="s">
        <v>82</v>
      </c>
      <c r="E2631" s="2">
        <v>32</v>
      </c>
      <c r="F2631" s="2">
        <v>657.65</v>
      </c>
    </row>
    <row r="2632" spans="3:6" x14ac:dyDescent="0.25">
      <c r="C2632" s="2" t="s">
        <v>13119</v>
      </c>
      <c r="D2632" s="2" t="s">
        <v>82</v>
      </c>
      <c r="E2632" s="2">
        <v>62</v>
      </c>
      <c r="F2632" s="2">
        <v>2210.548</v>
      </c>
    </row>
    <row r="2633" spans="3:6" x14ac:dyDescent="0.25">
      <c r="C2633" s="2" t="s">
        <v>13120</v>
      </c>
      <c r="D2633" s="2" t="s">
        <v>82</v>
      </c>
      <c r="E2633" s="2">
        <v>62</v>
      </c>
      <c r="F2633" s="2">
        <v>2230.099</v>
      </c>
    </row>
    <row r="2634" spans="3:6" x14ac:dyDescent="0.25">
      <c r="C2634" s="2" t="s">
        <v>13121</v>
      </c>
      <c r="D2634" s="2" t="s">
        <v>82</v>
      </c>
      <c r="E2634" s="2">
        <v>141</v>
      </c>
      <c r="F2634" s="2">
        <v>2944.529</v>
      </c>
    </row>
    <row r="2635" spans="3:6" x14ac:dyDescent="0.25">
      <c r="C2635" s="2" t="s">
        <v>13122</v>
      </c>
      <c r="D2635" s="2" t="s">
        <v>82</v>
      </c>
      <c r="E2635" s="2">
        <v>67</v>
      </c>
      <c r="F2635" s="2">
        <v>1413.89</v>
      </c>
    </row>
    <row r="2636" spans="3:6" x14ac:dyDescent="0.25">
      <c r="C2636" s="2" t="s">
        <v>13123</v>
      </c>
      <c r="D2636" s="2" t="s">
        <v>82</v>
      </c>
      <c r="E2636" s="2">
        <v>74</v>
      </c>
      <c r="F2636" s="2">
        <v>1508.46</v>
      </c>
    </row>
    <row r="2637" spans="3:6" x14ac:dyDescent="0.25">
      <c r="C2637" s="2" t="s">
        <v>13124</v>
      </c>
      <c r="D2637" s="2" t="s">
        <v>82</v>
      </c>
      <c r="E2637" s="2">
        <v>11</v>
      </c>
      <c r="F2637" s="2">
        <v>181.78</v>
      </c>
    </row>
    <row r="2638" spans="3:6" x14ac:dyDescent="0.25">
      <c r="C2638" s="2" t="s">
        <v>13125</v>
      </c>
      <c r="D2638" s="2" t="s">
        <v>82</v>
      </c>
      <c r="E2638" s="2">
        <v>110</v>
      </c>
      <c r="F2638" s="2">
        <v>932.868</v>
      </c>
    </row>
    <row r="2639" spans="3:6" x14ac:dyDescent="0.25">
      <c r="C2639" s="2" t="s">
        <v>13126</v>
      </c>
      <c r="D2639" s="2" t="s">
        <v>82</v>
      </c>
      <c r="E2639" s="2">
        <v>141</v>
      </c>
      <c r="F2639" s="2">
        <v>2921.93</v>
      </c>
    </row>
    <row r="2640" spans="3:6" x14ac:dyDescent="0.25">
      <c r="C2640" s="2" t="s">
        <v>13127</v>
      </c>
      <c r="D2640" s="2" t="s">
        <v>82</v>
      </c>
      <c r="E2640" s="2">
        <v>34</v>
      </c>
      <c r="F2640" s="2">
        <v>697.6</v>
      </c>
    </row>
    <row r="2641" spans="3:6" x14ac:dyDescent="0.25">
      <c r="C2641" s="2" t="s">
        <v>13128</v>
      </c>
      <c r="D2641" s="2" t="s">
        <v>82</v>
      </c>
      <c r="E2641" s="2">
        <v>22</v>
      </c>
      <c r="F2641" s="2">
        <v>444.48</v>
      </c>
    </row>
    <row r="2642" spans="3:6" x14ac:dyDescent="0.25">
      <c r="C2642" s="2" t="s">
        <v>13129</v>
      </c>
      <c r="D2642" s="2" t="s">
        <v>82</v>
      </c>
      <c r="E2642" s="2">
        <v>17</v>
      </c>
      <c r="F2642" s="2">
        <v>333.87</v>
      </c>
    </row>
    <row r="2643" spans="3:6" x14ac:dyDescent="0.25">
      <c r="C2643" s="2" t="s">
        <v>13130</v>
      </c>
      <c r="D2643" s="2" t="s">
        <v>82</v>
      </c>
      <c r="E2643" s="2">
        <v>29</v>
      </c>
      <c r="F2643" s="2">
        <v>603.3</v>
      </c>
    </row>
    <row r="2644" spans="3:6" x14ac:dyDescent="0.25">
      <c r="C2644" s="2" t="s">
        <v>13131</v>
      </c>
      <c r="D2644" s="2" t="s">
        <v>82</v>
      </c>
      <c r="E2644" s="2">
        <v>228</v>
      </c>
      <c r="F2644" s="2">
        <f>555.229+427</f>
        <v>982.229</v>
      </c>
    </row>
    <row r="2645" spans="3:6" x14ac:dyDescent="0.25">
      <c r="C2645" s="2" t="s">
        <v>13132</v>
      </c>
      <c r="D2645" s="2" t="s">
        <v>82</v>
      </c>
      <c r="E2645" s="2">
        <v>61</v>
      </c>
      <c r="F2645" s="2">
        <v>1274.89</v>
      </c>
    </row>
    <row r="2646" spans="3:6" x14ac:dyDescent="0.25">
      <c r="C2646" s="2" t="s">
        <v>13133</v>
      </c>
      <c r="D2646" s="2" t="s">
        <v>82</v>
      </c>
      <c r="E2646" s="2">
        <v>60</v>
      </c>
      <c r="F2646" s="2">
        <v>1167.39</v>
      </c>
    </row>
    <row r="2647" spans="3:6" x14ac:dyDescent="0.25">
      <c r="C2647" s="2" t="s">
        <v>13134</v>
      </c>
      <c r="D2647" s="2" t="s">
        <v>82</v>
      </c>
      <c r="E2647" s="2">
        <v>33</v>
      </c>
      <c r="F2647" s="2">
        <v>683.92</v>
      </c>
    </row>
    <row r="2648" spans="3:6" x14ac:dyDescent="0.25">
      <c r="C2648" s="2" t="s">
        <v>13135</v>
      </c>
      <c r="D2648" s="2" t="s">
        <v>82</v>
      </c>
      <c r="E2648" s="2">
        <v>71</v>
      </c>
      <c r="F2648" s="2">
        <v>1370.58</v>
      </c>
    </row>
    <row r="2649" spans="3:6" x14ac:dyDescent="0.25">
      <c r="C2649" s="2" t="s">
        <v>13136</v>
      </c>
      <c r="D2649" s="2" t="s">
        <v>82</v>
      </c>
      <c r="E2649" s="2">
        <v>30</v>
      </c>
      <c r="F2649" s="2">
        <v>621.22</v>
      </c>
    </row>
    <row r="2650" spans="3:6" x14ac:dyDescent="0.25">
      <c r="C2650" s="2" t="s">
        <v>13137</v>
      </c>
      <c r="D2650" s="2" t="s">
        <v>82</v>
      </c>
      <c r="E2650" s="2">
        <v>141</v>
      </c>
      <c r="F2650" s="2">
        <v>2924.95</v>
      </c>
    </row>
    <row r="2651" spans="3:6" x14ac:dyDescent="0.25">
      <c r="C2651" s="2" t="s">
        <v>13138</v>
      </c>
      <c r="D2651" s="2" t="s">
        <v>82</v>
      </c>
      <c r="E2651" s="2">
        <v>141</v>
      </c>
      <c r="F2651" s="2">
        <v>2883.19</v>
      </c>
    </row>
    <row r="2652" spans="3:6" x14ac:dyDescent="0.25">
      <c r="C2652" s="2" t="s">
        <v>13139</v>
      </c>
      <c r="D2652" s="2" t="s">
        <v>82</v>
      </c>
      <c r="E2652" s="2">
        <v>102</v>
      </c>
      <c r="F2652" s="2">
        <v>2119.51</v>
      </c>
    </row>
    <row r="2653" spans="3:6" x14ac:dyDescent="0.25">
      <c r="C2653" s="2" t="s">
        <v>13140</v>
      </c>
      <c r="D2653" s="2" t="s">
        <v>82</v>
      </c>
      <c r="E2653" s="2">
        <v>50</v>
      </c>
      <c r="F2653" s="2">
        <v>1043.51</v>
      </c>
    </row>
    <row r="2654" spans="3:6" x14ac:dyDescent="0.25">
      <c r="C2654" s="2" t="s">
        <v>13141</v>
      </c>
      <c r="D2654" s="2" t="s">
        <v>82</v>
      </c>
      <c r="E2654" s="2">
        <v>38</v>
      </c>
      <c r="F2654" s="2">
        <v>795.11</v>
      </c>
    </row>
    <row r="2655" spans="3:6" x14ac:dyDescent="0.25">
      <c r="C2655" s="2" t="s">
        <v>13142</v>
      </c>
      <c r="D2655" s="2" t="s">
        <v>82</v>
      </c>
      <c r="E2655" s="2">
        <v>14</v>
      </c>
      <c r="F2655" s="2">
        <v>314.15</v>
      </c>
    </row>
    <row r="2656" spans="3:6" x14ac:dyDescent="0.25">
      <c r="C2656" s="2" t="s">
        <v>13143</v>
      </c>
      <c r="D2656" s="2" t="s">
        <v>82</v>
      </c>
      <c r="E2656" s="2">
        <v>30</v>
      </c>
      <c r="F2656" s="2">
        <v>644.43</v>
      </c>
    </row>
    <row r="2657" spans="3:6" x14ac:dyDescent="0.25">
      <c r="C2657" s="2" t="s">
        <v>13144</v>
      </c>
      <c r="D2657" s="2" t="s">
        <v>82</v>
      </c>
      <c r="E2657" s="2">
        <v>45</v>
      </c>
      <c r="F2657" s="2">
        <v>889.05</v>
      </c>
    </row>
    <row r="2658" spans="3:6" x14ac:dyDescent="0.25">
      <c r="C2658" s="2" t="s">
        <v>13145</v>
      </c>
      <c r="D2658" s="2" t="s">
        <v>82</v>
      </c>
      <c r="E2658" s="2">
        <v>141</v>
      </c>
      <c r="F2658" s="2">
        <v>2828.65</v>
      </c>
    </row>
    <row r="2659" spans="3:6" x14ac:dyDescent="0.25">
      <c r="C2659" s="2" t="s">
        <v>13146</v>
      </c>
      <c r="D2659" s="2" t="s">
        <v>82</v>
      </c>
      <c r="E2659" s="2">
        <v>90</v>
      </c>
      <c r="F2659" s="2">
        <v>1848.762</v>
      </c>
    </row>
    <row r="2660" spans="3:6" x14ac:dyDescent="0.25">
      <c r="C2660" s="2" t="s">
        <v>13147</v>
      </c>
      <c r="D2660" s="2" t="s">
        <v>82</v>
      </c>
      <c r="E2660" s="2">
        <v>51</v>
      </c>
      <c r="F2660" s="2">
        <v>1040.56</v>
      </c>
    </row>
    <row r="2661" spans="3:6" x14ac:dyDescent="0.25">
      <c r="C2661" s="2" t="s">
        <v>13148</v>
      </c>
      <c r="D2661" s="2" t="s">
        <v>82</v>
      </c>
      <c r="E2661" s="2">
        <v>107</v>
      </c>
      <c r="F2661" s="2">
        <v>2272.97</v>
      </c>
    </row>
    <row r="2662" spans="3:6" x14ac:dyDescent="0.25">
      <c r="C2662" s="2" t="s">
        <v>13149</v>
      </c>
      <c r="D2662" s="2" t="s">
        <v>82</v>
      </c>
      <c r="E2662" s="2">
        <v>34</v>
      </c>
      <c r="F2662" s="2">
        <v>688.2</v>
      </c>
    </row>
    <row r="2663" spans="3:6" x14ac:dyDescent="0.25">
      <c r="C2663" s="2" t="s">
        <v>13150</v>
      </c>
      <c r="D2663" s="2" t="s">
        <v>82</v>
      </c>
      <c r="E2663" s="2">
        <v>57</v>
      </c>
      <c r="F2663" s="2">
        <v>1169.95</v>
      </c>
    </row>
    <row r="2664" spans="3:6" x14ac:dyDescent="0.25">
      <c r="C2664" s="2" t="s">
        <v>13151</v>
      </c>
      <c r="D2664" s="2" t="s">
        <v>82</v>
      </c>
      <c r="E2664" s="2">
        <v>37</v>
      </c>
      <c r="F2664" s="2">
        <v>748.94</v>
      </c>
    </row>
    <row r="2665" spans="3:6" x14ac:dyDescent="0.25">
      <c r="C2665" s="2" t="s">
        <v>13152</v>
      </c>
      <c r="D2665" s="2" t="s">
        <v>82</v>
      </c>
      <c r="E2665" s="2">
        <v>22</v>
      </c>
      <c r="F2665" s="2">
        <v>452.03</v>
      </c>
    </row>
    <row r="2666" spans="3:6" x14ac:dyDescent="0.25">
      <c r="C2666" s="2" t="s">
        <v>13153</v>
      </c>
      <c r="D2666" s="2" t="s">
        <v>82</v>
      </c>
      <c r="E2666" s="2">
        <v>25</v>
      </c>
      <c r="F2666" s="2">
        <v>550.85</v>
      </c>
    </row>
    <row r="2667" spans="3:6" x14ac:dyDescent="0.25">
      <c r="C2667" s="2" t="s">
        <v>13154</v>
      </c>
      <c r="D2667" s="2" t="s">
        <v>82</v>
      </c>
      <c r="E2667" s="2">
        <v>88</v>
      </c>
      <c r="F2667" s="2">
        <v>1736.64</v>
      </c>
    </row>
    <row r="2668" spans="3:6" x14ac:dyDescent="0.25">
      <c r="C2668" s="2" t="s">
        <v>13155</v>
      </c>
      <c r="D2668" s="2" t="s">
        <v>82</v>
      </c>
      <c r="E2668" s="2">
        <v>53</v>
      </c>
      <c r="F2668" s="2">
        <v>1096.99</v>
      </c>
    </row>
    <row r="2669" spans="3:6" x14ac:dyDescent="0.25">
      <c r="C2669" s="2" t="s">
        <v>13156</v>
      </c>
      <c r="D2669" s="2" t="s">
        <v>82</v>
      </c>
      <c r="E2669" s="2">
        <v>51</v>
      </c>
      <c r="F2669" s="2">
        <v>1026.039</v>
      </c>
    </row>
    <row r="2670" spans="3:6" x14ac:dyDescent="0.25">
      <c r="C2670" s="2" t="s">
        <v>13157</v>
      </c>
      <c r="D2670" s="2" t="s">
        <v>82</v>
      </c>
      <c r="E2670" s="2">
        <v>29</v>
      </c>
      <c r="F2670" s="2">
        <v>590.3</v>
      </c>
    </row>
    <row r="2671" spans="3:6" x14ac:dyDescent="0.25">
      <c r="C2671" s="2" t="s">
        <v>13158</v>
      </c>
      <c r="D2671" s="2" t="s">
        <v>82</v>
      </c>
      <c r="E2671" s="2">
        <v>44</v>
      </c>
      <c r="F2671" s="2">
        <v>873.27</v>
      </c>
    </row>
    <row r="2672" spans="3:6" x14ac:dyDescent="0.25">
      <c r="C2672" s="2" t="s">
        <v>13159</v>
      </c>
      <c r="D2672" s="2" t="s">
        <v>82</v>
      </c>
      <c r="E2672" s="2">
        <v>17</v>
      </c>
      <c r="F2672" s="2">
        <v>343.43</v>
      </c>
    </row>
    <row r="2673" spans="3:6" x14ac:dyDescent="0.25">
      <c r="C2673" s="2" t="s">
        <v>13160</v>
      </c>
      <c r="D2673" s="2" t="s">
        <v>82</v>
      </c>
      <c r="E2673" s="2">
        <v>83</v>
      </c>
      <c r="F2673" s="2">
        <v>1720.38</v>
      </c>
    </row>
    <row r="2674" spans="3:6" x14ac:dyDescent="0.25">
      <c r="C2674" s="2" t="s">
        <v>13161</v>
      </c>
      <c r="D2674" s="2" t="s">
        <v>82</v>
      </c>
      <c r="E2674" s="2">
        <v>19</v>
      </c>
      <c r="F2674" s="2">
        <v>390.24</v>
      </c>
    </row>
    <row r="2676" spans="1:7" x14ac:dyDescent="0.25">
      <c r="A2676" s="1">
        <v>46137</v>
      </c>
      <c r="B2676" s="2" t="s">
        <v>7</v>
      </c>
      <c r="C2676" s="2" t="s">
        <v>13162</v>
      </c>
      <c r="D2676" s="2" t="s">
        <v>9</v>
      </c>
      <c r="E2676" s="2">
        <v>89</v>
      </c>
      <c r="F2676" s="2">
        <v>1728.416</v>
      </c>
      <c r="G2676" s="1">
        <v>46142</v>
      </c>
    </row>
    <row r="2677" spans="3:6" x14ac:dyDescent="0.25">
      <c r="C2677" s="2" t="s">
        <v>13163</v>
      </c>
      <c r="D2677" s="2" t="s">
        <v>9</v>
      </c>
      <c r="E2677" s="2">
        <v>70</v>
      </c>
      <c r="F2677" s="2">
        <v>1434.84</v>
      </c>
    </row>
    <row r="2679" spans="1:7" x14ac:dyDescent="0.25">
      <c r="A2679" s="1">
        <v>46137</v>
      </c>
      <c r="B2679" s="2" t="s">
        <v>2368</v>
      </c>
      <c r="C2679" s="2" t="s">
        <v>13164</v>
      </c>
      <c r="D2679" s="2" t="s">
        <v>292</v>
      </c>
      <c r="E2679" s="2">
        <v>105</v>
      </c>
      <c r="F2679" s="2">
        <v>2176.15</v>
      </c>
      <c r="G2679" s="1">
        <v>46136</v>
      </c>
    </row>
    <row r="2681" spans="1:7" x14ac:dyDescent="0.25">
      <c r="A2681" s="1">
        <v>46137</v>
      </c>
      <c r="B2681" s="2" t="s">
        <v>13165</v>
      </c>
      <c r="C2681" s="2" t="s">
        <v>13166</v>
      </c>
      <c r="D2681" s="2" t="s">
        <v>136</v>
      </c>
      <c r="E2681" s="2">
        <v>105</v>
      </c>
      <c r="F2681" s="2">
        <v>1785.12</v>
      </c>
      <c r="G2681" s="1">
        <v>46136</v>
      </c>
    </row>
    <row r="2682" spans="3:6" x14ac:dyDescent="0.25">
      <c r="C2682" s="2" t="s">
        <v>13167</v>
      </c>
      <c r="D2682" s="2" t="s">
        <v>26</v>
      </c>
      <c r="E2682" s="2">
        <v>105</v>
      </c>
      <c r="F2682" s="2">
        <v>1726.71</v>
      </c>
    </row>
    <row r="2683" spans="3:6" x14ac:dyDescent="0.25">
      <c r="C2683" s="2" t="s">
        <v>13168</v>
      </c>
      <c r="D2683" s="2" t="s">
        <v>26</v>
      </c>
      <c r="E2683" s="2">
        <v>156</v>
      </c>
      <c r="F2683" s="2">
        <v>2615.61</v>
      </c>
    </row>
    <row r="2684" spans="3:6" x14ac:dyDescent="0.25">
      <c r="C2684" s="2" t="s">
        <v>13169</v>
      </c>
      <c r="D2684" s="2" t="s">
        <v>30</v>
      </c>
      <c r="E2684" s="2">
        <v>148</v>
      </c>
      <c r="F2684" s="2">
        <v>2514.139</v>
      </c>
    </row>
    <row r="2685" spans="3:6" x14ac:dyDescent="0.25">
      <c r="C2685" s="2" t="s">
        <v>13170</v>
      </c>
      <c r="D2685" s="2" t="s">
        <v>15</v>
      </c>
      <c r="E2685" s="2">
        <v>105</v>
      </c>
      <c r="F2685" s="2">
        <v>1747.168</v>
      </c>
    </row>
    <row r="2686" spans="3:6" x14ac:dyDescent="0.25">
      <c r="C2686" s="2" t="s">
        <v>13171</v>
      </c>
      <c r="D2686" s="2" t="s">
        <v>15</v>
      </c>
      <c r="E2686" s="2">
        <v>105</v>
      </c>
      <c r="F2686" s="2">
        <v>1954.02</v>
      </c>
    </row>
    <row r="2687" spans="3:6" x14ac:dyDescent="0.25">
      <c r="C2687" s="2" t="s">
        <v>13172</v>
      </c>
      <c r="D2687" s="2" t="s">
        <v>53</v>
      </c>
      <c r="E2687" s="2">
        <v>156</v>
      </c>
      <c r="F2687" s="2">
        <v>3015.648</v>
      </c>
    </row>
    <row r="2688" spans="3:6" x14ac:dyDescent="0.25">
      <c r="C2688" s="2" t="s">
        <v>13173</v>
      </c>
      <c r="D2688" s="2" t="s">
        <v>26</v>
      </c>
      <c r="E2688" s="2">
        <v>156</v>
      </c>
      <c r="F2688" s="2">
        <v>2740.329</v>
      </c>
    </row>
    <row r="2689" spans="3:6" x14ac:dyDescent="0.25">
      <c r="C2689" s="2" t="s">
        <v>13174</v>
      </c>
      <c r="D2689" s="2" t="s">
        <v>53</v>
      </c>
      <c r="E2689" s="2">
        <v>156</v>
      </c>
      <c r="F2689" s="2">
        <v>3061.929</v>
      </c>
    </row>
    <row r="2691" spans="3:7" x14ac:dyDescent="0.25">
      <c r="C2691" s="2" t="s">
        <v>13175</v>
      </c>
      <c r="D2691" s="2" t="s">
        <v>15</v>
      </c>
      <c r="E2691" s="2">
        <v>156</v>
      </c>
      <c r="F2691" s="2">
        <v>3124.23</v>
      </c>
      <c r="G2691" s="1">
        <v>46136</v>
      </c>
    </row>
    <row r="2692" spans="3:6" x14ac:dyDescent="0.25">
      <c r="C2692" s="2" t="s">
        <v>13176</v>
      </c>
      <c r="D2692" s="2" t="s">
        <v>15</v>
      </c>
      <c r="E2692" s="2">
        <v>40</v>
      </c>
      <c r="F2692" s="2">
        <v>744</v>
      </c>
    </row>
    <row r="2693" spans="3:6" x14ac:dyDescent="0.25">
      <c r="C2693" s="2" t="s">
        <v>13177</v>
      </c>
      <c r="D2693" s="2" t="s">
        <v>15</v>
      </c>
      <c r="E2693" s="2">
        <v>68</v>
      </c>
      <c r="F2693" s="2">
        <v>1357.04</v>
      </c>
    </row>
    <row r="2694" spans="3:6" x14ac:dyDescent="0.25">
      <c r="C2694" s="2" t="s">
        <v>13178</v>
      </c>
      <c r="D2694" s="2" t="s">
        <v>15</v>
      </c>
      <c r="E2694" s="2">
        <v>26</v>
      </c>
      <c r="F2694" s="2">
        <v>518.098</v>
      </c>
    </row>
    <row r="2695" spans="3:6" x14ac:dyDescent="0.25">
      <c r="C2695" s="2" t="s">
        <v>13179</v>
      </c>
      <c r="D2695" s="2" t="s">
        <v>15</v>
      </c>
      <c r="E2695" s="2">
        <v>134</v>
      </c>
      <c r="F2695" s="2">
        <v>2655.04</v>
      </c>
    </row>
    <row r="2696" spans="3:6" x14ac:dyDescent="0.25">
      <c r="C2696" s="2" t="s">
        <v>13180</v>
      </c>
      <c r="D2696" s="2" t="s">
        <v>15</v>
      </c>
      <c r="E2696" s="2">
        <v>105</v>
      </c>
      <c r="F2696" s="2">
        <v>800</v>
      </c>
    </row>
    <row r="2697" spans="3:6" x14ac:dyDescent="0.25">
      <c r="C2697" s="2" t="s">
        <v>13181</v>
      </c>
      <c r="D2697" s="2" t="s">
        <v>15</v>
      </c>
      <c r="E2697" s="2">
        <v>150</v>
      </c>
      <c r="F2697" s="2">
        <v>800</v>
      </c>
    </row>
    <row r="2698" spans="3:6" x14ac:dyDescent="0.25">
      <c r="C2698" s="2" t="s">
        <v>13182</v>
      </c>
      <c r="D2698" s="2" t="s">
        <v>15</v>
      </c>
      <c r="E2698" s="2">
        <v>36</v>
      </c>
      <c r="F2698" s="2">
        <v>705.22</v>
      </c>
    </row>
    <row r="2699" spans="3:6" x14ac:dyDescent="0.25">
      <c r="C2699" s="2" t="s">
        <v>13183</v>
      </c>
      <c r="D2699" s="2" t="s">
        <v>26</v>
      </c>
      <c r="E2699" s="2">
        <v>156</v>
      </c>
      <c r="F2699" s="2">
        <v>3092.34</v>
      </c>
    </row>
    <row r="2700" spans="3:6" x14ac:dyDescent="0.25">
      <c r="C2700" s="2" t="s">
        <v>13184</v>
      </c>
      <c r="D2700" s="2" t="s">
        <v>30</v>
      </c>
      <c r="E2700" s="2">
        <v>134</v>
      </c>
      <c r="F2700" s="2">
        <v>2711.32</v>
      </c>
    </row>
    <row r="2701" spans="3:6" x14ac:dyDescent="0.25">
      <c r="C2701" s="2" t="s">
        <v>13185</v>
      </c>
      <c r="D2701" s="2" t="s">
        <v>30</v>
      </c>
      <c r="E2701" s="2">
        <v>95</v>
      </c>
      <c r="F2701" s="2">
        <v>1940.609</v>
      </c>
    </row>
    <row r="2702" spans="3:6" x14ac:dyDescent="0.25">
      <c r="C2702" s="2" t="s">
        <v>13186</v>
      </c>
      <c r="D2702" s="2" t="s">
        <v>30</v>
      </c>
      <c r="E2702" s="2">
        <v>56</v>
      </c>
      <c r="F2702" s="2">
        <v>1106.75</v>
      </c>
    </row>
    <row r="2703" spans="3:6" x14ac:dyDescent="0.25">
      <c r="C2703" s="2" t="s">
        <v>13187</v>
      </c>
      <c r="D2703" s="2" t="s">
        <v>30</v>
      </c>
      <c r="E2703" s="2">
        <v>52</v>
      </c>
      <c r="F2703" s="2">
        <v>933.7</v>
      </c>
    </row>
    <row r="2704" spans="3:6" x14ac:dyDescent="0.25">
      <c r="C2704" s="2" t="s">
        <v>13188</v>
      </c>
      <c r="D2704" s="2" t="s">
        <v>42</v>
      </c>
      <c r="E2704" s="2">
        <v>100</v>
      </c>
      <c r="F2704" s="2">
        <v>1915.5</v>
      </c>
    </row>
    <row r="2705" spans="3:6" x14ac:dyDescent="0.25">
      <c r="C2705" s="2" t="s">
        <v>13189</v>
      </c>
      <c r="D2705" s="2" t="s">
        <v>42</v>
      </c>
      <c r="E2705" s="2">
        <v>13</v>
      </c>
      <c r="F2705" s="2">
        <v>255.77</v>
      </c>
    </row>
    <row r="2706" spans="3:6" x14ac:dyDescent="0.25">
      <c r="C2706" s="2" t="s">
        <v>13190</v>
      </c>
      <c r="D2706" s="2" t="s">
        <v>42</v>
      </c>
      <c r="E2706" s="2">
        <v>43</v>
      </c>
      <c r="F2706" s="2">
        <v>791.5</v>
      </c>
    </row>
    <row r="2708" spans="1:7" x14ac:dyDescent="0.25">
      <c r="A2708" s="1">
        <v>46138</v>
      </c>
      <c r="B2708" s="2" t="s">
        <v>8989</v>
      </c>
      <c r="C2708" s="2" t="s">
        <v>13191</v>
      </c>
      <c r="D2708" s="2" t="s">
        <v>4096</v>
      </c>
      <c r="E2708" s="2">
        <v>48</v>
      </c>
      <c r="F2708" s="2">
        <v>971.03</v>
      </c>
      <c r="G2708" s="1">
        <v>46138</v>
      </c>
    </row>
    <row r="2709" spans="3:6" x14ac:dyDescent="0.25">
      <c r="C2709" s="2" t="s">
        <v>13192</v>
      </c>
      <c r="D2709" s="2" t="s">
        <v>4096</v>
      </c>
      <c r="E2709" s="2">
        <v>47</v>
      </c>
      <c r="F2709" s="2">
        <v>1599.18</v>
      </c>
    </row>
    <row r="2710" spans="3:6" x14ac:dyDescent="0.25">
      <c r="C2710" s="2" t="s">
        <v>13193</v>
      </c>
      <c r="D2710" s="2" t="s">
        <v>4096</v>
      </c>
      <c r="E2710" s="2">
        <v>105</v>
      </c>
      <c r="F2710" s="2">
        <v>2044.96</v>
      </c>
    </row>
    <row r="2711" spans="3:6" x14ac:dyDescent="0.25">
      <c r="C2711" s="2" t="s">
        <v>13194</v>
      </c>
      <c r="D2711" s="2" t="s">
        <v>4096</v>
      </c>
      <c r="E2711" s="2">
        <v>18</v>
      </c>
      <c r="F2711" s="2">
        <v>616.9</v>
      </c>
    </row>
    <row r="2712" spans="3:6" x14ac:dyDescent="0.25">
      <c r="C2712" s="2" t="s">
        <v>13195</v>
      </c>
      <c r="D2712" s="2" t="s">
        <v>4096</v>
      </c>
      <c r="E2712" s="2">
        <v>67</v>
      </c>
      <c r="F2712" s="2">
        <v>1297.82</v>
      </c>
    </row>
    <row r="2713" spans="3:6" x14ac:dyDescent="0.25">
      <c r="C2713" s="2" t="s">
        <v>13196</v>
      </c>
      <c r="D2713" s="2" t="s">
        <v>4096</v>
      </c>
      <c r="E2713" s="2">
        <v>37</v>
      </c>
      <c r="F2713" s="2">
        <v>1299.66</v>
      </c>
    </row>
    <row r="2715" spans="1:7" x14ac:dyDescent="0.25">
      <c r="A2715" s="1">
        <v>46138</v>
      </c>
      <c r="B2715" s="2" t="s">
        <v>495</v>
      </c>
      <c r="C2715" s="2" t="s">
        <v>13197</v>
      </c>
      <c r="D2715" s="2" t="s">
        <v>178</v>
      </c>
      <c r="E2715" s="2">
        <v>306</v>
      </c>
      <c r="F2715" s="2">
        <v>6329.9</v>
      </c>
      <c r="G2715" s="1">
        <v>46138</v>
      </c>
    </row>
    <row r="2716" spans="3:6" x14ac:dyDescent="0.25">
      <c r="C2716" s="2" t="s">
        <v>13198</v>
      </c>
      <c r="D2716" s="2" t="s">
        <v>178</v>
      </c>
      <c r="E2716" s="2">
        <v>123</v>
      </c>
      <c r="F2716" s="2">
        <v>2549.91</v>
      </c>
    </row>
    <row r="2717" spans="3:6" x14ac:dyDescent="0.25">
      <c r="C2717" s="2" t="s">
        <v>13199</v>
      </c>
      <c r="D2717" s="2" t="s">
        <v>178</v>
      </c>
      <c r="E2717" s="2">
        <v>102</v>
      </c>
      <c r="F2717" s="2">
        <v>2093.51</v>
      </c>
    </row>
    <row r="2718" spans="3:6" x14ac:dyDescent="0.25">
      <c r="C2718" s="2" t="s">
        <v>13200</v>
      </c>
      <c r="D2718" s="2" t="s">
        <v>178</v>
      </c>
      <c r="E2718" s="2">
        <v>28</v>
      </c>
      <c r="F2718" s="2">
        <v>545.99</v>
      </c>
    </row>
    <row r="2719" spans="3:6" x14ac:dyDescent="0.25">
      <c r="C2719" s="2" t="s">
        <v>13201</v>
      </c>
      <c r="D2719" s="2" t="s">
        <v>178</v>
      </c>
      <c r="E2719" s="2">
        <v>95</v>
      </c>
      <c r="F2719" s="2">
        <v>1828.11</v>
      </c>
    </row>
    <row r="2720" spans="3:6" x14ac:dyDescent="0.25">
      <c r="C2720" s="2" t="s">
        <v>13202</v>
      </c>
      <c r="D2720" s="2" t="s">
        <v>178</v>
      </c>
      <c r="E2720" s="2">
        <v>246</v>
      </c>
      <c r="F2720" s="2">
        <v>4988.049</v>
      </c>
    </row>
    <row r="2721" spans="3:6" x14ac:dyDescent="0.25">
      <c r="C2721" s="2" t="s">
        <v>13203</v>
      </c>
      <c r="D2721" s="2" t="s">
        <v>178</v>
      </c>
      <c r="E2721" s="2">
        <v>141</v>
      </c>
      <c r="F2721" s="2">
        <v>2460.368</v>
      </c>
    </row>
    <row r="2722" spans="3:6" x14ac:dyDescent="0.25">
      <c r="C2722" s="2" t="s">
        <v>13204</v>
      </c>
      <c r="D2722" s="2" t="s">
        <v>178</v>
      </c>
      <c r="E2722" s="2">
        <v>65</v>
      </c>
      <c r="F2722" s="2">
        <v>276.38</v>
      </c>
    </row>
    <row r="2723" spans="3:6" x14ac:dyDescent="0.25">
      <c r="C2723" s="2" t="s">
        <v>13205</v>
      </c>
      <c r="D2723" s="2" t="s">
        <v>178</v>
      </c>
      <c r="E2723" s="2">
        <v>100</v>
      </c>
      <c r="F2723" s="2">
        <v>1996.959</v>
      </c>
    </row>
    <row r="2724" spans="3:6" x14ac:dyDescent="0.25">
      <c r="C2724" s="2" t="s">
        <v>13206</v>
      </c>
      <c r="D2724" s="2" t="s">
        <v>178</v>
      </c>
      <c r="E2724" s="2">
        <v>41</v>
      </c>
      <c r="F2724" s="2">
        <v>883.71</v>
      </c>
    </row>
    <row r="2725" spans="3:6" x14ac:dyDescent="0.25">
      <c r="C2725" s="2" t="s">
        <v>13207</v>
      </c>
      <c r="D2725" s="2" t="s">
        <v>178</v>
      </c>
      <c r="E2725" s="2">
        <v>141</v>
      </c>
      <c r="F2725" s="2">
        <v>2904.65</v>
      </c>
    </row>
    <row r="2726" spans="3:6" x14ac:dyDescent="0.25">
      <c r="C2726" s="2" t="s">
        <v>13208</v>
      </c>
      <c r="D2726" s="2" t="s">
        <v>178</v>
      </c>
      <c r="E2726" s="2">
        <v>85</v>
      </c>
      <c r="F2726" s="2">
        <v>1658.37</v>
      </c>
    </row>
    <row r="2727" spans="3:6" x14ac:dyDescent="0.25">
      <c r="C2727" s="2" t="s">
        <v>13209</v>
      </c>
      <c r="D2727" s="2" t="s">
        <v>178</v>
      </c>
      <c r="E2727" s="2">
        <v>17</v>
      </c>
      <c r="F2727" s="2">
        <v>341.09</v>
      </c>
    </row>
    <row r="2728" spans="3:6" x14ac:dyDescent="0.25">
      <c r="C2728" s="2" t="s">
        <v>13210</v>
      </c>
      <c r="D2728" s="2" t="s">
        <v>178</v>
      </c>
      <c r="E2728" s="2">
        <v>9</v>
      </c>
      <c r="F2728" s="2">
        <v>39.28</v>
      </c>
    </row>
    <row r="2729" spans="3:6" x14ac:dyDescent="0.25">
      <c r="C2729" s="2" t="s">
        <v>13211</v>
      </c>
      <c r="D2729" s="2" t="s">
        <v>178</v>
      </c>
      <c r="E2729" s="2">
        <v>141</v>
      </c>
      <c r="F2729" s="2">
        <v>2894.73</v>
      </c>
    </row>
    <row r="2730" spans="3:6" x14ac:dyDescent="0.25">
      <c r="C2730" s="2" t="s">
        <v>13212</v>
      </c>
      <c r="D2730" s="2" t="s">
        <v>178</v>
      </c>
      <c r="E2730" s="2">
        <v>62</v>
      </c>
      <c r="F2730" s="2">
        <v>1199.77</v>
      </c>
    </row>
    <row r="2731" spans="3:6" x14ac:dyDescent="0.25">
      <c r="C2731" s="2" t="s">
        <v>13213</v>
      </c>
      <c r="D2731" s="2" t="s">
        <v>178</v>
      </c>
      <c r="E2731" s="2">
        <v>64</v>
      </c>
      <c r="F2731" s="2">
        <v>1362.63</v>
      </c>
    </row>
    <row r="2732" spans="3:6" x14ac:dyDescent="0.25">
      <c r="C2732" s="2" t="s">
        <v>13214</v>
      </c>
      <c r="D2732" s="2" t="s">
        <v>178</v>
      </c>
      <c r="E2732" s="2">
        <v>137</v>
      </c>
      <c r="F2732" s="2">
        <v>2898.92</v>
      </c>
    </row>
    <row r="2733" spans="3:6" x14ac:dyDescent="0.25">
      <c r="C2733" s="2" t="s">
        <v>13215</v>
      </c>
      <c r="D2733" s="2" t="s">
        <v>178</v>
      </c>
      <c r="E2733" s="2">
        <v>137</v>
      </c>
      <c r="F2733" s="2">
        <v>2884.8</v>
      </c>
    </row>
    <row r="2734" spans="3:6" x14ac:dyDescent="0.25">
      <c r="C2734" s="2" t="s">
        <v>13216</v>
      </c>
      <c r="D2734" s="2" t="s">
        <v>178</v>
      </c>
      <c r="E2734" s="2">
        <v>70</v>
      </c>
      <c r="F2734" s="2">
        <v>1358.49</v>
      </c>
    </row>
    <row r="2735" spans="3:6" x14ac:dyDescent="0.25">
      <c r="C2735" s="2" t="s">
        <v>13217</v>
      </c>
      <c r="D2735" s="2" t="s">
        <v>178</v>
      </c>
      <c r="E2735" s="2">
        <v>282</v>
      </c>
      <c r="F2735" s="2">
        <v>5396.917</v>
      </c>
    </row>
    <row r="2736" spans="3:6" x14ac:dyDescent="0.25">
      <c r="C2736" s="2" t="s">
        <v>13218</v>
      </c>
      <c r="D2736" s="2" t="s">
        <v>178</v>
      </c>
      <c r="E2736" s="2">
        <v>237</v>
      </c>
      <c r="F2736" s="2">
        <v>5102.73</v>
      </c>
    </row>
    <row r="2737" spans="3:6" x14ac:dyDescent="0.25">
      <c r="C2737" s="2" t="s">
        <v>13219</v>
      </c>
      <c r="D2737" s="2" t="s">
        <v>178</v>
      </c>
      <c r="E2737" s="2">
        <v>150</v>
      </c>
      <c r="F2737" s="2">
        <v>3119.53</v>
      </c>
    </row>
    <row r="2738" spans="3:6" x14ac:dyDescent="0.25">
      <c r="C2738" s="2" t="s">
        <v>13220</v>
      </c>
      <c r="D2738" s="2" t="s">
        <v>178</v>
      </c>
      <c r="E2738" s="2">
        <v>87</v>
      </c>
      <c r="F2738" s="2">
        <v>1882.38</v>
      </c>
    </row>
    <row r="2739" spans="3:6" x14ac:dyDescent="0.25">
      <c r="C2739" s="2" t="s">
        <v>13221</v>
      </c>
      <c r="D2739" s="2" t="s">
        <v>178</v>
      </c>
      <c r="E2739" s="2">
        <v>18</v>
      </c>
      <c r="F2739" s="2">
        <v>345.679</v>
      </c>
    </row>
    <row r="2740" spans="3:6" x14ac:dyDescent="0.25">
      <c r="C2740" s="2" t="s">
        <v>13222</v>
      </c>
      <c r="D2740" s="2" t="s">
        <v>178</v>
      </c>
      <c r="E2740" s="2">
        <v>106</v>
      </c>
      <c r="F2740" s="2">
        <v>2074.56</v>
      </c>
    </row>
    <row r="2741" spans="3:6" x14ac:dyDescent="0.25">
      <c r="C2741" s="2" t="s">
        <v>13223</v>
      </c>
      <c r="D2741" s="2" t="s">
        <v>178</v>
      </c>
      <c r="E2741" s="2">
        <v>17</v>
      </c>
      <c r="F2741" s="2">
        <v>336.319</v>
      </c>
    </row>
    <row r="2742" spans="3:6" x14ac:dyDescent="0.25">
      <c r="C2742" s="2" t="s">
        <v>13224</v>
      </c>
      <c r="D2742" s="2" t="s">
        <v>178</v>
      </c>
      <c r="E2742" s="2">
        <v>107</v>
      </c>
      <c r="F2742" s="2">
        <v>2027.1</v>
      </c>
    </row>
    <row r="2743" spans="3:6" x14ac:dyDescent="0.25">
      <c r="C2743" s="2" t="s">
        <v>13225</v>
      </c>
      <c r="D2743" s="2" t="s">
        <v>178</v>
      </c>
      <c r="E2743" s="2">
        <v>32</v>
      </c>
      <c r="F2743" s="2">
        <v>600.68</v>
      </c>
    </row>
    <row r="2744" spans="3:6" x14ac:dyDescent="0.25">
      <c r="C2744" s="2" t="s">
        <v>13226</v>
      </c>
      <c r="D2744" s="2" t="s">
        <v>178</v>
      </c>
      <c r="E2744" s="2">
        <v>65</v>
      </c>
      <c r="F2744" s="2">
        <v>1272.36</v>
      </c>
    </row>
    <row r="2745" spans="3:6" x14ac:dyDescent="0.25">
      <c r="C2745" s="2" t="s">
        <v>13227</v>
      </c>
      <c r="D2745" s="2" t="s">
        <v>178</v>
      </c>
      <c r="E2745" s="2">
        <v>65</v>
      </c>
      <c r="F2745" s="2">
        <v>1279.729</v>
      </c>
    </row>
    <row r="2746" spans="3:6" x14ac:dyDescent="0.25">
      <c r="C2746" s="2" t="s">
        <v>13228</v>
      </c>
      <c r="D2746" s="2" t="s">
        <v>178</v>
      </c>
      <c r="E2746" s="2">
        <v>107</v>
      </c>
      <c r="F2746" s="2">
        <v>2164.89</v>
      </c>
    </row>
    <row r="2747" spans="3:6" x14ac:dyDescent="0.25">
      <c r="C2747" s="2" t="s">
        <v>13229</v>
      </c>
      <c r="D2747" s="2" t="s">
        <v>178</v>
      </c>
      <c r="E2747" s="2">
        <v>32</v>
      </c>
      <c r="F2747" s="2">
        <v>668.44</v>
      </c>
    </row>
    <row r="2748" spans="3:6" x14ac:dyDescent="0.25">
      <c r="C2748" s="2" t="s">
        <v>13230</v>
      </c>
      <c r="D2748" s="2" t="s">
        <v>178</v>
      </c>
      <c r="E2748" s="2">
        <v>137</v>
      </c>
      <c r="F2748" s="2">
        <v>2961.97</v>
      </c>
    </row>
    <row r="2749" spans="3:6" x14ac:dyDescent="0.25">
      <c r="C2749" s="2" t="s">
        <v>13231</v>
      </c>
      <c r="D2749" s="2" t="s">
        <v>178</v>
      </c>
      <c r="E2749" s="2">
        <v>100</v>
      </c>
      <c r="F2749" s="2">
        <v>1923.33</v>
      </c>
    </row>
    <row r="2750" spans="3:6" x14ac:dyDescent="0.25">
      <c r="C2750" s="2" t="s">
        <v>13232</v>
      </c>
      <c r="D2750" s="2" t="s">
        <v>178</v>
      </c>
      <c r="E2750" s="2">
        <v>39</v>
      </c>
      <c r="F2750" s="2">
        <v>762.24</v>
      </c>
    </row>
    <row r="2751" spans="3:6" x14ac:dyDescent="0.25">
      <c r="C2751" s="2" t="s">
        <v>13233</v>
      </c>
      <c r="D2751" s="2" t="s">
        <v>178</v>
      </c>
      <c r="E2751" s="2">
        <v>63</v>
      </c>
      <c r="F2751" s="2">
        <v>1236.88</v>
      </c>
    </row>
    <row r="2752" spans="3:6" x14ac:dyDescent="0.25">
      <c r="C2752" s="2" t="s">
        <v>13234</v>
      </c>
      <c r="D2752" s="2" t="s">
        <v>178</v>
      </c>
      <c r="E2752" s="2">
        <v>46</v>
      </c>
      <c r="F2752" s="2">
        <v>951.29</v>
      </c>
    </row>
    <row r="2753" spans="3:6" x14ac:dyDescent="0.25">
      <c r="C2753" s="2" t="s">
        <v>13235</v>
      </c>
      <c r="D2753" s="2" t="s">
        <v>178</v>
      </c>
      <c r="E2753" s="2">
        <v>10</v>
      </c>
      <c r="F2753" s="2">
        <v>201.09</v>
      </c>
    </row>
    <row r="2754" spans="3:6" x14ac:dyDescent="0.25">
      <c r="C2754" s="2" t="s">
        <v>13236</v>
      </c>
      <c r="D2754" s="2" t="s">
        <v>178</v>
      </c>
      <c r="E2754" s="2">
        <v>8</v>
      </c>
      <c r="F2754" s="2">
        <v>149.68</v>
      </c>
    </row>
    <row r="2755" spans="3:6" x14ac:dyDescent="0.25">
      <c r="C2755" s="2" t="s">
        <v>13237</v>
      </c>
      <c r="D2755" s="2" t="s">
        <v>178</v>
      </c>
      <c r="E2755" s="2">
        <v>11</v>
      </c>
      <c r="F2755" s="2">
        <v>176.17</v>
      </c>
    </row>
    <row r="2757" spans="1:7" x14ac:dyDescent="0.25">
      <c r="A2757" s="1">
        <v>46138</v>
      </c>
      <c r="B2757" s="2" t="s">
        <v>80</v>
      </c>
      <c r="C2757" s="2" t="s">
        <v>13238</v>
      </c>
      <c r="D2757" s="2" t="s">
        <v>82</v>
      </c>
      <c r="E2757" s="2">
        <v>123</v>
      </c>
      <c r="F2757" s="2">
        <v>2643.71</v>
      </c>
      <c r="G2757" s="1">
        <v>46137</v>
      </c>
    </row>
    <row r="2758" spans="3:6" x14ac:dyDescent="0.25">
      <c r="C2758" s="2" t="s">
        <v>13239</v>
      </c>
      <c r="D2758" s="2" t="s">
        <v>82</v>
      </c>
      <c r="E2758" s="2">
        <v>92</v>
      </c>
      <c r="F2758" s="2">
        <v>2189.596</v>
      </c>
    </row>
    <row r="2759" spans="3:6" x14ac:dyDescent="0.25">
      <c r="C2759" s="2" t="s">
        <v>13240</v>
      </c>
      <c r="D2759" s="2" t="s">
        <v>82</v>
      </c>
      <c r="E2759" s="2">
        <v>67</v>
      </c>
      <c r="F2759" s="2">
        <v>1723.08</v>
      </c>
    </row>
    <row r="2760" spans="3:6" x14ac:dyDescent="0.25">
      <c r="C2760" s="2" t="s">
        <v>13241</v>
      </c>
      <c r="D2760" s="2" t="s">
        <v>82</v>
      </c>
      <c r="E2760" s="2">
        <v>102</v>
      </c>
      <c r="F2760" s="2">
        <v>2076.17</v>
      </c>
    </row>
    <row r="2761" spans="3:6" x14ac:dyDescent="0.25">
      <c r="C2761" s="2" t="s">
        <v>13242</v>
      </c>
      <c r="D2761" s="2" t="s">
        <v>82</v>
      </c>
      <c r="E2761" s="2">
        <v>102</v>
      </c>
      <c r="F2761" s="2">
        <v>2184.33</v>
      </c>
    </row>
    <row r="2762" spans="3:6" x14ac:dyDescent="0.25">
      <c r="C2762" s="2" t="s">
        <v>13243</v>
      </c>
      <c r="D2762" s="2" t="s">
        <v>82</v>
      </c>
      <c r="E2762" s="2">
        <v>48</v>
      </c>
      <c r="F2762" s="2">
        <v>966.3</v>
      </c>
    </row>
    <row r="2763" spans="3:6" x14ac:dyDescent="0.25">
      <c r="C2763" s="2" t="s">
        <v>13244</v>
      </c>
      <c r="D2763" s="2" t="s">
        <v>82</v>
      </c>
      <c r="E2763" s="2">
        <v>27</v>
      </c>
      <c r="F2763" s="2">
        <v>235.844</v>
      </c>
    </row>
    <row r="2764" spans="3:6" x14ac:dyDescent="0.25">
      <c r="C2764" s="2" t="s">
        <v>13245</v>
      </c>
      <c r="D2764" s="2" t="s">
        <v>82</v>
      </c>
      <c r="E2764" s="2">
        <v>18</v>
      </c>
      <c r="F2764" s="2">
        <v>343.75</v>
      </c>
    </row>
    <row r="2765" spans="3:6" x14ac:dyDescent="0.25">
      <c r="C2765" s="2" t="s">
        <v>13246</v>
      </c>
      <c r="D2765" s="2" t="s">
        <v>82</v>
      </c>
      <c r="E2765" s="2">
        <v>91</v>
      </c>
      <c r="F2765" s="2">
        <v>2484.583</v>
      </c>
    </row>
    <row r="2766" spans="3:6" x14ac:dyDescent="0.25">
      <c r="C2766" s="2" t="s">
        <v>13247</v>
      </c>
      <c r="D2766" s="2" t="s">
        <v>82</v>
      </c>
      <c r="E2766" s="2">
        <v>82</v>
      </c>
      <c r="F2766" s="2">
        <v>2301.17</v>
      </c>
    </row>
    <row r="2767" spans="3:6" x14ac:dyDescent="0.25">
      <c r="C2767" s="2" t="s">
        <v>13248</v>
      </c>
      <c r="D2767" s="2" t="s">
        <v>82</v>
      </c>
      <c r="E2767" s="2">
        <v>40</v>
      </c>
      <c r="F2767" s="2">
        <v>782.19</v>
      </c>
    </row>
    <row r="2768" spans="3:6" x14ac:dyDescent="0.25">
      <c r="C2768" s="2" t="s">
        <v>13249</v>
      </c>
      <c r="D2768" s="2" t="s">
        <v>82</v>
      </c>
      <c r="E2768" s="2">
        <v>40</v>
      </c>
      <c r="F2768" s="2">
        <v>774.43</v>
      </c>
    </row>
    <row r="2769" spans="3:6" x14ac:dyDescent="0.25">
      <c r="C2769" s="2" t="s">
        <v>13250</v>
      </c>
      <c r="D2769" s="2" t="s">
        <v>82</v>
      </c>
      <c r="E2769" s="2">
        <v>22</v>
      </c>
      <c r="F2769" s="2">
        <v>463.37</v>
      </c>
    </row>
    <row r="2770" spans="3:6" x14ac:dyDescent="0.25">
      <c r="C2770" s="2" t="s">
        <v>13251</v>
      </c>
      <c r="D2770" s="2" t="s">
        <v>82</v>
      </c>
      <c r="E2770" s="2">
        <v>170</v>
      </c>
      <c r="F2770" s="2">
        <v>728.618</v>
      </c>
    </row>
    <row r="2771" spans="3:6" x14ac:dyDescent="0.25">
      <c r="C2771" s="2" t="s">
        <v>13252</v>
      </c>
      <c r="D2771" s="2" t="s">
        <v>82</v>
      </c>
      <c r="E2771" s="2">
        <v>102</v>
      </c>
      <c r="F2771" s="2">
        <v>2096.59</v>
      </c>
    </row>
    <row r="2772" spans="3:6" x14ac:dyDescent="0.25">
      <c r="C2772" s="2" t="s">
        <v>13253</v>
      </c>
      <c r="D2772" s="2" t="s">
        <v>82</v>
      </c>
      <c r="E2772" s="2">
        <v>121</v>
      </c>
      <c r="F2772" s="2">
        <v>2518.19</v>
      </c>
    </row>
    <row r="2773" spans="3:6" x14ac:dyDescent="0.25">
      <c r="C2773" s="2" t="s">
        <v>13254</v>
      </c>
      <c r="D2773" s="2" t="s">
        <v>82</v>
      </c>
      <c r="E2773" s="2">
        <v>100</v>
      </c>
      <c r="F2773" s="2">
        <v>1998.819</v>
      </c>
    </row>
    <row r="2774" spans="3:6" x14ac:dyDescent="0.25">
      <c r="C2774" s="2" t="s">
        <v>13255</v>
      </c>
      <c r="D2774" s="2" t="s">
        <v>82</v>
      </c>
      <c r="E2774" s="2">
        <v>21</v>
      </c>
      <c r="F2774" s="2">
        <v>411.14</v>
      </c>
    </row>
    <row r="2775" spans="3:6" x14ac:dyDescent="0.25">
      <c r="C2775" s="2" t="s">
        <v>13256</v>
      </c>
      <c r="D2775" s="2" t="s">
        <v>82</v>
      </c>
      <c r="E2775" s="2">
        <v>40</v>
      </c>
      <c r="F2775" s="2">
        <v>781.65</v>
      </c>
    </row>
    <row r="2776" spans="3:6" x14ac:dyDescent="0.25">
      <c r="C2776" s="2" t="s">
        <v>13257</v>
      </c>
      <c r="D2776" s="2" t="s">
        <v>82</v>
      </c>
      <c r="E2776" s="2">
        <v>35</v>
      </c>
      <c r="F2776" s="2">
        <v>736.03</v>
      </c>
    </row>
    <row r="2777" spans="3:6" x14ac:dyDescent="0.25">
      <c r="C2777" s="2" t="s">
        <v>13258</v>
      </c>
      <c r="D2777" s="2" t="s">
        <v>82</v>
      </c>
      <c r="E2777" s="2">
        <v>69</v>
      </c>
      <c r="F2777" s="2">
        <v>1415.799</v>
      </c>
    </row>
    <row r="2778" spans="3:6" x14ac:dyDescent="0.25">
      <c r="C2778" s="2" t="s">
        <v>13259</v>
      </c>
      <c r="D2778" s="2" t="s">
        <v>82</v>
      </c>
      <c r="E2778" s="2">
        <v>40</v>
      </c>
      <c r="F2778" s="2">
        <v>848.4</v>
      </c>
    </row>
    <row r="2779" spans="3:6" x14ac:dyDescent="0.25">
      <c r="C2779" s="2" t="s">
        <v>13260</v>
      </c>
      <c r="D2779" s="2" t="s">
        <v>82</v>
      </c>
      <c r="E2779" s="2">
        <v>32</v>
      </c>
      <c r="F2779" s="2">
        <v>692.2</v>
      </c>
    </row>
    <row r="2780" spans="3:6" x14ac:dyDescent="0.25">
      <c r="C2780" s="2" t="s">
        <v>13261</v>
      </c>
      <c r="D2780" s="2" t="s">
        <v>82</v>
      </c>
      <c r="E2780" s="2">
        <v>62</v>
      </c>
      <c r="F2780" s="2">
        <v>1332.86</v>
      </c>
    </row>
    <row r="2781" spans="3:6" x14ac:dyDescent="0.25">
      <c r="C2781" s="2" t="s">
        <v>13262</v>
      </c>
      <c r="D2781" s="2" t="s">
        <v>82</v>
      </c>
      <c r="E2781" s="2">
        <v>37</v>
      </c>
      <c r="F2781" s="2">
        <v>769.86</v>
      </c>
    </row>
    <row r="2782" spans="3:6" x14ac:dyDescent="0.25">
      <c r="C2782" s="2" t="s">
        <v>13263</v>
      </c>
      <c r="D2782" s="2" t="s">
        <v>82</v>
      </c>
      <c r="E2782" s="2">
        <v>42</v>
      </c>
      <c r="F2782" s="2">
        <v>882.07</v>
      </c>
    </row>
    <row r="2783" spans="3:6" x14ac:dyDescent="0.25">
      <c r="C2783" s="2" t="s">
        <v>13264</v>
      </c>
      <c r="D2783" s="2" t="s">
        <v>82</v>
      </c>
      <c r="E2783" s="2">
        <v>39</v>
      </c>
      <c r="F2783" s="2">
        <v>798.78</v>
      </c>
    </row>
    <row r="2784" spans="3:6" x14ac:dyDescent="0.25">
      <c r="C2784" s="2" t="s">
        <v>13265</v>
      </c>
      <c r="D2784" s="2" t="s">
        <v>82</v>
      </c>
      <c r="E2784" s="2">
        <v>55</v>
      </c>
      <c r="F2784" s="2">
        <v>1178.47</v>
      </c>
    </row>
    <row r="2785" spans="3:6" x14ac:dyDescent="0.25">
      <c r="C2785" s="2" t="s">
        <v>13266</v>
      </c>
      <c r="D2785" s="2" t="s">
        <v>82</v>
      </c>
      <c r="E2785" s="2">
        <v>14</v>
      </c>
      <c r="F2785" s="2">
        <v>280.3</v>
      </c>
    </row>
    <row r="2786" spans="3:6" x14ac:dyDescent="0.25">
      <c r="C2786" s="2" t="s">
        <v>13267</v>
      </c>
      <c r="D2786" s="2" t="s">
        <v>82</v>
      </c>
      <c r="E2786" s="2">
        <v>33</v>
      </c>
      <c r="F2786" s="2">
        <v>666.99</v>
      </c>
    </row>
    <row r="2787" spans="3:6" x14ac:dyDescent="0.25">
      <c r="C2787" s="2" t="s">
        <v>13268</v>
      </c>
      <c r="D2787" s="2" t="s">
        <v>82</v>
      </c>
      <c r="E2787" s="2">
        <v>80</v>
      </c>
      <c r="F2787" s="2">
        <v>1659.47</v>
      </c>
    </row>
    <row r="2788" spans="3:6" x14ac:dyDescent="0.25">
      <c r="C2788" s="2" t="s">
        <v>13269</v>
      </c>
      <c r="D2788" s="2" t="s">
        <v>82</v>
      </c>
      <c r="E2788" s="2">
        <v>61</v>
      </c>
      <c r="F2788" s="2">
        <v>1241.56</v>
      </c>
    </row>
    <row r="2789" spans="3:6" x14ac:dyDescent="0.25">
      <c r="C2789" s="2" t="s">
        <v>13270</v>
      </c>
      <c r="D2789" s="2" t="s">
        <v>82</v>
      </c>
      <c r="E2789" s="2">
        <v>63</v>
      </c>
      <c r="F2789" s="2">
        <v>1309.35</v>
      </c>
    </row>
    <row r="2790" spans="3:6" x14ac:dyDescent="0.25">
      <c r="C2790" s="2" t="s">
        <v>13271</v>
      </c>
      <c r="D2790" s="2" t="s">
        <v>82</v>
      </c>
      <c r="E2790" s="2">
        <v>42</v>
      </c>
      <c r="F2790" s="2">
        <v>898.7</v>
      </c>
    </row>
    <row r="2791" spans="3:6" x14ac:dyDescent="0.25">
      <c r="C2791" s="2" t="s">
        <v>13272</v>
      </c>
      <c r="D2791" s="2" t="s">
        <v>82</v>
      </c>
      <c r="E2791" s="2">
        <v>23</v>
      </c>
      <c r="F2791" s="2">
        <v>490.38</v>
      </c>
    </row>
    <row r="2792" spans="3:6" x14ac:dyDescent="0.25">
      <c r="C2792" s="2" t="s">
        <v>13273</v>
      </c>
      <c r="D2792" s="2" t="s">
        <v>82</v>
      </c>
      <c r="E2792" s="2">
        <v>13</v>
      </c>
      <c r="F2792" s="2">
        <v>263.8</v>
      </c>
    </row>
    <row r="2793" spans="3:6" x14ac:dyDescent="0.25">
      <c r="C2793" s="2" t="s">
        <v>13274</v>
      </c>
      <c r="D2793" s="2" t="s">
        <v>82</v>
      </c>
      <c r="E2793" s="2">
        <v>27</v>
      </c>
      <c r="F2793" s="2">
        <v>543.36</v>
      </c>
    </row>
    <row r="2794" spans="3:6" x14ac:dyDescent="0.25">
      <c r="C2794" s="2" t="s">
        <v>13275</v>
      </c>
      <c r="D2794" s="2" t="s">
        <v>82</v>
      </c>
      <c r="E2794" s="2">
        <v>21</v>
      </c>
      <c r="F2794" s="2">
        <v>429.71</v>
      </c>
    </row>
    <row r="2795" spans="3:6" x14ac:dyDescent="0.25">
      <c r="C2795" s="2" t="s">
        <v>13276</v>
      </c>
      <c r="D2795" s="2" t="s">
        <v>82</v>
      </c>
      <c r="E2795" s="2">
        <v>23</v>
      </c>
      <c r="F2795" s="2">
        <v>490.33</v>
      </c>
    </row>
    <row r="2796" spans="3:6" x14ac:dyDescent="0.25">
      <c r="C2796" s="2" t="s">
        <v>13277</v>
      </c>
      <c r="D2796" s="2" t="s">
        <v>82</v>
      </c>
      <c r="E2796" s="2">
        <v>26</v>
      </c>
      <c r="F2796" s="2">
        <v>564.2</v>
      </c>
    </row>
    <row r="2797" spans="3:6" x14ac:dyDescent="0.25">
      <c r="C2797" s="2" t="s">
        <v>13278</v>
      </c>
      <c r="D2797" s="2" t="s">
        <v>82</v>
      </c>
      <c r="E2797" s="2">
        <v>44</v>
      </c>
      <c r="F2797" s="2">
        <v>834.329</v>
      </c>
    </row>
    <row r="2798" spans="3:6" x14ac:dyDescent="0.25">
      <c r="C2798" s="2" t="s">
        <v>13279</v>
      </c>
      <c r="D2798" s="2" t="s">
        <v>82</v>
      </c>
      <c r="E2798" s="2">
        <v>71</v>
      </c>
      <c r="F2798" s="2">
        <v>1969.75</v>
      </c>
    </row>
    <row r="2799" spans="3:6" x14ac:dyDescent="0.25">
      <c r="C2799" s="2" t="s">
        <v>13280</v>
      </c>
      <c r="D2799" s="2" t="s">
        <v>82</v>
      </c>
      <c r="E2799" s="2">
        <v>48</v>
      </c>
      <c r="F2799" s="2">
        <v>1365.86</v>
      </c>
    </row>
    <row r="2800" spans="3:6" x14ac:dyDescent="0.25">
      <c r="C2800" s="2" t="s">
        <v>13281</v>
      </c>
      <c r="D2800" s="2" t="s">
        <v>82</v>
      </c>
      <c r="E2800" s="2">
        <v>16</v>
      </c>
      <c r="F2800" s="2">
        <v>327.87</v>
      </c>
    </row>
    <row r="2801" spans="3:6" x14ac:dyDescent="0.25">
      <c r="C2801" s="2" t="s">
        <v>13282</v>
      </c>
      <c r="D2801" s="2" t="s">
        <v>82</v>
      </c>
      <c r="E2801" s="2">
        <v>17</v>
      </c>
      <c r="F2801" s="2">
        <v>365.64</v>
      </c>
    </row>
    <row r="2802" spans="3:6" x14ac:dyDescent="0.25">
      <c r="C2802" s="2" t="s">
        <v>13283</v>
      </c>
      <c r="D2802" s="2" t="s">
        <v>82</v>
      </c>
      <c r="E2802" s="2">
        <v>12</v>
      </c>
      <c r="F2802" s="2">
        <v>257.84</v>
      </c>
    </row>
    <row r="2803" spans="3:6" x14ac:dyDescent="0.25">
      <c r="C2803" s="2" t="s">
        <v>13284</v>
      </c>
      <c r="D2803" s="2" t="s">
        <v>82</v>
      </c>
      <c r="E2803" s="2">
        <v>85</v>
      </c>
      <c r="F2803" s="2">
        <v>1867.119</v>
      </c>
    </row>
    <row r="2804" spans="3:6" x14ac:dyDescent="0.25">
      <c r="C2804" s="2" t="s">
        <v>13285</v>
      </c>
      <c r="D2804" s="2" t="s">
        <v>82</v>
      </c>
      <c r="E2804" s="2">
        <v>71</v>
      </c>
      <c r="F2804" s="2">
        <v>1944.809</v>
      </c>
    </row>
    <row r="2806" spans="1:7" x14ac:dyDescent="0.25">
      <c r="A2806" s="1">
        <v>46138</v>
      </c>
      <c r="B2806" s="2" t="s">
        <v>7683</v>
      </c>
      <c r="C2806" s="2" t="s">
        <v>13286</v>
      </c>
      <c r="D2806" s="2" t="s">
        <v>9</v>
      </c>
      <c r="E2806" s="2">
        <v>99</v>
      </c>
      <c r="F2806" s="2">
        <v>2014.864</v>
      </c>
      <c r="G2806" s="1">
        <v>46138</v>
      </c>
    </row>
    <row r="2807" spans="3:6" x14ac:dyDescent="0.25">
      <c r="C2807" s="2" t="s">
        <v>13287</v>
      </c>
      <c r="D2807" s="2" t="s">
        <v>9</v>
      </c>
      <c r="E2807" s="2">
        <v>142</v>
      </c>
      <c r="F2807" s="2">
        <v>2744.204</v>
      </c>
    </row>
    <row r="2808" spans="3:6" x14ac:dyDescent="0.25">
      <c r="C2808" s="2" t="s">
        <v>13288</v>
      </c>
      <c r="D2808" s="2" t="s">
        <v>9</v>
      </c>
      <c r="E2808" s="2">
        <v>149</v>
      </c>
      <c r="F2808" s="2">
        <v>3004.741</v>
      </c>
    </row>
    <row r="2810" spans="1:7" x14ac:dyDescent="0.25">
      <c r="A2810" s="1">
        <v>46139</v>
      </c>
      <c r="B2810" s="2" t="s">
        <v>71</v>
      </c>
      <c r="C2810" s="2" t="s">
        <v>13289</v>
      </c>
      <c r="D2810" s="2" t="s">
        <v>73</v>
      </c>
      <c r="E2810" s="2">
        <v>92</v>
      </c>
      <c r="F2810" s="2">
        <v>1810.089</v>
      </c>
      <c r="G2810" s="1">
        <v>46137</v>
      </c>
    </row>
    <row r="2811" spans="3:6" x14ac:dyDescent="0.25">
      <c r="C2811" s="2" t="s">
        <v>13290</v>
      </c>
      <c r="D2811" s="2" t="s">
        <v>73</v>
      </c>
      <c r="E2811" s="2">
        <v>88</v>
      </c>
      <c r="F2811" s="2">
        <v>1767.76</v>
      </c>
    </row>
    <row r="2812" spans="3:6" x14ac:dyDescent="0.25">
      <c r="C2812" s="2" t="s">
        <v>13291</v>
      </c>
      <c r="D2812" s="2" t="s">
        <v>73</v>
      </c>
      <c r="E2812" s="2">
        <v>18</v>
      </c>
      <c r="F2812" s="2">
        <v>402.22</v>
      </c>
    </row>
    <row r="2813" spans="3:6" x14ac:dyDescent="0.25">
      <c r="C2813" s="2" t="s">
        <v>13292</v>
      </c>
      <c r="D2813" s="2" t="s">
        <v>73</v>
      </c>
      <c r="E2813" s="2">
        <v>45</v>
      </c>
      <c r="F2813" s="2">
        <v>816.53</v>
      </c>
    </row>
    <row r="2814" spans="3:6" x14ac:dyDescent="0.25">
      <c r="C2814" s="2" t="s">
        <v>13293</v>
      </c>
      <c r="D2814" s="2" t="s">
        <v>73</v>
      </c>
      <c r="E2814" s="2">
        <v>28</v>
      </c>
      <c r="F2814" s="2">
        <v>510.949</v>
      </c>
    </row>
    <row r="2816" spans="1:7" x14ac:dyDescent="0.25">
      <c r="A2816" s="1">
        <v>46139</v>
      </c>
      <c r="B2816" s="2" t="s">
        <v>176</v>
      </c>
      <c r="C2816" s="2" t="s">
        <v>13294</v>
      </c>
      <c r="D2816" s="2" t="s">
        <v>178</v>
      </c>
      <c r="E2816" s="2">
        <v>138</v>
      </c>
      <c r="F2816" s="2">
        <v>2934.1</v>
      </c>
      <c r="G2816" s="1">
        <v>46139</v>
      </c>
    </row>
    <row r="2817" spans="3:6" x14ac:dyDescent="0.25">
      <c r="C2817" s="2" t="s">
        <v>13295</v>
      </c>
      <c r="D2817" s="2" t="s">
        <v>178</v>
      </c>
      <c r="E2817" s="2">
        <v>300</v>
      </c>
      <c r="F2817" s="2">
        <v>6279.66</v>
      </c>
    </row>
    <row r="2818" spans="3:6" x14ac:dyDescent="0.25">
      <c r="C2818" s="2" t="s">
        <v>13296</v>
      </c>
      <c r="D2818" s="2" t="s">
        <v>178</v>
      </c>
      <c r="E2818" s="2">
        <v>84</v>
      </c>
      <c r="F2818" s="2">
        <v>1707.53</v>
      </c>
    </row>
    <row r="2819" spans="3:6" x14ac:dyDescent="0.25">
      <c r="C2819" s="2" t="s">
        <v>13297</v>
      </c>
      <c r="D2819" s="2" t="s">
        <v>178</v>
      </c>
      <c r="E2819" s="2">
        <v>137</v>
      </c>
      <c r="F2819" s="2">
        <v>2675.05</v>
      </c>
    </row>
    <row r="2820" spans="3:6" x14ac:dyDescent="0.25">
      <c r="C2820" s="2" t="s">
        <v>13298</v>
      </c>
      <c r="D2820" s="2" t="s">
        <v>178</v>
      </c>
      <c r="E2820" s="2">
        <v>121</v>
      </c>
      <c r="F2820" s="2">
        <v>2411.93</v>
      </c>
    </row>
    <row r="2821" spans="3:6" x14ac:dyDescent="0.25">
      <c r="C2821" s="2" t="s">
        <v>13299</v>
      </c>
      <c r="D2821" s="2" t="s">
        <v>178</v>
      </c>
      <c r="E2821" s="2">
        <v>49</v>
      </c>
      <c r="F2821" s="2">
        <v>723.14</v>
      </c>
    </row>
    <row r="2822" spans="3:6" x14ac:dyDescent="0.25">
      <c r="C2822" s="2" t="s">
        <v>13300</v>
      </c>
      <c r="D2822" s="2" t="s">
        <v>178</v>
      </c>
      <c r="E2822" s="2">
        <v>33</v>
      </c>
      <c r="F2822" s="2">
        <v>651.51</v>
      </c>
    </row>
    <row r="2823" spans="3:6" x14ac:dyDescent="0.25">
      <c r="C2823" s="2" t="s">
        <v>13301</v>
      </c>
      <c r="D2823" s="2" t="s">
        <v>178</v>
      </c>
      <c r="E2823" s="2">
        <v>24</v>
      </c>
      <c r="F2823" s="2">
        <v>419.72</v>
      </c>
    </row>
    <row r="2824" spans="3:6" x14ac:dyDescent="0.25">
      <c r="C2824" s="2" t="s">
        <v>13302</v>
      </c>
      <c r="D2824" s="2" t="s">
        <v>178</v>
      </c>
      <c r="E2824" s="2">
        <v>15</v>
      </c>
      <c r="F2824" s="2">
        <v>288.18</v>
      </c>
    </row>
    <row r="2825" spans="3:6" x14ac:dyDescent="0.25">
      <c r="C2825" s="2" t="s">
        <v>13303</v>
      </c>
      <c r="D2825" s="2" t="s">
        <v>178</v>
      </c>
      <c r="E2825" s="2">
        <v>133</v>
      </c>
      <c r="F2825" s="2">
        <v>2575.749</v>
      </c>
    </row>
    <row r="2826" spans="3:6" x14ac:dyDescent="0.25">
      <c r="C2826" s="2" t="s">
        <v>13304</v>
      </c>
      <c r="D2826" s="2" t="s">
        <v>178</v>
      </c>
      <c r="E2826" s="2">
        <v>139</v>
      </c>
      <c r="F2826" s="2">
        <v>2619.789</v>
      </c>
    </row>
    <row r="2827" spans="3:6" x14ac:dyDescent="0.25">
      <c r="C2827" s="2" t="s">
        <v>13305</v>
      </c>
      <c r="D2827" s="2" t="s">
        <v>178</v>
      </c>
      <c r="E2827" s="2">
        <v>53</v>
      </c>
      <c r="F2827" s="2">
        <v>1083.75</v>
      </c>
    </row>
    <row r="2828" spans="3:6" x14ac:dyDescent="0.25">
      <c r="C2828" s="2" t="s">
        <v>13306</v>
      </c>
      <c r="D2828" s="2" t="s">
        <v>178</v>
      </c>
      <c r="E2828" s="2">
        <v>68</v>
      </c>
      <c r="F2828" s="2">
        <v>1330.02</v>
      </c>
    </row>
    <row r="2829" spans="3:6" x14ac:dyDescent="0.25">
      <c r="C2829" s="2" t="s">
        <v>13307</v>
      </c>
      <c r="D2829" s="2" t="s">
        <v>178</v>
      </c>
      <c r="E2829" s="2">
        <v>70</v>
      </c>
      <c r="F2829" s="2">
        <v>1378.57</v>
      </c>
    </row>
    <row r="2830" spans="3:6" x14ac:dyDescent="0.25">
      <c r="C2830" s="2" t="s">
        <v>13308</v>
      </c>
      <c r="D2830" s="2" t="s">
        <v>178</v>
      </c>
      <c r="E2830" s="2">
        <v>139</v>
      </c>
      <c r="F2830" s="2">
        <v>2794.57</v>
      </c>
    </row>
    <row r="2831" spans="3:6" x14ac:dyDescent="0.25">
      <c r="C2831" s="2" t="s">
        <v>13309</v>
      </c>
      <c r="D2831" s="2" t="s">
        <v>178</v>
      </c>
      <c r="E2831" s="2">
        <v>100</v>
      </c>
      <c r="F2831" s="2">
        <v>2054.789</v>
      </c>
    </row>
    <row r="2832" spans="3:6" x14ac:dyDescent="0.25">
      <c r="C2832" s="2" t="s">
        <v>13310</v>
      </c>
      <c r="D2832" s="2" t="s">
        <v>178</v>
      </c>
      <c r="E2832" s="2">
        <v>39</v>
      </c>
      <c r="F2832" s="2">
        <v>779.19</v>
      </c>
    </row>
    <row r="2833" spans="3:6" x14ac:dyDescent="0.25">
      <c r="C2833" s="2" t="s">
        <v>13311</v>
      </c>
      <c r="D2833" s="2" t="s">
        <v>178</v>
      </c>
      <c r="E2833" s="2">
        <v>55</v>
      </c>
      <c r="F2833" s="2">
        <v>1074.92</v>
      </c>
    </row>
    <row r="2834" spans="3:6" x14ac:dyDescent="0.25">
      <c r="C2834" s="2" t="s">
        <v>13312</v>
      </c>
      <c r="D2834" s="2" t="s">
        <v>178</v>
      </c>
      <c r="E2834" s="2">
        <v>45</v>
      </c>
      <c r="F2834" s="2">
        <v>884.129</v>
      </c>
    </row>
    <row r="2835" spans="3:6" x14ac:dyDescent="0.25">
      <c r="C2835" s="2" t="s">
        <v>13313</v>
      </c>
      <c r="D2835" s="2" t="s">
        <v>178</v>
      </c>
      <c r="E2835" s="2">
        <v>102</v>
      </c>
      <c r="F2835" s="2">
        <v>1975.22</v>
      </c>
    </row>
    <row r="2836" spans="3:6" x14ac:dyDescent="0.25">
      <c r="C2836" s="2" t="s">
        <v>13314</v>
      </c>
      <c r="D2836" s="2" t="s">
        <v>178</v>
      </c>
      <c r="E2836" s="2">
        <v>15</v>
      </c>
      <c r="F2836" s="2">
        <v>293.87</v>
      </c>
    </row>
    <row r="2837" spans="3:6" x14ac:dyDescent="0.25">
      <c r="C2837" s="2" t="s">
        <v>13315</v>
      </c>
      <c r="D2837" s="2" t="s">
        <v>178</v>
      </c>
      <c r="E2837" s="2">
        <v>24</v>
      </c>
      <c r="F2837" s="2">
        <v>309.7</v>
      </c>
    </row>
    <row r="2838" spans="3:6" x14ac:dyDescent="0.25">
      <c r="C2838" s="2" t="s">
        <v>13316</v>
      </c>
      <c r="D2838" s="2" t="s">
        <v>178</v>
      </c>
      <c r="E2838" s="2">
        <v>160</v>
      </c>
      <c r="F2838" s="2">
        <v>2977.22</v>
      </c>
    </row>
    <row r="2839" spans="3:6" x14ac:dyDescent="0.25">
      <c r="C2839" s="2" t="s">
        <v>13317</v>
      </c>
      <c r="D2839" s="2" t="s">
        <v>178</v>
      </c>
      <c r="E2839" s="2">
        <v>72</v>
      </c>
      <c r="F2839" s="2">
        <v>1520.3</v>
      </c>
    </row>
    <row r="2840" spans="3:6" x14ac:dyDescent="0.25">
      <c r="C2840" s="2" t="s">
        <v>13318</v>
      </c>
      <c r="D2840" s="2" t="s">
        <v>178</v>
      </c>
      <c r="E2840" s="2">
        <v>24</v>
      </c>
      <c r="F2840" s="2">
        <v>474.81</v>
      </c>
    </row>
    <row r="2841" spans="3:6" x14ac:dyDescent="0.25">
      <c r="C2841" s="2" t="s">
        <v>13319</v>
      </c>
      <c r="D2841" s="2" t="s">
        <v>178</v>
      </c>
      <c r="E2841" s="2">
        <v>22</v>
      </c>
      <c r="F2841" s="2">
        <v>433.8</v>
      </c>
    </row>
    <row r="2842" spans="3:6" x14ac:dyDescent="0.25">
      <c r="C2842" s="2" t="s">
        <v>13320</v>
      </c>
      <c r="D2842" s="2" t="s">
        <v>178</v>
      </c>
      <c r="E2842" s="2">
        <v>102</v>
      </c>
      <c r="F2842" s="2">
        <v>1981.75</v>
      </c>
    </row>
    <row r="2843" spans="3:6" x14ac:dyDescent="0.25">
      <c r="C2843" s="2" t="s">
        <v>13321</v>
      </c>
      <c r="D2843" s="2" t="s">
        <v>178</v>
      </c>
      <c r="E2843" s="2">
        <v>37</v>
      </c>
      <c r="F2843" s="2">
        <v>755.68</v>
      </c>
    </row>
    <row r="2844" spans="3:6" x14ac:dyDescent="0.25">
      <c r="C2844" s="2" t="s">
        <v>13322</v>
      </c>
      <c r="D2844" s="2" t="s">
        <v>178</v>
      </c>
      <c r="E2844" s="2">
        <v>100</v>
      </c>
      <c r="F2844" s="2">
        <v>2089.79</v>
      </c>
    </row>
    <row r="2845" spans="3:6" x14ac:dyDescent="0.25">
      <c r="C2845" s="2" t="s">
        <v>13323</v>
      </c>
      <c r="D2845" s="2" t="s">
        <v>178</v>
      </c>
      <c r="E2845" s="2">
        <v>121</v>
      </c>
      <c r="F2845" s="2">
        <v>2339.839</v>
      </c>
    </row>
    <row r="2846" spans="3:6" x14ac:dyDescent="0.25">
      <c r="C2846" s="2" t="s">
        <v>13324</v>
      </c>
      <c r="D2846" s="2" t="s">
        <v>178</v>
      </c>
      <c r="E2846" s="2">
        <v>29</v>
      </c>
      <c r="F2846" s="2">
        <v>559.5</v>
      </c>
    </row>
    <row r="2847" spans="3:6" x14ac:dyDescent="0.25">
      <c r="C2847" s="2" t="s">
        <v>13325</v>
      </c>
      <c r="D2847" s="2" t="s">
        <v>178</v>
      </c>
      <c r="E2847" s="2">
        <v>111</v>
      </c>
      <c r="F2847" s="2">
        <v>2095.72</v>
      </c>
    </row>
    <row r="2848" spans="3:6" x14ac:dyDescent="0.25">
      <c r="C2848" s="2" t="s">
        <v>13326</v>
      </c>
      <c r="D2848" s="2" t="s">
        <v>178</v>
      </c>
      <c r="E2848" s="2">
        <v>19</v>
      </c>
      <c r="F2848" s="2">
        <v>373.35</v>
      </c>
    </row>
    <row r="2849" spans="3:6" x14ac:dyDescent="0.25">
      <c r="C2849" s="2" t="s">
        <v>13327</v>
      </c>
      <c r="D2849" s="2" t="s">
        <v>178</v>
      </c>
      <c r="E2849" s="2">
        <v>106</v>
      </c>
      <c r="F2849" s="2">
        <v>1384.115</v>
      </c>
    </row>
    <row r="2850" spans="3:6" x14ac:dyDescent="0.25">
      <c r="C2850" s="2" t="s">
        <v>13328</v>
      </c>
      <c r="D2850" s="2" t="s">
        <v>178</v>
      </c>
      <c r="E2850" s="2">
        <v>120</v>
      </c>
      <c r="F2850" s="2">
        <v>1933.546</v>
      </c>
    </row>
    <row r="2851" spans="3:6" x14ac:dyDescent="0.25">
      <c r="C2851" s="2" t="s">
        <v>13329</v>
      </c>
      <c r="D2851" s="2" t="s">
        <v>178</v>
      </c>
      <c r="E2851" s="2">
        <v>72</v>
      </c>
      <c r="F2851" s="2">
        <v>2135.98</v>
      </c>
    </row>
    <row r="2852" spans="3:6" x14ac:dyDescent="0.25">
      <c r="C2852" s="2" t="s">
        <v>13330</v>
      </c>
      <c r="D2852" s="2" t="s">
        <v>178</v>
      </c>
      <c r="E2852" s="2">
        <v>139</v>
      </c>
      <c r="F2852" s="2">
        <v>2884.21</v>
      </c>
    </row>
    <row r="2853" spans="3:6" x14ac:dyDescent="0.25">
      <c r="C2853" s="2" t="s">
        <v>13331</v>
      </c>
      <c r="D2853" s="2" t="s">
        <v>178</v>
      </c>
      <c r="E2853" s="2">
        <v>89</v>
      </c>
      <c r="F2853" s="2">
        <v>1764.789</v>
      </c>
    </row>
    <row r="2854" spans="3:6" x14ac:dyDescent="0.25">
      <c r="C2854" s="2" t="s">
        <v>13332</v>
      </c>
      <c r="D2854" s="2" t="s">
        <v>178</v>
      </c>
      <c r="E2854" s="2">
        <v>51</v>
      </c>
      <c r="F2854" s="2">
        <v>1033.27</v>
      </c>
    </row>
    <row r="2855" spans="3:6" x14ac:dyDescent="0.25">
      <c r="C2855" s="2" t="s">
        <v>13333</v>
      </c>
      <c r="D2855" s="2" t="s">
        <v>178</v>
      </c>
      <c r="E2855" s="2">
        <v>117</v>
      </c>
      <c r="F2855" s="2">
        <v>2325.969</v>
      </c>
    </row>
    <row r="2856" spans="3:6" x14ac:dyDescent="0.25">
      <c r="C2856" s="2" t="s">
        <v>13334</v>
      </c>
      <c r="D2856" s="2" t="s">
        <v>178</v>
      </c>
      <c r="E2856" s="2">
        <v>23</v>
      </c>
      <c r="F2856" s="2">
        <v>459.69</v>
      </c>
    </row>
    <row r="2857" spans="3:6" x14ac:dyDescent="0.25">
      <c r="C2857" s="2" t="s">
        <v>13335</v>
      </c>
      <c r="D2857" s="2" t="s">
        <v>178</v>
      </c>
      <c r="E2857" s="2">
        <v>73</v>
      </c>
      <c r="F2857" s="2">
        <v>1322.853</v>
      </c>
    </row>
    <row r="2858" spans="3:6" x14ac:dyDescent="0.25">
      <c r="C2858" s="2" t="s">
        <v>13336</v>
      </c>
      <c r="D2858" s="2" t="s">
        <v>178</v>
      </c>
      <c r="E2858" s="2">
        <v>21</v>
      </c>
      <c r="F2858" s="2">
        <v>340.19</v>
      </c>
    </row>
    <row r="2859" spans="3:6" x14ac:dyDescent="0.25">
      <c r="C2859" s="2" t="s">
        <v>13337</v>
      </c>
      <c r="D2859" s="2" t="s">
        <v>178</v>
      </c>
      <c r="E2859" s="2">
        <v>21</v>
      </c>
      <c r="F2859" s="2">
        <v>355.43</v>
      </c>
    </row>
    <row r="2860" spans="3:6" x14ac:dyDescent="0.25">
      <c r="C2860" s="2" t="s">
        <v>13338</v>
      </c>
      <c r="D2860" s="2" t="s">
        <v>178</v>
      </c>
      <c r="E2860" s="2">
        <v>26</v>
      </c>
      <c r="F2860" s="2">
        <v>441.58</v>
      </c>
    </row>
    <row r="2861" spans="3:6" x14ac:dyDescent="0.25">
      <c r="C2861" s="2" t="s">
        <v>13339</v>
      </c>
      <c r="D2861" s="2" t="s">
        <v>178</v>
      </c>
      <c r="E2861" s="2">
        <v>51</v>
      </c>
      <c r="F2861" s="2">
        <v>834.82</v>
      </c>
    </row>
    <row r="2862" spans="3:6" x14ac:dyDescent="0.25">
      <c r="C2862" s="2" t="s">
        <v>13340</v>
      </c>
      <c r="D2862" s="2" t="s">
        <v>178</v>
      </c>
      <c r="E2862" s="2">
        <v>22</v>
      </c>
      <c r="F2862" s="2">
        <v>425.18</v>
      </c>
    </row>
    <row r="2864" spans="1:7" x14ac:dyDescent="0.25">
      <c r="A2864" s="1">
        <v>46139</v>
      </c>
      <c r="B2864" s="2" t="s">
        <v>229</v>
      </c>
      <c r="C2864" s="2" t="s">
        <v>13341</v>
      </c>
      <c r="D2864" s="2" t="s">
        <v>82</v>
      </c>
      <c r="E2864" s="2">
        <v>111</v>
      </c>
      <c r="F2864" s="2">
        <v>1034.927</v>
      </c>
      <c r="G2864" s="1">
        <v>46138</v>
      </c>
    </row>
    <row r="2865" spans="3:6" x14ac:dyDescent="0.25">
      <c r="C2865" s="2" t="s">
        <v>13342</v>
      </c>
      <c r="D2865" s="2" t="s">
        <v>82</v>
      </c>
      <c r="E2865" s="2">
        <v>111</v>
      </c>
      <c r="F2865" s="2">
        <v>2076.627</v>
      </c>
    </row>
    <row r="2866" spans="3:6" x14ac:dyDescent="0.25">
      <c r="C2866" s="2" t="s">
        <v>13343</v>
      </c>
      <c r="D2866" s="2" t="s">
        <v>82</v>
      </c>
      <c r="E2866" s="2">
        <v>72</v>
      </c>
      <c r="F2866" s="2">
        <v>2043.94</v>
      </c>
    </row>
    <row r="2867" spans="3:6" x14ac:dyDescent="0.25">
      <c r="C2867" s="2" t="s">
        <v>13344</v>
      </c>
      <c r="D2867" s="2" t="s">
        <v>82</v>
      </c>
      <c r="E2867" s="2">
        <v>141</v>
      </c>
      <c r="F2867" s="2">
        <v>2988.51</v>
      </c>
    </row>
    <row r="2868" spans="3:6" x14ac:dyDescent="0.25">
      <c r="C2868" s="2" t="s">
        <v>13345</v>
      </c>
      <c r="D2868" s="2" t="s">
        <v>82</v>
      </c>
      <c r="E2868" s="2">
        <v>141</v>
      </c>
      <c r="F2868" s="2">
        <v>2872.77</v>
      </c>
    </row>
    <row r="2869" spans="3:6" x14ac:dyDescent="0.25">
      <c r="C2869" s="2" t="s">
        <v>13346</v>
      </c>
      <c r="D2869" s="2" t="s">
        <v>82</v>
      </c>
      <c r="E2869" s="2">
        <v>141</v>
      </c>
      <c r="F2869" s="2">
        <v>2919.61</v>
      </c>
    </row>
    <row r="2870" spans="3:6" x14ac:dyDescent="0.25">
      <c r="C2870" s="2" t="s">
        <v>13347</v>
      </c>
      <c r="D2870" s="2" t="s">
        <v>82</v>
      </c>
      <c r="E2870" s="2">
        <v>66</v>
      </c>
      <c r="F2870" s="2">
        <v>1318.95</v>
      </c>
    </row>
    <row r="2871" spans="3:6" x14ac:dyDescent="0.25">
      <c r="C2871" s="2" t="s">
        <v>13348</v>
      </c>
      <c r="D2871" s="2" t="s">
        <v>82</v>
      </c>
      <c r="E2871" s="2">
        <v>36</v>
      </c>
      <c r="F2871" s="2">
        <v>720.39</v>
      </c>
    </row>
    <row r="2872" spans="3:6" x14ac:dyDescent="0.25">
      <c r="C2872" s="2" t="s">
        <v>13349</v>
      </c>
      <c r="D2872" s="2" t="s">
        <v>82</v>
      </c>
      <c r="E2872" s="2">
        <v>61</v>
      </c>
      <c r="F2872" s="2">
        <v>1206.88</v>
      </c>
    </row>
    <row r="2873" spans="3:6" x14ac:dyDescent="0.25">
      <c r="C2873" s="2" t="s">
        <v>13350</v>
      </c>
      <c r="D2873" s="2" t="s">
        <v>82</v>
      </c>
      <c r="E2873" s="2">
        <v>62</v>
      </c>
      <c r="F2873" s="2">
        <v>1152.96</v>
      </c>
    </row>
    <row r="2874" spans="3:6" x14ac:dyDescent="0.25">
      <c r="C2874" s="2" t="s">
        <v>13351</v>
      </c>
      <c r="D2874" s="2" t="s">
        <v>82</v>
      </c>
      <c r="E2874" s="2">
        <v>60</v>
      </c>
      <c r="F2874" s="2">
        <v>1209.91</v>
      </c>
    </row>
    <row r="2875" spans="3:6" x14ac:dyDescent="0.25">
      <c r="C2875" s="2" t="s">
        <v>13352</v>
      </c>
      <c r="D2875" s="2" t="s">
        <v>82</v>
      </c>
      <c r="E2875" s="2">
        <v>63</v>
      </c>
      <c r="F2875" s="2">
        <v>1215.259</v>
      </c>
    </row>
    <row r="2876" spans="3:6" x14ac:dyDescent="0.25">
      <c r="C2876" s="2" t="s">
        <v>13353</v>
      </c>
      <c r="D2876" s="2" t="s">
        <v>82</v>
      </c>
      <c r="E2876" s="2">
        <v>34</v>
      </c>
      <c r="F2876" s="2">
        <v>674.06</v>
      </c>
    </row>
    <row r="2877" spans="3:6" x14ac:dyDescent="0.25">
      <c r="C2877" s="2" t="s">
        <v>13354</v>
      </c>
      <c r="D2877" s="2" t="s">
        <v>82</v>
      </c>
      <c r="E2877" s="2">
        <v>50</v>
      </c>
      <c r="F2877" s="2">
        <v>972.91</v>
      </c>
    </row>
    <row r="2878" spans="3:6" x14ac:dyDescent="0.25">
      <c r="C2878" s="2" t="s">
        <v>13355</v>
      </c>
      <c r="D2878" s="2" t="s">
        <v>82</v>
      </c>
      <c r="E2878" s="2">
        <v>37</v>
      </c>
      <c r="F2878" s="2">
        <v>730.3</v>
      </c>
    </row>
    <row r="2879" spans="3:6" x14ac:dyDescent="0.25">
      <c r="C2879" s="2" t="s">
        <v>13356</v>
      </c>
      <c r="D2879" s="2" t="s">
        <v>82</v>
      </c>
      <c r="E2879" s="2">
        <v>46</v>
      </c>
      <c r="F2879" s="2">
        <v>909.23</v>
      </c>
    </row>
    <row r="2880" spans="3:6" x14ac:dyDescent="0.25">
      <c r="C2880" s="2" t="s">
        <v>13357</v>
      </c>
      <c r="D2880" s="2" t="s">
        <v>82</v>
      </c>
      <c r="E2880" s="2">
        <v>17</v>
      </c>
      <c r="F2880" s="2">
        <v>318.08</v>
      </c>
    </row>
    <row r="2881" spans="3:6" x14ac:dyDescent="0.25">
      <c r="C2881" s="2" t="s">
        <v>13358</v>
      </c>
      <c r="D2881" s="2" t="s">
        <v>82</v>
      </c>
      <c r="E2881" s="2">
        <v>23</v>
      </c>
      <c r="F2881" s="2">
        <v>493.14</v>
      </c>
    </row>
    <row r="2882" spans="3:6" x14ac:dyDescent="0.25">
      <c r="C2882" s="2" t="s">
        <v>13359</v>
      </c>
      <c r="D2882" s="2" t="s">
        <v>82</v>
      </c>
      <c r="E2882" s="2">
        <v>20</v>
      </c>
      <c r="F2882" s="2">
        <v>395.95</v>
      </c>
    </row>
    <row r="2883" spans="3:6" x14ac:dyDescent="0.25">
      <c r="C2883" s="2" t="s">
        <v>13360</v>
      </c>
      <c r="D2883" s="2" t="s">
        <v>82</v>
      </c>
      <c r="E2883" s="2">
        <v>15</v>
      </c>
      <c r="F2883" s="2">
        <v>318.1</v>
      </c>
    </row>
    <row r="2884" spans="3:6" x14ac:dyDescent="0.25">
      <c r="C2884" s="2" t="s">
        <v>13361</v>
      </c>
      <c r="D2884" s="2" t="s">
        <v>82</v>
      </c>
      <c r="E2884" s="2">
        <v>54</v>
      </c>
      <c r="F2884" s="2">
        <v>1099.8</v>
      </c>
    </row>
    <row r="2885" spans="3:6" x14ac:dyDescent="0.25">
      <c r="C2885" s="2" t="s">
        <v>13362</v>
      </c>
      <c r="D2885" s="2" t="s">
        <v>82</v>
      </c>
      <c r="E2885" s="2">
        <v>48</v>
      </c>
      <c r="F2885" s="2">
        <v>1029.54</v>
      </c>
    </row>
    <row r="2886" spans="3:6" x14ac:dyDescent="0.25">
      <c r="C2886" s="2" t="s">
        <v>13363</v>
      </c>
      <c r="D2886" s="2" t="s">
        <v>82</v>
      </c>
      <c r="E2886" s="2">
        <v>75</v>
      </c>
      <c r="F2886" s="2">
        <v>1485.5</v>
      </c>
    </row>
    <row r="2887" spans="3:6" x14ac:dyDescent="0.25">
      <c r="C2887" s="2" t="s">
        <v>13364</v>
      </c>
      <c r="D2887" s="2" t="s">
        <v>82</v>
      </c>
      <c r="E2887" s="2">
        <v>200</v>
      </c>
      <c r="F2887" s="2">
        <v>877.879</v>
      </c>
    </row>
    <row r="2888" spans="3:6" x14ac:dyDescent="0.25">
      <c r="C2888" s="2" t="s">
        <v>13365</v>
      </c>
      <c r="D2888" s="2" t="s">
        <v>82</v>
      </c>
      <c r="E2888" s="2">
        <v>100</v>
      </c>
      <c r="F2888" s="2">
        <v>2101.1</v>
      </c>
    </row>
    <row r="2889" spans="3:6" x14ac:dyDescent="0.25">
      <c r="C2889" s="2" t="s">
        <v>13366</v>
      </c>
      <c r="D2889" s="2" t="s">
        <v>82</v>
      </c>
      <c r="E2889" s="2">
        <v>26</v>
      </c>
      <c r="F2889" s="2">
        <v>576.36</v>
      </c>
    </row>
    <row r="2890" spans="3:6" x14ac:dyDescent="0.25">
      <c r="C2890" s="2" t="s">
        <v>13367</v>
      </c>
      <c r="D2890" s="2" t="s">
        <v>82</v>
      </c>
      <c r="E2890" s="2">
        <v>76</v>
      </c>
      <c r="F2890" s="2">
        <v>1606.97</v>
      </c>
    </row>
    <row r="2891" spans="3:6" x14ac:dyDescent="0.25">
      <c r="C2891" s="2" t="s">
        <v>13368</v>
      </c>
      <c r="D2891" s="2" t="s">
        <v>82</v>
      </c>
      <c r="E2891" s="2">
        <v>83</v>
      </c>
      <c r="F2891" s="2">
        <v>1646.8</v>
      </c>
    </row>
    <row r="2892" spans="3:6" x14ac:dyDescent="0.25">
      <c r="C2892" s="2" t="s">
        <v>13369</v>
      </c>
      <c r="D2892" s="2" t="s">
        <v>82</v>
      </c>
      <c r="E2892" s="2">
        <v>19</v>
      </c>
      <c r="F2892" s="2">
        <v>413.49</v>
      </c>
    </row>
    <row r="2893" spans="3:6" x14ac:dyDescent="0.25">
      <c r="C2893" s="2" t="s">
        <v>13370</v>
      </c>
      <c r="D2893" s="2" t="s">
        <v>82</v>
      </c>
      <c r="E2893" s="2">
        <v>92</v>
      </c>
      <c r="F2893" s="2">
        <v>1867.68</v>
      </c>
    </row>
    <row r="2894" spans="3:6" x14ac:dyDescent="0.25">
      <c r="C2894" s="2" t="s">
        <v>13371</v>
      </c>
      <c r="D2894" s="2" t="s">
        <v>82</v>
      </c>
      <c r="E2894" s="2">
        <v>33</v>
      </c>
      <c r="F2894" s="2">
        <v>671.46</v>
      </c>
    </row>
    <row r="2895" spans="3:6" x14ac:dyDescent="0.25">
      <c r="C2895" s="2" t="s">
        <v>13372</v>
      </c>
      <c r="D2895" s="2" t="s">
        <v>82</v>
      </c>
      <c r="E2895" s="2">
        <v>16</v>
      </c>
      <c r="F2895" s="2">
        <v>339.32</v>
      </c>
    </row>
    <row r="2896" spans="3:6" x14ac:dyDescent="0.25">
      <c r="C2896" s="2" t="s">
        <v>13373</v>
      </c>
      <c r="D2896" s="2" t="s">
        <v>82</v>
      </c>
      <c r="E2896" s="2">
        <v>61</v>
      </c>
      <c r="F2896" s="2">
        <v>1186.43</v>
      </c>
    </row>
    <row r="2897" spans="3:6" x14ac:dyDescent="0.25">
      <c r="C2897" s="2" t="s">
        <v>13374</v>
      </c>
      <c r="D2897" s="2" t="s">
        <v>82</v>
      </c>
      <c r="E2897" s="2">
        <v>66</v>
      </c>
      <c r="F2897" s="2">
        <v>1296.59</v>
      </c>
    </row>
    <row r="2898" spans="3:6" x14ac:dyDescent="0.25">
      <c r="C2898" s="2" t="s">
        <v>13375</v>
      </c>
      <c r="D2898" s="2" t="s">
        <v>82</v>
      </c>
      <c r="E2898" s="2">
        <v>14</v>
      </c>
      <c r="F2898" s="2">
        <v>280.37</v>
      </c>
    </row>
    <row r="2899" spans="3:6" x14ac:dyDescent="0.25">
      <c r="C2899" s="2" t="s">
        <v>13376</v>
      </c>
      <c r="D2899" s="2" t="s">
        <v>82</v>
      </c>
      <c r="E2899" s="2">
        <v>31</v>
      </c>
      <c r="F2899" s="2">
        <v>624.31</v>
      </c>
    </row>
    <row r="2900" spans="3:6" x14ac:dyDescent="0.25">
      <c r="C2900" s="2" t="s">
        <v>13377</v>
      </c>
      <c r="D2900" s="2" t="s">
        <v>82</v>
      </c>
      <c r="E2900" s="2">
        <v>17</v>
      </c>
      <c r="F2900" s="2">
        <v>330.56</v>
      </c>
    </row>
    <row r="2901" spans="3:6" x14ac:dyDescent="0.25">
      <c r="C2901" s="2" t="s">
        <v>13378</v>
      </c>
      <c r="D2901" s="2" t="s">
        <v>82</v>
      </c>
      <c r="E2901" s="2">
        <v>45</v>
      </c>
      <c r="F2901" s="2">
        <v>927.11</v>
      </c>
    </row>
    <row r="2902" spans="3:6" x14ac:dyDescent="0.25">
      <c r="C2902" s="2" t="s">
        <v>13379</v>
      </c>
      <c r="D2902" s="2" t="s">
        <v>82</v>
      </c>
      <c r="E2902" s="2">
        <v>48</v>
      </c>
      <c r="F2902" s="2">
        <v>957.62</v>
      </c>
    </row>
    <row r="2903" spans="3:6" x14ac:dyDescent="0.25">
      <c r="C2903" s="2" t="s">
        <v>13380</v>
      </c>
      <c r="D2903" s="2" t="s">
        <v>82</v>
      </c>
      <c r="E2903" s="2">
        <v>27</v>
      </c>
      <c r="F2903" s="2">
        <v>538.93</v>
      </c>
    </row>
    <row r="2904" spans="3:6" x14ac:dyDescent="0.25">
      <c r="C2904" s="2" t="s">
        <v>13381</v>
      </c>
      <c r="D2904" s="2" t="s">
        <v>82</v>
      </c>
      <c r="E2904" s="2">
        <v>52</v>
      </c>
      <c r="F2904" s="2">
        <v>1038.81</v>
      </c>
    </row>
    <row r="2905" spans="3:6" x14ac:dyDescent="0.25">
      <c r="C2905" s="2" t="s">
        <v>13382</v>
      </c>
      <c r="D2905" s="2" t="s">
        <v>82</v>
      </c>
      <c r="E2905" s="2">
        <v>28</v>
      </c>
      <c r="F2905" s="2">
        <v>561.709</v>
      </c>
    </row>
    <row r="2906" spans="3:6" x14ac:dyDescent="0.25">
      <c r="C2906" s="2" t="s">
        <v>13383</v>
      </c>
      <c r="D2906" s="2" t="s">
        <v>82</v>
      </c>
      <c r="E2906" s="2">
        <v>23</v>
      </c>
      <c r="F2906" s="2">
        <v>465.173</v>
      </c>
    </row>
    <row r="2907" spans="3:6" x14ac:dyDescent="0.25">
      <c r="C2907" s="2" t="s">
        <v>13384</v>
      </c>
      <c r="D2907" s="2" t="s">
        <v>82</v>
      </c>
      <c r="E2907" s="2">
        <v>11</v>
      </c>
      <c r="F2907" s="2">
        <v>222.36</v>
      </c>
    </row>
    <row r="2908" spans="3:6" x14ac:dyDescent="0.25">
      <c r="C2908" s="2" t="s">
        <v>13385</v>
      </c>
      <c r="D2908" s="2" t="s">
        <v>82</v>
      </c>
      <c r="E2908" s="2">
        <v>47</v>
      </c>
      <c r="F2908" s="2">
        <v>959.41</v>
      </c>
    </row>
    <row r="2909" spans="3:6" x14ac:dyDescent="0.25">
      <c r="C2909" s="2" t="s">
        <v>13386</v>
      </c>
      <c r="D2909" s="2" t="s">
        <v>82</v>
      </c>
      <c r="E2909" s="2">
        <v>25</v>
      </c>
      <c r="F2909" s="2">
        <v>496.21</v>
      </c>
    </row>
    <row r="2910" spans="3:6" x14ac:dyDescent="0.25">
      <c r="C2910" s="2" t="s">
        <v>13387</v>
      </c>
      <c r="D2910" s="2" t="s">
        <v>82</v>
      </c>
      <c r="E2910" s="2">
        <v>24</v>
      </c>
      <c r="F2910" s="2">
        <v>466.19</v>
      </c>
    </row>
    <row r="2911" spans="3:6" x14ac:dyDescent="0.25">
      <c r="C2911" s="2" t="s">
        <v>13388</v>
      </c>
      <c r="D2911" s="2" t="s">
        <v>82</v>
      </c>
      <c r="E2911" s="2">
        <v>19</v>
      </c>
      <c r="F2911" s="2">
        <v>366.21</v>
      </c>
    </row>
    <row r="2912" spans="3:6" x14ac:dyDescent="0.25">
      <c r="C2912" s="2" t="s">
        <v>13389</v>
      </c>
      <c r="D2912" s="2" t="s">
        <v>82</v>
      </c>
      <c r="E2912" s="2">
        <v>13</v>
      </c>
      <c r="F2912" s="2">
        <v>245.37</v>
      </c>
    </row>
    <row r="2913" spans="3:6" x14ac:dyDescent="0.25">
      <c r="C2913" s="2" t="s">
        <v>13390</v>
      </c>
      <c r="D2913" s="2" t="s">
        <v>82</v>
      </c>
      <c r="E2913" s="2">
        <v>13</v>
      </c>
      <c r="F2913" s="2">
        <v>268.61</v>
      </c>
    </row>
    <row r="2914" spans="3:6" x14ac:dyDescent="0.25">
      <c r="C2914" s="2" t="s">
        <v>13391</v>
      </c>
      <c r="D2914" s="2" t="s">
        <v>82</v>
      </c>
      <c r="E2914" s="2">
        <v>121</v>
      </c>
      <c r="F2914" s="2">
        <v>1235.689</v>
      </c>
    </row>
    <row r="2915" spans="3:6" x14ac:dyDescent="0.25">
      <c r="C2915" s="2" t="s">
        <v>13392</v>
      </c>
      <c r="D2915" s="2" t="s">
        <v>82</v>
      </c>
      <c r="E2915" s="2">
        <v>97</v>
      </c>
      <c r="F2915" s="2">
        <v>1788.512</v>
      </c>
    </row>
    <row r="2917" spans="1:7" x14ac:dyDescent="0.25">
      <c r="A2917" s="1">
        <v>46139</v>
      </c>
      <c r="B2917" s="2" t="s">
        <v>290</v>
      </c>
      <c r="C2917" s="2" t="s">
        <v>13393</v>
      </c>
      <c r="D2917" s="2" t="s">
        <v>292</v>
      </c>
      <c r="E2917" s="2">
        <v>55</v>
      </c>
      <c r="F2917" s="2">
        <v>1133.249</v>
      </c>
      <c r="G2917" s="1">
        <v>46138</v>
      </c>
    </row>
    <row r="2918" spans="3:6" x14ac:dyDescent="0.25">
      <c r="C2918" s="2" t="s">
        <v>13394</v>
      </c>
      <c r="D2918" s="2" t="s">
        <v>292</v>
      </c>
      <c r="E2918" s="2">
        <v>30</v>
      </c>
      <c r="F2918" s="2">
        <v>157.18</v>
      </c>
    </row>
    <row r="2919" spans="3:6" x14ac:dyDescent="0.25">
      <c r="C2919" s="2" t="s">
        <v>13395</v>
      </c>
      <c r="D2919" s="2" t="s">
        <v>292</v>
      </c>
      <c r="E2919" s="2">
        <v>12</v>
      </c>
      <c r="F2919" s="2">
        <v>208.93</v>
      </c>
    </row>
    <row r="2920" spans="3:6" x14ac:dyDescent="0.25">
      <c r="C2920" s="2" t="s">
        <v>13396</v>
      </c>
      <c r="D2920" s="2" t="s">
        <v>292</v>
      </c>
      <c r="E2920" s="2">
        <v>35</v>
      </c>
      <c r="F2920" s="2">
        <v>696.431</v>
      </c>
    </row>
    <row r="2921" spans="3:6" x14ac:dyDescent="0.25">
      <c r="C2921" s="2" t="s">
        <v>13397</v>
      </c>
      <c r="D2921" s="2" t="s">
        <v>292</v>
      </c>
      <c r="E2921" s="2">
        <v>51</v>
      </c>
      <c r="F2921" s="2">
        <v>1141.54</v>
      </c>
    </row>
    <row r="2922" spans="3:6" x14ac:dyDescent="0.25">
      <c r="C2922" s="2" t="s">
        <v>13398</v>
      </c>
      <c r="D2922" s="2" t="s">
        <v>292</v>
      </c>
      <c r="E2922" s="2">
        <v>129</v>
      </c>
      <c r="F2922" s="2">
        <v>2753.96</v>
      </c>
    </row>
    <row r="2923" spans="3:6" x14ac:dyDescent="0.25">
      <c r="C2923" s="2" t="s">
        <v>13399</v>
      </c>
      <c r="D2923" s="2" t="s">
        <v>292</v>
      </c>
      <c r="E2923" s="2">
        <v>17</v>
      </c>
      <c r="F2923" s="2">
        <v>302.13</v>
      </c>
    </row>
    <row r="2924" spans="3:6" x14ac:dyDescent="0.25">
      <c r="C2924" s="2" t="s">
        <v>13400</v>
      </c>
      <c r="D2924" s="2" t="s">
        <v>292</v>
      </c>
      <c r="E2924" s="2">
        <v>21</v>
      </c>
      <c r="F2924" s="2">
        <v>448.63</v>
      </c>
    </row>
    <row r="2925" spans="3:6" x14ac:dyDescent="0.25">
      <c r="C2925" s="2" t="s">
        <v>13401</v>
      </c>
      <c r="D2925" s="2" t="s">
        <v>292</v>
      </c>
      <c r="E2925" s="2">
        <v>113</v>
      </c>
      <c r="F2925" s="2">
        <v>2303.69</v>
      </c>
    </row>
    <row r="2926" spans="3:6" x14ac:dyDescent="0.25">
      <c r="C2926" s="2" t="s">
        <v>13402</v>
      </c>
      <c r="D2926" s="2" t="s">
        <v>292</v>
      </c>
      <c r="E2926" s="2">
        <v>121</v>
      </c>
      <c r="F2926" s="2">
        <v>1449.227</v>
      </c>
    </row>
    <row r="2927" spans="3:6" x14ac:dyDescent="0.25">
      <c r="C2927" s="2" t="s">
        <v>13403</v>
      </c>
      <c r="D2927" s="2" t="s">
        <v>292</v>
      </c>
      <c r="E2927" s="2">
        <v>106</v>
      </c>
      <c r="F2927" s="2">
        <v>1983.677</v>
      </c>
    </row>
    <row r="2928" spans="3:6" x14ac:dyDescent="0.25">
      <c r="C2928" s="2" t="s">
        <v>13404</v>
      </c>
      <c r="D2928" s="2" t="s">
        <v>292</v>
      </c>
      <c r="E2928" s="2">
        <v>92</v>
      </c>
      <c r="F2928" s="2">
        <v>1858.279</v>
      </c>
    </row>
    <row r="2929" spans="3:6" x14ac:dyDescent="0.25">
      <c r="C2929" s="2" t="s">
        <v>13405</v>
      </c>
      <c r="D2929" s="2" t="s">
        <v>292</v>
      </c>
      <c r="E2929" s="2">
        <v>34</v>
      </c>
      <c r="F2929" s="2">
        <v>694.4</v>
      </c>
    </row>
    <row r="2930" spans="3:6" x14ac:dyDescent="0.25">
      <c r="C2930" s="2" t="s">
        <v>13406</v>
      </c>
      <c r="D2930" s="2" t="s">
        <v>292</v>
      </c>
      <c r="E2930" s="2">
        <v>141</v>
      </c>
      <c r="F2930" s="2">
        <v>2733.62</v>
      </c>
    </row>
    <row r="2931" spans="3:6" x14ac:dyDescent="0.25">
      <c r="C2931" s="2" t="s">
        <v>13407</v>
      </c>
      <c r="D2931" s="2" t="s">
        <v>292</v>
      </c>
      <c r="E2931" s="2">
        <v>15</v>
      </c>
      <c r="F2931" s="2">
        <v>243.67</v>
      </c>
    </row>
    <row r="2932" spans="3:6" x14ac:dyDescent="0.25">
      <c r="C2932" s="2" t="s">
        <v>13408</v>
      </c>
      <c r="D2932" s="2" t="s">
        <v>292</v>
      </c>
      <c r="E2932" s="2">
        <v>60</v>
      </c>
      <c r="F2932" s="2">
        <v>1197.958</v>
      </c>
    </row>
    <row r="2933" spans="3:6" x14ac:dyDescent="0.25">
      <c r="C2933" s="2" t="s">
        <v>13409</v>
      </c>
      <c r="D2933" s="2" t="s">
        <v>292</v>
      </c>
      <c r="E2933" s="2">
        <v>81</v>
      </c>
      <c r="F2933" s="2">
        <v>1818.55</v>
      </c>
    </row>
    <row r="2934" spans="3:6" x14ac:dyDescent="0.25">
      <c r="C2934" s="2" t="s">
        <v>13410</v>
      </c>
      <c r="D2934" s="2" t="s">
        <v>292</v>
      </c>
      <c r="E2934" s="2">
        <v>49</v>
      </c>
      <c r="F2934" s="2">
        <v>473.621</v>
      </c>
    </row>
    <row r="2935" spans="3:6" x14ac:dyDescent="0.25">
      <c r="C2935" s="2" t="s">
        <v>13411</v>
      </c>
      <c r="D2935" s="2" t="s">
        <v>292</v>
      </c>
      <c r="E2935" s="2">
        <v>46</v>
      </c>
      <c r="F2935" s="2">
        <v>825.87</v>
      </c>
    </row>
    <row r="2936" spans="3:6" x14ac:dyDescent="0.25">
      <c r="C2936" s="2" t="s">
        <v>13412</v>
      </c>
      <c r="D2936" s="2" t="s">
        <v>292</v>
      </c>
      <c r="E2936" s="2">
        <v>20</v>
      </c>
      <c r="F2936" s="2">
        <v>101.64</v>
      </c>
    </row>
    <row r="2937" spans="3:6" x14ac:dyDescent="0.25">
      <c r="C2937" s="2" t="s">
        <v>13413</v>
      </c>
      <c r="D2937" s="2" t="s">
        <v>292</v>
      </c>
      <c r="E2937" s="2">
        <v>77</v>
      </c>
      <c r="F2937" s="2">
        <v>1523.46</v>
      </c>
    </row>
    <row r="2938" spans="3:6" x14ac:dyDescent="0.25">
      <c r="C2938" s="2" t="s">
        <v>13414</v>
      </c>
      <c r="D2938" s="2" t="s">
        <v>292</v>
      </c>
      <c r="E2938" s="2">
        <v>44</v>
      </c>
      <c r="F2938" s="2">
        <v>915.29</v>
      </c>
    </row>
    <row r="2939" spans="3:6" x14ac:dyDescent="0.25">
      <c r="C2939" s="2" t="s">
        <v>13415</v>
      </c>
      <c r="D2939" s="2" t="s">
        <v>292</v>
      </c>
      <c r="E2939" s="2">
        <v>100</v>
      </c>
      <c r="F2939" s="2">
        <v>2018.05</v>
      </c>
    </row>
    <row r="2940" spans="3:6" x14ac:dyDescent="0.25">
      <c r="C2940" s="2" t="s">
        <v>13416</v>
      </c>
      <c r="D2940" s="2" t="s">
        <v>292</v>
      </c>
      <c r="E2940" s="2">
        <v>75</v>
      </c>
      <c r="F2940" s="2">
        <v>389.13</v>
      </c>
    </row>
    <row r="2941" spans="3:6" x14ac:dyDescent="0.25">
      <c r="C2941" s="2" t="s">
        <v>13417</v>
      </c>
      <c r="D2941" s="2" t="s">
        <v>292</v>
      </c>
      <c r="E2941" s="2">
        <v>141</v>
      </c>
      <c r="F2941" s="2">
        <v>2860.699</v>
      </c>
    </row>
    <row r="2942" spans="3:6" x14ac:dyDescent="0.25">
      <c r="C2942" s="2" t="s">
        <v>13418</v>
      </c>
      <c r="D2942" s="2" t="s">
        <v>292</v>
      </c>
      <c r="E2942" s="2">
        <v>141</v>
      </c>
      <c r="F2942" s="2">
        <v>2878.62</v>
      </c>
    </row>
    <row r="2943" spans="3:6" x14ac:dyDescent="0.25">
      <c r="C2943" s="2" t="s">
        <v>13419</v>
      </c>
      <c r="D2943" s="2" t="s">
        <v>292</v>
      </c>
      <c r="E2943" s="2">
        <v>121</v>
      </c>
      <c r="F2943" s="2">
        <v>2253.61</v>
      </c>
    </row>
    <row r="2944" spans="3:6" x14ac:dyDescent="0.25">
      <c r="C2944" s="2" t="s">
        <v>13420</v>
      </c>
      <c r="D2944" s="2" t="s">
        <v>292</v>
      </c>
      <c r="E2944" s="2">
        <v>12</v>
      </c>
      <c r="F2944" s="2">
        <v>186.5</v>
      </c>
    </row>
    <row r="2945" spans="3:6" x14ac:dyDescent="0.25">
      <c r="C2945" s="2" t="s">
        <v>13421</v>
      </c>
      <c r="D2945" s="2" t="s">
        <v>292</v>
      </c>
      <c r="E2945" s="2">
        <v>79</v>
      </c>
      <c r="F2945" s="2">
        <v>1595.154</v>
      </c>
    </row>
    <row r="2946" spans="3:6" x14ac:dyDescent="0.25">
      <c r="C2946" s="2" t="s">
        <v>13422</v>
      </c>
      <c r="D2946" s="2" t="s">
        <v>292</v>
      </c>
      <c r="E2946" s="2">
        <v>89</v>
      </c>
      <c r="F2946" s="2">
        <v>1851.089</v>
      </c>
    </row>
    <row r="2947" spans="3:6" x14ac:dyDescent="0.25">
      <c r="C2947" s="2" t="s">
        <v>13423</v>
      </c>
      <c r="D2947" s="2" t="s">
        <v>292</v>
      </c>
      <c r="E2947" s="2">
        <v>10</v>
      </c>
      <c r="F2947" s="2">
        <v>198.57</v>
      </c>
    </row>
    <row r="2948" spans="3:6" x14ac:dyDescent="0.25">
      <c r="C2948" s="2" t="s">
        <v>13424</v>
      </c>
      <c r="D2948" s="2" t="s">
        <v>292</v>
      </c>
      <c r="E2948" s="2">
        <v>65</v>
      </c>
      <c r="F2948" s="2">
        <v>1339.76</v>
      </c>
    </row>
    <row r="2949" spans="3:6" x14ac:dyDescent="0.25">
      <c r="C2949" s="2" t="s">
        <v>13425</v>
      </c>
      <c r="D2949" s="2" t="s">
        <v>292</v>
      </c>
      <c r="E2949" s="2">
        <v>141</v>
      </c>
      <c r="F2949" s="2">
        <v>2859.98</v>
      </c>
    </row>
    <row r="2950" spans="3:6" x14ac:dyDescent="0.25">
      <c r="C2950" s="2" t="s">
        <v>13426</v>
      </c>
      <c r="D2950" s="2" t="s">
        <v>292</v>
      </c>
      <c r="E2950" s="2">
        <v>104</v>
      </c>
      <c r="F2950" s="2">
        <v>2133.232</v>
      </c>
    </row>
    <row r="2951" spans="3:6" x14ac:dyDescent="0.25">
      <c r="C2951" s="2" t="s">
        <v>13427</v>
      </c>
      <c r="D2951" s="2" t="s">
        <v>292</v>
      </c>
      <c r="E2951" s="2">
        <v>141</v>
      </c>
      <c r="F2951" s="2">
        <v>2889.793</v>
      </c>
    </row>
    <row r="2952" spans="3:6" x14ac:dyDescent="0.25">
      <c r="C2952" s="2" t="s">
        <v>13428</v>
      </c>
      <c r="D2952" s="2" t="s">
        <v>292</v>
      </c>
      <c r="E2952" s="2">
        <v>75</v>
      </c>
      <c r="F2952" s="2">
        <v>392.237</v>
      </c>
    </row>
    <row r="2953" spans="3:6" x14ac:dyDescent="0.25">
      <c r="C2953" s="2" t="s">
        <v>13429</v>
      </c>
      <c r="D2953" s="2" t="s">
        <v>292</v>
      </c>
      <c r="E2953" s="2">
        <v>141</v>
      </c>
      <c r="F2953" s="2">
        <v>419.828</v>
      </c>
    </row>
    <row r="2954" spans="3:6" x14ac:dyDescent="0.25">
      <c r="C2954" s="2" t="s">
        <v>13430</v>
      </c>
      <c r="D2954" s="2" t="s">
        <v>292</v>
      </c>
      <c r="E2954" s="2">
        <v>21</v>
      </c>
      <c r="F2954" s="2">
        <v>424</v>
      </c>
    </row>
    <row r="2955" spans="3:6" x14ac:dyDescent="0.25">
      <c r="C2955" s="2" t="s">
        <v>13431</v>
      </c>
      <c r="D2955" s="2" t="s">
        <v>292</v>
      </c>
      <c r="E2955" s="2">
        <v>32</v>
      </c>
      <c r="F2955" s="2">
        <v>626.73</v>
      </c>
    </row>
    <row r="2956" spans="3:6" x14ac:dyDescent="0.25">
      <c r="C2956" s="2" t="s">
        <v>13432</v>
      </c>
      <c r="D2956" s="2" t="s">
        <v>292</v>
      </c>
      <c r="E2956" s="2">
        <v>28</v>
      </c>
      <c r="F2956" s="2">
        <v>579.58</v>
      </c>
    </row>
    <row r="2957" spans="3:6" x14ac:dyDescent="0.25">
      <c r="C2957" s="2" t="s">
        <v>13433</v>
      </c>
      <c r="D2957" s="2" t="s">
        <v>292</v>
      </c>
      <c r="E2957" s="2">
        <v>33</v>
      </c>
      <c r="F2957" s="2">
        <v>308.778</v>
      </c>
    </row>
    <row r="2958" spans="3:6" x14ac:dyDescent="0.25">
      <c r="C2958" s="2" t="s">
        <v>13434</v>
      </c>
      <c r="D2958" s="2" t="s">
        <v>292</v>
      </c>
      <c r="E2958" s="2">
        <v>82</v>
      </c>
      <c r="F2958" s="2">
        <v>1778.06</v>
      </c>
    </row>
    <row r="2959" spans="3:6" x14ac:dyDescent="0.25">
      <c r="C2959" s="2" t="s">
        <v>13435</v>
      </c>
      <c r="D2959" s="2" t="s">
        <v>292</v>
      </c>
      <c r="E2959" s="2">
        <v>40</v>
      </c>
      <c r="F2959" s="2">
        <v>819.889</v>
      </c>
    </row>
    <row r="2960" spans="3:6" x14ac:dyDescent="0.25">
      <c r="C2960" s="2" t="s">
        <v>13436</v>
      </c>
      <c r="D2960" s="2" t="s">
        <v>292</v>
      </c>
      <c r="E2960" s="2">
        <v>8</v>
      </c>
      <c r="F2960" s="2">
        <v>168.67</v>
      </c>
    </row>
    <row r="2961" spans="3:6" x14ac:dyDescent="0.25">
      <c r="C2961" s="2" t="s">
        <v>13437</v>
      </c>
      <c r="D2961" s="2" t="s">
        <v>292</v>
      </c>
      <c r="E2961" s="2">
        <v>89</v>
      </c>
      <c r="F2961" s="2">
        <v>1835.956</v>
      </c>
    </row>
    <row r="2962" spans="3:6" x14ac:dyDescent="0.25">
      <c r="C2962" s="2" t="s">
        <v>13438</v>
      </c>
      <c r="D2962" s="2" t="s">
        <v>292</v>
      </c>
      <c r="E2962" s="2">
        <v>6</v>
      </c>
      <c r="F2962" s="2">
        <v>118.11</v>
      </c>
    </row>
    <row r="2963" spans="3:6" x14ac:dyDescent="0.25">
      <c r="C2963" s="2" t="s">
        <v>13439</v>
      </c>
      <c r="D2963" s="2" t="s">
        <v>292</v>
      </c>
      <c r="E2963" s="2">
        <v>42</v>
      </c>
      <c r="F2963" s="2">
        <v>840.9</v>
      </c>
    </row>
    <row r="2964" spans="3:6" x14ac:dyDescent="0.25">
      <c r="C2964" s="2" t="s">
        <v>13440</v>
      </c>
      <c r="D2964" s="2" t="s">
        <v>292</v>
      </c>
      <c r="E2964" s="2">
        <v>93</v>
      </c>
      <c r="F2964" s="2">
        <v>1943.737</v>
      </c>
    </row>
    <row r="2965" spans="3:6" x14ac:dyDescent="0.25">
      <c r="C2965" s="2" t="s">
        <v>13441</v>
      </c>
      <c r="D2965" s="2" t="s">
        <v>292</v>
      </c>
      <c r="E2965" s="2">
        <v>26</v>
      </c>
      <c r="F2965" s="2">
        <v>535.12</v>
      </c>
    </row>
    <row r="2966" spans="3:6" x14ac:dyDescent="0.25">
      <c r="C2966" s="2" t="s">
        <v>13442</v>
      </c>
      <c r="D2966" s="2" t="s">
        <v>292</v>
      </c>
      <c r="E2966" s="2">
        <v>141</v>
      </c>
      <c r="F2966" s="2">
        <v>2853.65</v>
      </c>
    </row>
    <row r="2967" spans="3:6" x14ac:dyDescent="0.25">
      <c r="C2967" s="2" t="s">
        <v>13443</v>
      </c>
      <c r="D2967" s="2" t="s">
        <v>292</v>
      </c>
      <c r="E2967" s="2">
        <v>86</v>
      </c>
      <c r="F2967" s="2">
        <v>1724.085</v>
      </c>
    </row>
    <row r="2968" spans="3:6" x14ac:dyDescent="0.25">
      <c r="C2968" s="2" t="s">
        <v>13444</v>
      </c>
      <c r="D2968" s="2" t="s">
        <v>292</v>
      </c>
      <c r="E2968" s="2">
        <v>14</v>
      </c>
      <c r="F2968" s="2">
        <v>262.08</v>
      </c>
    </row>
    <row r="2970" spans="1:7" x14ac:dyDescent="0.25">
      <c r="A2970" s="1">
        <v>46138</v>
      </c>
      <c r="B2970" s="2" t="s">
        <v>7</v>
      </c>
      <c r="C2970" s="2" t="s">
        <v>13445</v>
      </c>
      <c r="D2970" s="2" t="s">
        <v>9</v>
      </c>
      <c r="E2970" s="2">
        <v>99</v>
      </c>
      <c r="F2970" s="2">
        <v>2036.67</v>
      </c>
      <c r="G2970" s="1">
        <v>46138</v>
      </c>
    </row>
    <row r="2971" spans="3:6" x14ac:dyDescent="0.25">
      <c r="C2971" s="2" t="s">
        <v>13446</v>
      </c>
      <c r="D2971" s="2" t="s">
        <v>9</v>
      </c>
      <c r="E2971" s="2">
        <v>99</v>
      </c>
      <c r="F2971" s="2">
        <v>1974.191</v>
      </c>
    </row>
    <row r="2973" spans="1:7" x14ac:dyDescent="0.25">
      <c r="A2973" s="1">
        <v>46139</v>
      </c>
      <c r="B2973" s="2" t="s">
        <v>7</v>
      </c>
      <c r="C2973" s="2" t="s">
        <v>13447</v>
      </c>
      <c r="D2973" s="2" t="s">
        <v>9</v>
      </c>
      <c r="E2973" s="2">
        <v>87</v>
      </c>
      <c r="F2973" s="2">
        <v>1803.12</v>
      </c>
      <c r="G2973" s="1">
        <v>46139</v>
      </c>
    </row>
    <row r="2974" spans="3:6" x14ac:dyDescent="0.25">
      <c r="C2974" s="2" t="s">
        <v>13448</v>
      </c>
      <c r="D2974" s="2" t="s">
        <v>9</v>
      </c>
      <c r="E2974" s="2">
        <v>90</v>
      </c>
      <c r="F2974" s="2">
        <v>1877.51</v>
      </c>
    </row>
    <row r="2976" spans="1:7" x14ac:dyDescent="0.25">
      <c r="A2976" s="1">
        <v>46139</v>
      </c>
      <c r="B2976" s="2" t="s">
        <v>128</v>
      </c>
      <c r="C2976" s="2" t="s">
        <v>13449</v>
      </c>
      <c r="D2976" s="2" t="s">
        <v>136</v>
      </c>
      <c r="E2976" s="2">
        <v>156</v>
      </c>
      <c r="F2976" s="2">
        <v>3092.62</v>
      </c>
      <c r="G2976" s="1">
        <v>46139</v>
      </c>
    </row>
    <row r="2977" spans="3:6" x14ac:dyDescent="0.25">
      <c r="C2977" s="2" t="s">
        <v>13450</v>
      </c>
      <c r="D2977" s="2" t="s">
        <v>136</v>
      </c>
      <c r="E2977" s="2">
        <v>156</v>
      </c>
      <c r="F2977" s="2">
        <v>3154.459</v>
      </c>
    </row>
    <row r="2979" spans="3:6" x14ac:dyDescent="0.25">
      <c r="C2979" s="2" t="s">
        <v>13451</v>
      </c>
      <c r="D2979" s="2" t="s">
        <v>136</v>
      </c>
      <c r="E2979" s="2">
        <v>11</v>
      </c>
      <c r="F2979" s="2">
        <v>191.86</v>
      </c>
    </row>
    <row r="2980" spans="3:6" x14ac:dyDescent="0.25">
      <c r="C2980" s="2" t="s">
        <v>13452</v>
      </c>
      <c r="D2980" s="2" t="s">
        <v>136</v>
      </c>
      <c r="E2980" s="2">
        <v>25</v>
      </c>
      <c r="F2980" s="2">
        <v>475.21</v>
      </c>
    </row>
    <row r="2981" spans="3:6" x14ac:dyDescent="0.25">
      <c r="C2981" s="2" t="s">
        <v>13453</v>
      </c>
      <c r="D2981" s="2" t="s">
        <v>26</v>
      </c>
      <c r="E2981" s="2">
        <v>51</v>
      </c>
      <c r="F2981" s="2">
        <v>985.559</v>
      </c>
    </row>
    <row r="2982" spans="3:6" x14ac:dyDescent="0.25">
      <c r="C2982" s="2" t="s">
        <v>13454</v>
      </c>
      <c r="D2982" s="2" t="s">
        <v>30</v>
      </c>
      <c r="E2982" s="2">
        <v>70</v>
      </c>
      <c r="F2982" s="2">
        <v>1273.73</v>
      </c>
    </row>
    <row r="2983" spans="3:6" x14ac:dyDescent="0.25">
      <c r="C2983" s="2" t="s">
        <v>13455</v>
      </c>
      <c r="D2983" s="2" t="s">
        <v>30</v>
      </c>
      <c r="E2983" s="2">
        <v>35</v>
      </c>
      <c r="F2983" s="2">
        <v>659.85</v>
      </c>
    </row>
    <row r="2984" spans="3:6" x14ac:dyDescent="0.25">
      <c r="C2984" s="2" t="s">
        <v>13456</v>
      </c>
      <c r="D2984" s="2" t="s">
        <v>42</v>
      </c>
      <c r="E2984" s="2">
        <v>22</v>
      </c>
      <c r="F2984" s="2">
        <v>424.206</v>
      </c>
    </row>
    <row r="2985" spans="3:6" x14ac:dyDescent="0.25">
      <c r="C2985" s="2" t="s">
        <v>13457</v>
      </c>
      <c r="D2985" s="2" t="s">
        <v>42</v>
      </c>
      <c r="E2985" s="2">
        <v>34</v>
      </c>
      <c r="F2985" s="2">
        <v>671.24</v>
      </c>
    </row>
    <row r="2986" spans="3:6" x14ac:dyDescent="0.25">
      <c r="C2986" s="2" t="s">
        <v>13458</v>
      </c>
      <c r="D2986" s="2" t="s">
        <v>42</v>
      </c>
      <c r="E2986" s="2">
        <v>100</v>
      </c>
      <c r="F2986" s="2">
        <v>1987.072</v>
      </c>
    </row>
    <row r="2987" spans="3:6" x14ac:dyDescent="0.25">
      <c r="C2987" s="2" t="s">
        <v>13459</v>
      </c>
      <c r="D2987" s="2" t="s">
        <v>36</v>
      </c>
      <c r="E2987" s="2">
        <v>60</v>
      </c>
      <c r="F2987" s="2">
        <v>1118.97</v>
      </c>
    </row>
    <row r="2988" spans="3:6" x14ac:dyDescent="0.25">
      <c r="C2988" s="2" t="s">
        <v>13460</v>
      </c>
      <c r="D2988" s="2" t="s">
        <v>36</v>
      </c>
      <c r="E2988" s="2">
        <v>45</v>
      </c>
      <c r="F2988" s="2">
        <v>840.03</v>
      </c>
    </row>
    <row r="2989" spans="3:6" x14ac:dyDescent="0.25">
      <c r="C2989" s="2" t="s">
        <v>13461</v>
      </c>
      <c r="D2989" s="2" t="s">
        <v>36</v>
      </c>
      <c r="E2989" s="2">
        <v>47</v>
      </c>
      <c r="F2989" s="2">
        <v>962.43</v>
      </c>
    </row>
    <row r="2990" spans="3:6" x14ac:dyDescent="0.25">
      <c r="C2990" s="2" t="s">
        <v>13462</v>
      </c>
      <c r="D2990" s="2" t="s">
        <v>26</v>
      </c>
      <c r="E2990" s="2">
        <v>105</v>
      </c>
      <c r="F2990" s="2">
        <v>2069.837</v>
      </c>
    </row>
    <row r="2991" spans="3:6" x14ac:dyDescent="0.25">
      <c r="C2991" s="2" t="s">
        <v>13463</v>
      </c>
      <c r="D2991" s="2" t="s">
        <v>15</v>
      </c>
      <c r="E2991" s="2">
        <v>149</v>
      </c>
      <c r="F2991" s="2">
        <v>2942.48</v>
      </c>
    </row>
    <row r="2992" spans="3:6" x14ac:dyDescent="0.25">
      <c r="C2992" s="2" t="s">
        <v>13464</v>
      </c>
      <c r="D2992" s="2" t="s">
        <v>30</v>
      </c>
      <c r="E2992" s="2">
        <v>134</v>
      </c>
      <c r="F2992" s="2">
        <v>2698.3</v>
      </c>
    </row>
    <row r="2993" spans="3:6" x14ac:dyDescent="0.25">
      <c r="C2993" s="2" t="s">
        <v>13465</v>
      </c>
      <c r="D2993" s="2" t="s">
        <v>30</v>
      </c>
      <c r="E2993" s="2">
        <v>134</v>
      </c>
      <c r="F2993" s="2">
        <v>2670.57</v>
      </c>
    </row>
    <row r="2994" spans="3:6" x14ac:dyDescent="0.25">
      <c r="C2994" s="2" t="s">
        <v>13466</v>
      </c>
      <c r="D2994" s="2" t="s">
        <v>30</v>
      </c>
      <c r="E2994" s="2">
        <v>134</v>
      </c>
      <c r="F2994" s="2">
        <v>2679.77</v>
      </c>
    </row>
    <row r="2995" spans="3:6" x14ac:dyDescent="0.25">
      <c r="C2995" s="2" t="s">
        <v>13467</v>
      </c>
      <c r="D2995" s="2" t="s">
        <v>30</v>
      </c>
      <c r="E2995" s="2">
        <v>134</v>
      </c>
      <c r="F2995" s="2">
        <v>2726.23</v>
      </c>
    </row>
    <row r="2996" spans="3:6" x14ac:dyDescent="0.25">
      <c r="C2996" s="2" t="s">
        <v>13468</v>
      </c>
      <c r="D2996" s="2" t="s">
        <v>36</v>
      </c>
      <c r="E2996" s="2">
        <v>34</v>
      </c>
      <c r="F2996" s="2">
        <v>639.75</v>
      </c>
    </row>
    <row r="2997" spans="3:6" x14ac:dyDescent="0.25">
      <c r="C2997" s="2" t="s">
        <v>13469</v>
      </c>
      <c r="D2997" s="2" t="s">
        <v>36</v>
      </c>
      <c r="E2997" s="2">
        <v>66</v>
      </c>
      <c r="F2997" s="2">
        <v>1290.309</v>
      </c>
    </row>
    <row r="2998" spans="3:6" x14ac:dyDescent="0.25">
      <c r="C2998" s="2" t="s">
        <v>13470</v>
      </c>
      <c r="D2998" s="2" t="s">
        <v>15</v>
      </c>
      <c r="E2998" s="2">
        <v>163</v>
      </c>
      <c r="F2998" s="2">
        <v>2917.572</v>
      </c>
    </row>
    <row r="2999" spans="3:6" x14ac:dyDescent="0.25">
      <c r="C2999" s="2" t="s">
        <v>13471</v>
      </c>
      <c r="D2999" s="2" t="s">
        <v>15</v>
      </c>
      <c r="E2999" s="2">
        <v>163</v>
      </c>
      <c r="F2999" s="2">
        <v>3092.82</v>
      </c>
    </row>
    <row r="3000" spans="3:6" x14ac:dyDescent="0.25">
      <c r="C3000" s="2" t="s">
        <v>13472</v>
      </c>
      <c r="D3000" s="2" t="s">
        <v>15</v>
      </c>
      <c r="E3000" s="2">
        <v>133</v>
      </c>
      <c r="F3000" s="2">
        <v>2477.268</v>
      </c>
    </row>
    <row r="3001" spans="3:6" x14ac:dyDescent="0.25">
      <c r="C3001" s="2" t="s">
        <v>13473</v>
      </c>
      <c r="D3001" s="2" t="s">
        <v>15</v>
      </c>
      <c r="E3001" s="2">
        <v>164</v>
      </c>
      <c r="F3001" s="2">
        <v>3141.95</v>
      </c>
    </row>
    <row r="3002" spans="3:6" x14ac:dyDescent="0.25">
      <c r="C3002" s="2" t="s">
        <v>13474</v>
      </c>
      <c r="D3002" s="2" t="s">
        <v>30</v>
      </c>
      <c r="E3002" s="2">
        <v>134</v>
      </c>
      <c r="F3002" s="2">
        <v>2710.39</v>
      </c>
    </row>
    <row r="3003" spans="3:6" x14ac:dyDescent="0.25">
      <c r="C3003" s="2" t="s">
        <v>13475</v>
      </c>
      <c r="D3003" s="2" t="s">
        <v>30</v>
      </c>
      <c r="E3003" s="2">
        <v>134</v>
      </c>
      <c r="F3003" s="2">
        <v>2712.07</v>
      </c>
    </row>
    <row r="3004" spans="3:6" x14ac:dyDescent="0.25">
      <c r="C3004" s="2" t="s">
        <v>13476</v>
      </c>
      <c r="D3004" s="2" t="s">
        <v>15</v>
      </c>
      <c r="E3004" s="2">
        <v>105</v>
      </c>
      <c r="F3004" s="2">
        <v>800</v>
      </c>
    </row>
    <row r="3005" spans="3:6" x14ac:dyDescent="0.25">
      <c r="C3005" s="2" t="s">
        <v>13477</v>
      </c>
      <c r="D3005" s="2" t="s">
        <v>15</v>
      </c>
      <c r="E3005" s="2">
        <v>105</v>
      </c>
      <c r="F3005" s="2">
        <v>800</v>
      </c>
    </row>
    <row r="3006" spans="3:6" x14ac:dyDescent="0.25">
      <c r="C3006" s="2" t="s">
        <v>13478</v>
      </c>
      <c r="D3006" s="2" t="s">
        <v>15</v>
      </c>
      <c r="E3006" s="2">
        <v>105</v>
      </c>
      <c r="F3006" s="2">
        <v>800</v>
      </c>
    </row>
    <row r="3007" spans="3:6" x14ac:dyDescent="0.25">
      <c r="C3007" s="2" t="s">
        <v>13479</v>
      </c>
      <c r="D3007" s="2" t="s">
        <v>15</v>
      </c>
      <c r="E3007" s="2">
        <v>7</v>
      </c>
      <c r="F3007" s="2">
        <v>127</v>
      </c>
    </row>
    <row r="3008" spans="3:6" x14ac:dyDescent="0.25">
      <c r="C3008" s="2" t="s">
        <v>13480</v>
      </c>
      <c r="D3008" s="2" t="s">
        <v>15</v>
      </c>
      <c r="E3008" s="2">
        <v>30</v>
      </c>
      <c r="F3008" s="2">
        <v>557</v>
      </c>
    </row>
    <row r="3009" spans="3:6" x14ac:dyDescent="0.25">
      <c r="C3009" s="2" t="s">
        <v>13481</v>
      </c>
      <c r="D3009" s="2" t="s">
        <v>36</v>
      </c>
      <c r="E3009" s="2">
        <v>9</v>
      </c>
      <c r="F3009" s="2">
        <v>184</v>
      </c>
    </row>
    <row r="3011" spans="2:6" x14ac:dyDescent="0.25">
      <c r="B3011" s="2" t="s">
        <v>48</v>
      </c>
      <c r="C3011" s="2" t="s">
        <v>13482</v>
      </c>
      <c r="D3011" s="2" t="s">
        <v>26</v>
      </c>
      <c r="E3011" s="2">
        <v>156</v>
      </c>
      <c r="F3011" s="2">
        <v>2661.71</v>
      </c>
    </row>
    <row r="3012" spans="3:6" x14ac:dyDescent="0.25">
      <c r="C3012" s="2" t="s">
        <v>13483</v>
      </c>
      <c r="D3012" s="2" t="s">
        <v>26</v>
      </c>
      <c r="E3012" s="2">
        <v>156</v>
      </c>
      <c r="F3012" s="2">
        <v>2725.059</v>
      </c>
    </row>
    <row r="3013" spans="3:6" x14ac:dyDescent="0.25">
      <c r="C3013" s="2" t="s">
        <v>13484</v>
      </c>
      <c r="D3013" s="2" t="s">
        <v>136</v>
      </c>
      <c r="E3013" s="2">
        <v>120</v>
      </c>
      <c r="F3013" s="2">
        <v>2288.98</v>
      </c>
    </row>
    <row r="3014" spans="3:6" x14ac:dyDescent="0.25">
      <c r="C3014" s="2" t="s">
        <v>13485</v>
      </c>
      <c r="D3014" s="2" t="s">
        <v>136</v>
      </c>
      <c r="E3014" s="2">
        <v>36</v>
      </c>
      <c r="F3014" s="2">
        <v>615.349</v>
      </c>
    </row>
    <row r="3015" spans="3:6" x14ac:dyDescent="0.25">
      <c r="C3015" s="2" t="s">
        <v>13486</v>
      </c>
      <c r="D3015" s="2" t="s">
        <v>30</v>
      </c>
      <c r="E3015" s="2">
        <v>105</v>
      </c>
      <c r="F3015" s="2">
        <v>1841.47</v>
      </c>
    </row>
    <row r="3016" spans="3:6" x14ac:dyDescent="0.25">
      <c r="C3016" s="2" t="s">
        <v>13487</v>
      </c>
      <c r="D3016" s="2" t="s">
        <v>30</v>
      </c>
      <c r="E3016" s="2">
        <v>156</v>
      </c>
      <c r="F3016" s="2">
        <v>2952.7</v>
      </c>
    </row>
    <row r="3017" spans="3:6" x14ac:dyDescent="0.25">
      <c r="C3017" s="2" t="s">
        <v>13488</v>
      </c>
      <c r="D3017" s="2" t="s">
        <v>15</v>
      </c>
      <c r="E3017" s="2">
        <v>105</v>
      </c>
      <c r="F3017" s="2">
        <v>1840.12</v>
      </c>
    </row>
    <row r="3018" spans="3:6" x14ac:dyDescent="0.25">
      <c r="C3018" s="2" t="s">
        <v>13489</v>
      </c>
      <c r="D3018" s="2" t="s">
        <v>53</v>
      </c>
      <c r="E3018" s="2">
        <v>156</v>
      </c>
      <c r="F3018" s="2">
        <v>3267.61</v>
      </c>
    </row>
    <row r="3020" spans="1:7" x14ac:dyDescent="0.25">
      <c r="A3020" s="1">
        <v>46139</v>
      </c>
      <c r="B3020" s="2" t="s">
        <v>1626</v>
      </c>
      <c r="C3020" s="2" t="s">
        <v>13490</v>
      </c>
      <c r="D3020" s="2" t="s">
        <v>59</v>
      </c>
      <c r="E3020" s="2">
        <v>149</v>
      </c>
      <c r="F3020" s="2">
        <v>2797.779</v>
      </c>
      <c r="G3020" s="1">
        <v>46137</v>
      </c>
    </row>
    <row r="3021" spans="3:6" x14ac:dyDescent="0.25">
      <c r="C3021" s="2" t="s">
        <v>13491</v>
      </c>
      <c r="D3021" s="2" t="s">
        <v>59</v>
      </c>
      <c r="E3021" s="2">
        <v>330</v>
      </c>
      <c r="F3021" s="2">
        <v>6524.84</v>
      </c>
    </row>
    <row r="3022" spans="3:6" x14ac:dyDescent="0.25">
      <c r="C3022" s="2" t="s">
        <v>13492</v>
      </c>
      <c r="D3022" s="2" t="s">
        <v>59</v>
      </c>
      <c r="E3022" s="2">
        <v>235</v>
      </c>
      <c r="F3022" s="2">
        <v>4519.42</v>
      </c>
    </row>
    <row r="3023" spans="3:6" x14ac:dyDescent="0.25">
      <c r="C3023" s="2" t="s">
        <v>13493</v>
      </c>
      <c r="D3023" s="2" t="s">
        <v>59</v>
      </c>
      <c r="E3023" s="2">
        <v>244</v>
      </c>
      <c r="F3023" s="2">
        <v>5310.51</v>
      </c>
    </row>
    <row r="3024" spans="3:6" x14ac:dyDescent="0.25">
      <c r="C3024" s="2" t="s">
        <v>13494</v>
      </c>
      <c r="D3024" s="2" t="s">
        <v>59</v>
      </c>
      <c r="E3024" s="2">
        <v>149</v>
      </c>
      <c r="F3024" s="2">
        <v>2732.34</v>
      </c>
    </row>
    <row r="3025" spans="3:6" x14ac:dyDescent="0.25">
      <c r="C3025" s="2" t="s">
        <v>13495</v>
      </c>
      <c r="D3025" s="2" t="s">
        <v>59</v>
      </c>
      <c r="E3025" s="2">
        <v>102</v>
      </c>
      <c r="F3025" s="2">
        <v>1943.53</v>
      </c>
    </row>
    <row r="3026" spans="3:6" x14ac:dyDescent="0.25">
      <c r="C3026" s="2" t="s">
        <v>13496</v>
      </c>
      <c r="D3026" s="2" t="s">
        <v>59</v>
      </c>
      <c r="E3026" s="2">
        <v>102</v>
      </c>
      <c r="F3026" s="2">
        <v>1998.242</v>
      </c>
    </row>
    <row r="3027" spans="3:6" x14ac:dyDescent="0.25">
      <c r="C3027" s="2" t="s">
        <v>13497</v>
      </c>
      <c r="D3027" s="2" t="s">
        <v>59</v>
      </c>
      <c r="E3027" s="2">
        <v>149</v>
      </c>
      <c r="F3027" s="2">
        <v>2797.58</v>
      </c>
    </row>
    <row r="3029" spans="1:7" x14ac:dyDescent="0.25">
      <c r="A3029" s="1">
        <v>46140</v>
      </c>
      <c r="B3029" s="2" t="s">
        <v>1400</v>
      </c>
      <c r="C3029" s="2" t="s">
        <v>13498</v>
      </c>
      <c r="D3029" s="2" t="s">
        <v>82</v>
      </c>
      <c r="E3029" s="2">
        <v>101</v>
      </c>
      <c r="F3029" s="2">
        <v>2042.76</v>
      </c>
      <c r="G3029" s="1">
        <v>46139</v>
      </c>
    </row>
    <row r="3030" spans="3:6" x14ac:dyDescent="0.25">
      <c r="C3030" s="2" t="s">
        <v>13499</v>
      </c>
      <c r="D3030" s="2" t="s">
        <v>82</v>
      </c>
      <c r="E3030" s="2">
        <v>101</v>
      </c>
      <c r="F3030" s="2">
        <v>2091.22</v>
      </c>
    </row>
    <row r="3031" spans="3:6" x14ac:dyDescent="0.25">
      <c r="C3031" s="2" t="s">
        <v>13500</v>
      </c>
      <c r="D3031" s="2" t="s">
        <v>82</v>
      </c>
      <c r="E3031" s="2">
        <v>101</v>
      </c>
      <c r="F3031" s="2">
        <v>2044.36</v>
      </c>
    </row>
    <row r="3032" spans="3:6" x14ac:dyDescent="0.25">
      <c r="C3032" s="2" t="s">
        <v>13501</v>
      </c>
      <c r="D3032" s="2" t="s">
        <v>82</v>
      </c>
      <c r="E3032" s="2">
        <v>27</v>
      </c>
      <c r="F3032" s="2">
        <v>568.07</v>
      </c>
    </row>
    <row r="3033" spans="3:6" x14ac:dyDescent="0.25">
      <c r="C3033" s="2" t="s">
        <v>13502</v>
      </c>
      <c r="D3033" s="2" t="s">
        <v>82</v>
      </c>
      <c r="E3033" s="2">
        <v>74</v>
      </c>
      <c r="F3033" s="2">
        <v>1508.83</v>
      </c>
    </row>
    <row r="3034" spans="3:6" x14ac:dyDescent="0.25">
      <c r="C3034" s="2" t="s">
        <v>13503</v>
      </c>
      <c r="D3034" s="2" t="s">
        <v>82</v>
      </c>
      <c r="E3034" s="2">
        <v>73</v>
      </c>
      <c r="F3034" s="2">
        <v>1477.35</v>
      </c>
    </row>
    <row r="3035" spans="3:6" x14ac:dyDescent="0.25">
      <c r="C3035" s="2" t="s">
        <v>13504</v>
      </c>
      <c r="D3035" s="2" t="s">
        <v>82</v>
      </c>
      <c r="E3035" s="2">
        <v>28</v>
      </c>
      <c r="F3035" s="2">
        <v>578.68</v>
      </c>
    </row>
    <row r="3036" spans="3:6" x14ac:dyDescent="0.25">
      <c r="C3036" s="2" t="s">
        <v>13505</v>
      </c>
      <c r="D3036" s="2" t="s">
        <v>82</v>
      </c>
      <c r="E3036" s="2">
        <v>85</v>
      </c>
      <c r="F3036" s="2">
        <v>1705.77</v>
      </c>
    </row>
    <row r="3037" spans="3:6" x14ac:dyDescent="0.25">
      <c r="C3037" s="2" t="s">
        <v>13506</v>
      </c>
      <c r="D3037" s="2" t="s">
        <v>82</v>
      </c>
      <c r="E3037" s="2">
        <v>49</v>
      </c>
      <c r="F3037" s="2">
        <v>995.69</v>
      </c>
    </row>
    <row r="3038" spans="3:6" x14ac:dyDescent="0.25">
      <c r="C3038" s="2" t="s">
        <v>13507</v>
      </c>
      <c r="D3038" s="2" t="s">
        <v>82</v>
      </c>
      <c r="E3038" s="2">
        <v>29</v>
      </c>
      <c r="F3038" s="2">
        <v>584.55</v>
      </c>
    </row>
    <row r="3039" spans="3:6" x14ac:dyDescent="0.25">
      <c r="C3039" s="2" t="s">
        <v>13508</v>
      </c>
      <c r="D3039" s="2" t="s">
        <v>82</v>
      </c>
      <c r="E3039" s="2">
        <v>43</v>
      </c>
      <c r="F3039" s="2">
        <v>917.06</v>
      </c>
    </row>
    <row r="3040" spans="3:6" x14ac:dyDescent="0.25">
      <c r="C3040" s="2" t="s">
        <v>13509</v>
      </c>
      <c r="D3040" s="2" t="s">
        <v>82</v>
      </c>
      <c r="E3040" s="2">
        <v>42</v>
      </c>
      <c r="F3040" s="2">
        <v>876.8</v>
      </c>
    </row>
    <row r="3041" spans="3:6" x14ac:dyDescent="0.25">
      <c r="C3041" s="2" t="s">
        <v>13510</v>
      </c>
      <c r="D3041" s="2" t="s">
        <v>82</v>
      </c>
      <c r="E3041" s="2">
        <v>27</v>
      </c>
      <c r="F3041" s="2">
        <v>559.3</v>
      </c>
    </row>
    <row r="3042" spans="3:6" x14ac:dyDescent="0.25">
      <c r="C3042" s="2" t="s">
        <v>13511</v>
      </c>
      <c r="D3042" s="2" t="s">
        <v>82</v>
      </c>
      <c r="E3042" s="2">
        <v>141</v>
      </c>
      <c r="F3042" s="2">
        <v>2778.929</v>
      </c>
    </row>
    <row r="3043" spans="3:6" x14ac:dyDescent="0.25">
      <c r="C3043" s="2" t="s">
        <v>13512</v>
      </c>
      <c r="D3043" s="2" t="s">
        <v>82</v>
      </c>
      <c r="E3043" s="2">
        <v>141</v>
      </c>
      <c r="F3043" s="2">
        <v>2821.27</v>
      </c>
    </row>
    <row r="3044" spans="3:6" x14ac:dyDescent="0.25">
      <c r="C3044" s="2" t="s">
        <v>13513</v>
      </c>
      <c r="D3044" s="2" t="s">
        <v>82</v>
      </c>
      <c r="E3044" s="2">
        <v>41</v>
      </c>
      <c r="F3044" s="2">
        <v>818.419</v>
      </c>
    </row>
    <row r="3045" spans="3:6" x14ac:dyDescent="0.25">
      <c r="C3045" s="2" t="s">
        <v>13514</v>
      </c>
      <c r="D3045" s="2" t="s">
        <v>82</v>
      </c>
      <c r="E3045" s="2">
        <v>43</v>
      </c>
      <c r="F3045" s="2">
        <v>915.6</v>
      </c>
    </row>
    <row r="3046" spans="3:6" x14ac:dyDescent="0.25">
      <c r="C3046" s="2" t="s">
        <v>13515</v>
      </c>
      <c r="D3046" s="2" t="s">
        <v>82</v>
      </c>
      <c r="E3046" s="2">
        <v>27</v>
      </c>
      <c r="F3046" s="2">
        <v>527.11</v>
      </c>
    </row>
    <row r="3047" spans="3:6" x14ac:dyDescent="0.25">
      <c r="C3047" s="2" t="s">
        <v>13516</v>
      </c>
      <c r="D3047" s="2" t="s">
        <v>82</v>
      </c>
      <c r="E3047" s="2">
        <v>30</v>
      </c>
      <c r="F3047" s="2">
        <v>621.56</v>
      </c>
    </row>
    <row r="3048" spans="3:6" x14ac:dyDescent="0.25">
      <c r="C3048" s="2" t="s">
        <v>13517</v>
      </c>
      <c r="D3048" s="2" t="s">
        <v>82</v>
      </c>
      <c r="E3048" s="2">
        <v>141</v>
      </c>
      <c r="F3048" s="2">
        <v>2820.81</v>
      </c>
    </row>
    <row r="3049" spans="3:6" x14ac:dyDescent="0.25">
      <c r="C3049" s="2" t="s">
        <v>13518</v>
      </c>
      <c r="D3049" s="2" t="s">
        <v>82</v>
      </c>
      <c r="E3049" s="2">
        <v>124</v>
      </c>
      <c r="F3049" s="2">
        <v>2530.52</v>
      </c>
    </row>
    <row r="3050" spans="3:6" x14ac:dyDescent="0.25">
      <c r="C3050" s="2" t="s">
        <v>13519</v>
      </c>
      <c r="D3050" s="2" t="s">
        <v>82</v>
      </c>
      <c r="E3050" s="2">
        <v>17</v>
      </c>
      <c r="F3050" s="2">
        <v>354.23</v>
      </c>
    </row>
    <row r="3051" spans="3:6" x14ac:dyDescent="0.25">
      <c r="C3051" s="2" t="s">
        <v>13520</v>
      </c>
      <c r="D3051" s="2" t="s">
        <v>82</v>
      </c>
      <c r="E3051" s="2">
        <v>58</v>
      </c>
      <c r="F3051" s="2">
        <v>1154</v>
      </c>
    </row>
    <row r="3052" spans="3:6" x14ac:dyDescent="0.25">
      <c r="C3052" s="2" t="s">
        <v>13521</v>
      </c>
      <c r="D3052" s="2" t="s">
        <v>82</v>
      </c>
      <c r="E3052" s="2">
        <v>83</v>
      </c>
      <c r="F3052" s="2">
        <v>1748.37</v>
      </c>
    </row>
    <row r="3053" spans="3:6" x14ac:dyDescent="0.25">
      <c r="C3053" s="2" t="s">
        <v>13522</v>
      </c>
      <c r="D3053" s="2" t="s">
        <v>82</v>
      </c>
      <c r="E3053" s="2">
        <v>33</v>
      </c>
      <c r="F3053" s="2">
        <v>596.37</v>
      </c>
    </row>
    <row r="3054" spans="3:6" x14ac:dyDescent="0.25">
      <c r="C3054" s="2" t="s">
        <v>13523</v>
      </c>
      <c r="D3054" s="2" t="s">
        <v>82</v>
      </c>
      <c r="E3054" s="2">
        <v>101</v>
      </c>
      <c r="F3054" s="2">
        <v>2082.34</v>
      </c>
    </row>
    <row r="3055" spans="3:6" x14ac:dyDescent="0.25">
      <c r="C3055" s="2" t="s">
        <v>13524</v>
      </c>
      <c r="D3055" s="2" t="s">
        <v>82</v>
      </c>
      <c r="E3055" s="2">
        <v>56</v>
      </c>
      <c r="F3055" s="2">
        <v>1147.57</v>
      </c>
    </row>
    <row r="3056" spans="3:6" x14ac:dyDescent="0.25">
      <c r="C3056" s="2" t="s">
        <v>13525</v>
      </c>
      <c r="D3056" s="2" t="s">
        <v>82</v>
      </c>
      <c r="E3056" s="2">
        <v>55</v>
      </c>
      <c r="F3056" s="2">
        <v>1136.498</v>
      </c>
    </row>
    <row r="3057" spans="3:6" x14ac:dyDescent="0.25">
      <c r="C3057" s="2" t="s">
        <v>13526</v>
      </c>
      <c r="D3057" s="2" t="s">
        <v>82</v>
      </c>
      <c r="E3057" s="2">
        <v>30</v>
      </c>
      <c r="F3057" s="2">
        <v>547.249</v>
      </c>
    </row>
    <row r="3058" spans="3:6" x14ac:dyDescent="0.25">
      <c r="C3058" s="2" t="s">
        <v>13527</v>
      </c>
      <c r="D3058" s="2" t="s">
        <v>82</v>
      </c>
      <c r="E3058" s="2">
        <v>57</v>
      </c>
      <c r="F3058" s="2">
        <v>1116.419</v>
      </c>
    </row>
    <row r="3059" spans="3:6" x14ac:dyDescent="0.25">
      <c r="C3059" s="2" t="s">
        <v>13528</v>
      </c>
      <c r="D3059" s="2" t="s">
        <v>82</v>
      </c>
      <c r="E3059" s="2">
        <v>10</v>
      </c>
      <c r="F3059" s="2">
        <v>187.38</v>
      </c>
    </row>
    <row r="3060" spans="3:6" x14ac:dyDescent="0.25">
      <c r="C3060" s="2" t="s">
        <v>13529</v>
      </c>
      <c r="D3060" s="2" t="s">
        <v>82</v>
      </c>
      <c r="E3060" s="2">
        <v>74</v>
      </c>
      <c r="F3060" s="2">
        <v>1510.3</v>
      </c>
    </row>
    <row r="3062" spans="1:7" x14ac:dyDescent="0.25">
      <c r="A3062" s="1">
        <v>46140</v>
      </c>
      <c r="B3062" s="2" t="s">
        <v>1012</v>
      </c>
      <c r="C3062" s="2" t="s">
        <v>13530</v>
      </c>
      <c r="D3062" s="2" t="s">
        <v>73</v>
      </c>
      <c r="E3062" s="2">
        <v>68</v>
      </c>
      <c r="F3062" s="2">
        <v>1373.42</v>
      </c>
      <c r="G3062" s="1">
        <v>46138</v>
      </c>
    </row>
    <row r="3063" spans="3:6" x14ac:dyDescent="0.25">
      <c r="C3063" s="2" t="s">
        <v>13531</v>
      </c>
      <c r="D3063" s="2" t="s">
        <v>73</v>
      </c>
      <c r="E3063" s="2">
        <v>57</v>
      </c>
      <c r="F3063" s="2">
        <v>1001.23</v>
      </c>
    </row>
    <row r="3064" spans="3:6" x14ac:dyDescent="0.25">
      <c r="C3064" s="2" t="s">
        <v>13532</v>
      </c>
      <c r="D3064" s="2" t="s">
        <v>73</v>
      </c>
      <c r="E3064" s="2">
        <v>90</v>
      </c>
      <c r="F3064" s="2">
        <v>1793.84</v>
      </c>
    </row>
    <row r="3065" spans="3:6" x14ac:dyDescent="0.25">
      <c r="C3065" s="2" t="s">
        <v>13533</v>
      </c>
      <c r="D3065" s="2" t="s">
        <v>73</v>
      </c>
      <c r="E3065" s="2">
        <v>96</v>
      </c>
      <c r="F3065" s="2">
        <v>1927.07</v>
      </c>
    </row>
    <row r="3066" spans="3:6" x14ac:dyDescent="0.25">
      <c r="C3066" s="2" t="s">
        <v>13534</v>
      </c>
      <c r="D3066" s="2" t="s">
        <v>73</v>
      </c>
      <c r="E3066" s="2">
        <v>27</v>
      </c>
      <c r="F3066" s="2">
        <v>533.84</v>
      </c>
    </row>
    <row r="3067" spans="3:6" x14ac:dyDescent="0.25">
      <c r="C3067" s="2" t="s">
        <v>13535</v>
      </c>
      <c r="D3067" s="2" t="s">
        <v>73</v>
      </c>
      <c r="E3067" s="2">
        <v>73</v>
      </c>
      <c r="F3067" s="2">
        <v>1318.16</v>
      </c>
    </row>
    <row r="3068" spans="3:6" x14ac:dyDescent="0.25">
      <c r="C3068" s="2" t="s">
        <v>13536</v>
      </c>
      <c r="D3068" s="2" t="s">
        <v>73</v>
      </c>
      <c r="E3068" s="2">
        <v>9</v>
      </c>
      <c r="F3068" s="2" t="s">
        <v>4167</v>
      </c>
    </row>
    <row r="3070" spans="1:7" x14ac:dyDescent="0.25">
      <c r="A3070" s="1">
        <v>46140</v>
      </c>
      <c r="B3070" s="2" t="s">
        <v>7</v>
      </c>
      <c r="C3070" s="2" t="s">
        <v>13537</v>
      </c>
      <c r="D3070" s="2" t="s">
        <v>9</v>
      </c>
      <c r="E3070" s="2">
        <v>99</v>
      </c>
      <c r="F3070" s="2">
        <v>1302.197</v>
      </c>
      <c r="G3070" s="1">
        <v>46139</v>
      </c>
    </row>
    <row r="3071" spans="3:6" x14ac:dyDescent="0.25">
      <c r="C3071" s="2" t="s">
        <v>13538</v>
      </c>
      <c r="D3071" s="2" t="s">
        <v>9</v>
      </c>
      <c r="E3071" s="2">
        <v>99</v>
      </c>
      <c r="F3071" s="2">
        <v>1403.22</v>
      </c>
    </row>
    <row r="3073" spans="1:7" x14ac:dyDescent="0.25">
      <c r="A3073" s="1">
        <v>46140</v>
      </c>
      <c r="B3073" s="2" t="s">
        <v>1299</v>
      </c>
      <c r="C3073" s="2" t="s">
        <v>13539</v>
      </c>
      <c r="D3073" s="2" t="s">
        <v>15</v>
      </c>
      <c r="E3073" s="2">
        <v>105</v>
      </c>
      <c r="F3073" s="2">
        <v>800</v>
      </c>
      <c r="G3073" s="1">
        <v>46140</v>
      </c>
    </row>
    <row r="3074" spans="3:6" x14ac:dyDescent="0.25">
      <c r="C3074" s="2" t="s">
        <v>13540</v>
      </c>
      <c r="D3074" s="2" t="s">
        <v>15</v>
      </c>
      <c r="E3074" s="2">
        <v>105</v>
      </c>
      <c r="F3074" s="2">
        <v>800</v>
      </c>
    </row>
    <row r="3075" spans="3:6" x14ac:dyDescent="0.25">
      <c r="C3075" s="2" t="s">
        <v>13541</v>
      </c>
      <c r="D3075" s="2" t="s">
        <v>15</v>
      </c>
      <c r="E3075" s="2">
        <v>105</v>
      </c>
      <c r="F3075" s="2">
        <v>800</v>
      </c>
    </row>
    <row r="3076" spans="3:6" x14ac:dyDescent="0.25">
      <c r="C3076" s="2" t="s">
        <v>13542</v>
      </c>
      <c r="D3076" s="2" t="s">
        <v>15</v>
      </c>
      <c r="E3076" s="2">
        <v>105</v>
      </c>
      <c r="F3076" s="2">
        <v>800</v>
      </c>
    </row>
    <row r="3077" spans="3:6" x14ac:dyDescent="0.25">
      <c r="C3077" s="2" t="s">
        <v>13543</v>
      </c>
      <c r="D3077" s="2" t="s">
        <v>15</v>
      </c>
      <c r="E3077" s="2">
        <v>134</v>
      </c>
      <c r="F3077" s="2">
        <v>2488.033</v>
      </c>
    </row>
    <row r="3078" spans="3:6" x14ac:dyDescent="0.25">
      <c r="C3078" s="2" t="s">
        <v>13544</v>
      </c>
      <c r="D3078" s="2" t="s">
        <v>15</v>
      </c>
      <c r="E3078" s="2">
        <v>134</v>
      </c>
      <c r="F3078" s="2">
        <v>2663.235</v>
      </c>
    </row>
    <row r="3079" spans="3:6" x14ac:dyDescent="0.25">
      <c r="C3079" s="2" t="s">
        <v>13545</v>
      </c>
      <c r="D3079" s="2" t="s">
        <v>15</v>
      </c>
      <c r="E3079" s="2">
        <v>134</v>
      </c>
      <c r="F3079" s="2">
        <v>2645.776</v>
      </c>
    </row>
    <row r="3080" spans="3:6" x14ac:dyDescent="0.25">
      <c r="C3080" s="2" t="s">
        <v>13546</v>
      </c>
      <c r="D3080" s="2" t="s">
        <v>15</v>
      </c>
      <c r="E3080" s="2">
        <v>134</v>
      </c>
      <c r="F3080" s="2">
        <v>2673.29</v>
      </c>
    </row>
    <row r="3081" spans="3:6" x14ac:dyDescent="0.25">
      <c r="C3081" s="2" t="s">
        <v>13547</v>
      </c>
      <c r="D3081" s="2" t="s">
        <v>15</v>
      </c>
      <c r="E3081" s="2">
        <v>134</v>
      </c>
      <c r="F3081" s="2">
        <v>2695.828</v>
      </c>
    </row>
    <row r="3082" spans="3:6" x14ac:dyDescent="0.25">
      <c r="C3082" s="2" t="s">
        <v>13548</v>
      </c>
      <c r="D3082" s="2" t="s">
        <v>15</v>
      </c>
      <c r="E3082" s="2">
        <v>156</v>
      </c>
      <c r="F3082" s="2">
        <v>3093.09</v>
      </c>
    </row>
    <row r="3083" spans="3:6" x14ac:dyDescent="0.25">
      <c r="C3083" s="2" t="s">
        <v>13549</v>
      </c>
      <c r="D3083" s="2" t="s">
        <v>15</v>
      </c>
      <c r="E3083" s="2">
        <v>156</v>
      </c>
      <c r="F3083" s="2">
        <v>3157.98</v>
      </c>
    </row>
    <row r="3084" spans="3:6" x14ac:dyDescent="0.25">
      <c r="C3084" s="2" t="s">
        <v>13550</v>
      </c>
      <c r="D3084" s="2" t="s">
        <v>15</v>
      </c>
      <c r="E3084" s="2">
        <v>156</v>
      </c>
      <c r="F3084" s="2">
        <v>3172.93</v>
      </c>
    </row>
    <row r="3085" spans="3:6" x14ac:dyDescent="0.25">
      <c r="C3085" s="2" t="s">
        <v>13551</v>
      </c>
      <c r="D3085" s="2" t="s">
        <v>15</v>
      </c>
      <c r="E3085" s="2">
        <v>163</v>
      </c>
      <c r="F3085" s="2">
        <v>3225.215</v>
      </c>
    </row>
    <row r="3086" spans="3:6" x14ac:dyDescent="0.25">
      <c r="C3086" s="2" t="s">
        <v>13552</v>
      </c>
      <c r="D3086" s="2" t="s">
        <v>15</v>
      </c>
      <c r="E3086" s="2">
        <v>143</v>
      </c>
      <c r="F3086" s="2">
        <v>2466.619</v>
      </c>
    </row>
    <row r="3087" spans="3:6" x14ac:dyDescent="0.25">
      <c r="C3087" s="2" t="s">
        <v>13553</v>
      </c>
      <c r="D3087" s="2" t="s">
        <v>15</v>
      </c>
      <c r="E3087" s="2">
        <v>21</v>
      </c>
      <c r="F3087" s="2">
        <v>383</v>
      </c>
    </row>
    <row r="3088" spans="3:6" x14ac:dyDescent="0.25">
      <c r="C3088" s="2" t="s">
        <v>13554</v>
      </c>
      <c r="D3088" s="2" t="s">
        <v>15</v>
      </c>
      <c r="E3088" s="2">
        <v>163</v>
      </c>
      <c r="F3088" s="2">
        <v>3112.222</v>
      </c>
    </row>
    <row r="3089" spans="3:6" x14ac:dyDescent="0.25">
      <c r="C3089" s="2" t="s">
        <v>13555</v>
      </c>
      <c r="D3089" s="2" t="s">
        <v>15</v>
      </c>
      <c r="E3089" s="2">
        <v>105</v>
      </c>
      <c r="F3089" s="2">
        <v>2119.74</v>
      </c>
    </row>
    <row r="3090" spans="3:6" x14ac:dyDescent="0.25">
      <c r="C3090" s="2" t="s">
        <v>13556</v>
      </c>
      <c r="D3090" s="2" t="s">
        <v>15</v>
      </c>
      <c r="E3090" s="2">
        <v>105</v>
      </c>
      <c r="F3090" s="2">
        <v>2106.522</v>
      </c>
    </row>
    <row r="3091" spans="3:6" x14ac:dyDescent="0.25">
      <c r="C3091" s="2" t="s">
        <v>13557</v>
      </c>
      <c r="D3091" s="2" t="s">
        <v>15</v>
      </c>
      <c r="E3091" s="2">
        <v>36</v>
      </c>
      <c r="F3091" s="2">
        <v>700.61</v>
      </c>
    </row>
    <row r="3092" spans="3:6" x14ac:dyDescent="0.25">
      <c r="C3092" s="2" t="s">
        <v>13558</v>
      </c>
      <c r="D3092" s="2" t="s">
        <v>26</v>
      </c>
      <c r="E3092" s="2">
        <v>105</v>
      </c>
      <c r="F3092" s="2">
        <v>2053.19</v>
      </c>
    </row>
    <row r="3093" spans="3:6" x14ac:dyDescent="0.25">
      <c r="C3093" s="2" t="s">
        <v>13559</v>
      </c>
      <c r="D3093" s="2" t="s">
        <v>36</v>
      </c>
      <c r="E3093" s="2">
        <v>9</v>
      </c>
      <c r="F3093" s="2">
        <v>178</v>
      </c>
    </row>
    <row r="3094" spans="3:6" x14ac:dyDescent="0.25">
      <c r="C3094" s="2" t="s">
        <v>13560</v>
      </c>
      <c r="D3094" s="2" t="s">
        <v>36</v>
      </c>
      <c r="E3094" s="2">
        <v>38</v>
      </c>
      <c r="F3094" s="2">
        <v>710.52</v>
      </c>
    </row>
    <row r="3095" spans="3:6" x14ac:dyDescent="0.25">
      <c r="C3095" s="2" t="s">
        <v>13561</v>
      </c>
      <c r="D3095" s="2" t="s">
        <v>36</v>
      </c>
      <c r="E3095" s="2">
        <v>80</v>
      </c>
      <c r="F3095" s="2">
        <v>1506.569</v>
      </c>
    </row>
    <row r="3096" spans="3:6" x14ac:dyDescent="0.25">
      <c r="C3096" s="2" t="s">
        <v>13562</v>
      </c>
      <c r="D3096" s="2" t="s">
        <v>36</v>
      </c>
      <c r="E3096" s="2">
        <v>29</v>
      </c>
      <c r="F3096" s="2">
        <v>552.35</v>
      </c>
    </row>
    <row r="3097" spans="3:6" x14ac:dyDescent="0.25">
      <c r="C3097" s="2" t="s">
        <v>13563</v>
      </c>
      <c r="D3097" s="2" t="s">
        <v>136</v>
      </c>
      <c r="E3097" s="2">
        <v>86</v>
      </c>
      <c r="F3097" s="2">
        <v>1614.399</v>
      </c>
    </row>
    <row r="3098" spans="3:6" x14ac:dyDescent="0.25">
      <c r="C3098" s="2" t="s">
        <v>13564</v>
      </c>
      <c r="D3098" s="2" t="s">
        <v>136</v>
      </c>
      <c r="E3098" s="2">
        <v>70</v>
      </c>
      <c r="F3098" s="2">
        <v>1282.88</v>
      </c>
    </row>
    <row r="3100" spans="2:6" x14ac:dyDescent="0.25">
      <c r="B3100" s="2" t="s">
        <v>48</v>
      </c>
      <c r="C3100" s="2" t="s">
        <v>13565</v>
      </c>
      <c r="D3100" s="2" t="s">
        <v>26</v>
      </c>
      <c r="E3100" s="2">
        <v>156</v>
      </c>
      <c r="F3100" s="2">
        <v>2711</v>
      </c>
    </row>
    <row r="3101" spans="3:6" x14ac:dyDescent="0.25">
      <c r="C3101" s="2" t="s">
        <v>13566</v>
      </c>
      <c r="D3101" s="2" t="s">
        <v>26</v>
      </c>
      <c r="E3101" s="2">
        <v>156</v>
      </c>
      <c r="F3101" s="2">
        <v>2766</v>
      </c>
    </row>
    <row r="3102" spans="3:6" x14ac:dyDescent="0.25">
      <c r="C3102" s="2" t="s">
        <v>13567</v>
      </c>
      <c r="D3102" s="2" t="s">
        <v>136</v>
      </c>
      <c r="E3102" s="2">
        <v>105</v>
      </c>
      <c r="F3102" s="2">
        <v>1759</v>
      </c>
    </row>
    <row r="3103" spans="3:6" x14ac:dyDescent="0.25">
      <c r="C3103" s="2" t="s">
        <v>13568</v>
      </c>
      <c r="D3103" s="2" t="s">
        <v>53</v>
      </c>
      <c r="E3103" s="2">
        <v>156</v>
      </c>
      <c r="F3103" s="2">
        <v>3031</v>
      </c>
    </row>
    <row r="3104" spans="3:6" x14ac:dyDescent="0.25">
      <c r="C3104" s="2" t="s">
        <v>13569</v>
      </c>
      <c r="D3104" s="2" t="s">
        <v>26</v>
      </c>
      <c r="E3104" s="2">
        <v>134</v>
      </c>
      <c r="F3104" s="2">
        <v>2302</v>
      </c>
    </row>
    <row r="3106" spans="1:7" x14ac:dyDescent="0.25">
      <c r="A3106" s="1">
        <v>46140</v>
      </c>
      <c r="B3106" s="2" t="s">
        <v>7875</v>
      </c>
      <c r="C3106" s="2" t="s">
        <v>13570</v>
      </c>
      <c r="D3106" s="2" t="s">
        <v>59</v>
      </c>
      <c r="E3106" s="2">
        <v>180</v>
      </c>
      <c r="F3106" s="2">
        <v>3633.68</v>
      </c>
      <c r="G3106" s="1">
        <v>46139</v>
      </c>
    </row>
    <row r="3107" spans="3:6" x14ac:dyDescent="0.25">
      <c r="C3107" s="2" t="s">
        <v>13571</v>
      </c>
      <c r="D3107" s="2" t="s">
        <v>59</v>
      </c>
      <c r="E3107" s="2">
        <v>265</v>
      </c>
      <c r="F3107" s="2">
        <v>5832.63</v>
      </c>
    </row>
    <row r="3108" spans="3:6" x14ac:dyDescent="0.25">
      <c r="C3108" s="2" t="s">
        <v>13572</v>
      </c>
      <c r="D3108" s="2" t="s">
        <v>59</v>
      </c>
      <c r="E3108" s="2">
        <v>318</v>
      </c>
      <c r="F3108" s="2">
        <v>6416.87</v>
      </c>
    </row>
    <row r="3109" spans="3:6" x14ac:dyDescent="0.25">
      <c r="C3109" s="2" t="s">
        <v>13573</v>
      </c>
      <c r="D3109" s="2" t="s">
        <v>59</v>
      </c>
      <c r="E3109" s="2">
        <v>257</v>
      </c>
      <c r="F3109" s="2">
        <v>5697.419</v>
      </c>
    </row>
    <row r="3110" spans="3:6" x14ac:dyDescent="0.25">
      <c r="C3110" s="2" t="s">
        <v>13574</v>
      </c>
      <c r="D3110" s="2" t="s">
        <v>59</v>
      </c>
      <c r="E3110" s="2">
        <v>344</v>
      </c>
      <c r="F3110" s="2">
        <v>6526.518</v>
      </c>
    </row>
    <row r="3111" spans="3:6" x14ac:dyDescent="0.25">
      <c r="C3111" s="2" t="s">
        <v>13575</v>
      </c>
      <c r="D3111" s="2" t="s">
        <v>59</v>
      </c>
      <c r="E3111" s="2">
        <v>80</v>
      </c>
      <c r="F3111" s="2">
        <v>1377.128</v>
      </c>
    </row>
    <row r="3112" spans="3:6" x14ac:dyDescent="0.25">
      <c r="C3112" s="2" t="s">
        <v>13576</v>
      </c>
      <c r="D3112" s="2" t="s">
        <v>59</v>
      </c>
      <c r="E3112" s="2">
        <v>190</v>
      </c>
      <c r="F3112" s="2">
        <v>3564.408</v>
      </c>
    </row>
    <row r="3113" spans="3:6" x14ac:dyDescent="0.25">
      <c r="C3113" s="2" t="s">
        <v>13577</v>
      </c>
      <c r="D3113" s="2" t="s">
        <v>59</v>
      </c>
      <c r="E3113" s="2">
        <v>280</v>
      </c>
      <c r="F3113" s="2">
        <v>5383.358</v>
      </c>
    </row>
    <row r="3114" spans="3:6" x14ac:dyDescent="0.25">
      <c r="C3114" s="2" t="s">
        <v>13578</v>
      </c>
      <c r="D3114" s="2" t="s">
        <v>59</v>
      </c>
      <c r="E3114" s="2">
        <v>339</v>
      </c>
      <c r="F3114" s="2">
        <v>6437.26</v>
      </c>
    </row>
    <row r="3115" spans="3:6" x14ac:dyDescent="0.25">
      <c r="C3115" s="2" t="s">
        <v>13579</v>
      </c>
      <c r="D3115" s="2" t="s">
        <v>59</v>
      </c>
      <c r="E3115" s="2">
        <v>255</v>
      </c>
      <c r="F3115" s="2">
        <v>5055.948</v>
      </c>
    </row>
    <row r="3116" spans="3:6" x14ac:dyDescent="0.25">
      <c r="C3116" s="2" t="s">
        <v>13580</v>
      </c>
      <c r="D3116" s="2" t="s">
        <v>59</v>
      </c>
      <c r="E3116" s="2">
        <v>275</v>
      </c>
      <c r="F3116" s="2">
        <v>5213.948</v>
      </c>
    </row>
    <row r="3117" spans="3:6" x14ac:dyDescent="0.25">
      <c r="C3117" s="2" t="s">
        <v>13581</v>
      </c>
      <c r="D3117" s="2" t="s">
        <v>59</v>
      </c>
      <c r="E3117" s="2">
        <v>285</v>
      </c>
      <c r="F3117" s="2">
        <v>5682.939</v>
      </c>
    </row>
    <row r="3118" spans="3:6" x14ac:dyDescent="0.25">
      <c r="C3118" s="2" t="s">
        <v>13582</v>
      </c>
      <c r="D3118" s="2" t="s">
        <v>59</v>
      </c>
      <c r="E3118" s="2">
        <v>309</v>
      </c>
      <c r="F3118" s="2">
        <v>5792.309</v>
      </c>
    </row>
    <row r="3119" spans="3:6" x14ac:dyDescent="0.25">
      <c r="C3119" s="2" t="s">
        <v>13583</v>
      </c>
      <c r="D3119" s="2" t="s">
        <v>59</v>
      </c>
      <c r="E3119" s="2">
        <v>85</v>
      </c>
      <c r="F3119" s="2">
        <v>1646.329</v>
      </c>
    </row>
    <row r="3120" spans="3:6" x14ac:dyDescent="0.25">
      <c r="C3120" s="2" t="s">
        <v>13584</v>
      </c>
      <c r="D3120" s="2" t="s">
        <v>59</v>
      </c>
      <c r="E3120" s="2">
        <v>275</v>
      </c>
      <c r="F3120" s="2">
        <v>5317.609</v>
      </c>
    </row>
    <row r="3121" spans="3:6" x14ac:dyDescent="0.25">
      <c r="C3121" s="2" t="s">
        <v>13585</v>
      </c>
      <c r="D3121" s="2" t="s">
        <v>59</v>
      </c>
      <c r="E3121" s="2">
        <v>150</v>
      </c>
      <c r="F3121" s="2">
        <v>3034.899</v>
      </c>
    </row>
    <row r="3122" spans="3:6" x14ac:dyDescent="0.25">
      <c r="C3122" s="2" t="s">
        <v>13586</v>
      </c>
      <c r="D3122" s="2" t="s">
        <v>59</v>
      </c>
      <c r="E3122" s="2">
        <v>85</v>
      </c>
      <c r="F3122" s="2">
        <v>1683.4</v>
      </c>
    </row>
    <row r="3123" spans="3:6" x14ac:dyDescent="0.25">
      <c r="C3123" s="2" t="s">
        <v>13587</v>
      </c>
      <c r="D3123" s="2" t="s">
        <v>59</v>
      </c>
      <c r="E3123" s="2">
        <v>298</v>
      </c>
      <c r="F3123" s="2">
        <v>5637.398</v>
      </c>
    </row>
    <row r="3125" spans="1:7" x14ac:dyDescent="0.25">
      <c r="A3125" s="1">
        <v>46140</v>
      </c>
      <c r="B3125" s="2" t="s">
        <v>361</v>
      </c>
      <c r="C3125" s="2" t="s">
        <v>13588</v>
      </c>
      <c r="D3125" s="2" t="s">
        <v>70</v>
      </c>
      <c r="E3125" s="2">
        <v>154</v>
      </c>
      <c r="F3125" s="2">
        <v>2802.158</v>
      </c>
      <c r="G3125" s="1">
        <v>46140</v>
      </c>
    </row>
    <row r="3127" spans="1:7" x14ac:dyDescent="0.25">
      <c r="A3127" s="1">
        <v>46141</v>
      </c>
      <c r="B3127" s="2" t="s">
        <v>1400</v>
      </c>
      <c r="C3127" s="2" t="s">
        <v>13589</v>
      </c>
      <c r="D3127" s="2" t="s">
        <v>82</v>
      </c>
      <c r="E3127" s="2">
        <v>134</v>
      </c>
      <c r="F3127" s="2">
        <v>2726.69</v>
      </c>
      <c r="G3127" s="1">
        <v>46141</v>
      </c>
    </row>
    <row r="3128" spans="3:6" x14ac:dyDescent="0.25">
      <c r="C3128" s="2" t="s">
        <v>13590</v>
      </c>
      <c r="D3128" s="2" t="s">
        <v>82</v>
      </c>
      <c r="E3128" s="2">
        <v>134</v>
      </c>
      <c r="F3128" s="2">
        <v>2753.72</v>
      </c>
    </row>
    <row r="3129" spans="3:6" x14ac:dyDescent="0.25">
      <c r="C3129" s="2" t="s">
        <v>13591</v>
      </c>
      <c r="D3129" s="2" t="s">
        <v>82</v>
      </c>
      <c r="E3129" s="2">
        <v>141</v>
      </c>
      <c r="F3129" s="2">
        <v>2842.97</v>
      </c>
    </row>
    <row r="3130" spans="3:6" x14ac:dyDescent="0.25">
      <c r="C3130" s="2" t="s">
        <v>13592</v>
      </c>
      <c r="D3130" s="2" t="s">
        <v>82</v>
      </c>
      <c r="E3130" s="2">
        <v>141</v>
      </c>
      <c r="F3130" s="2">
        <v>2961.65</v>
      </c>
    </row>
    <row r="3131" spans="3:6" x14ac:dyDescent="0.25">
      <c r="C3131" s="2" t="s">
        <v>13593</v>
      </c>
      <c r="D3131" s="2" t="s">
        <v>82</v>
      </c>
      <c r="E3131" s="2">
        <v>141</v>
      </c>
      <c r="F3131" s="2">
        <v>2949.51</v>
      </c>
    </row>
    <row r="3132" spans="3:6" x14ac:dyDescent="0.25">
      <c r="C3132" s="2" t="s">
        <v>13594</v>
      </c>
      <c r="D3132" s="2" t="s">
        <v>82</v>
      </c>
      <c r="E3132" s="2">
        <v>141</v>
      </c>
      <c r="F3132" s="2">
        <v>2884.1</v>
      </c>
    </row>
    <row r="3133" spans="3:6" x14ac:dyDescent="0.25">
      <c r="C3133" s="2" t="s">
        <v>13595</v>
      </c>
      <c r="D3133" s="2" t="s">
        <v>82</v>
      </c>
      <c r="E3133" s="2">
        <v>141</v>
      </c>
      <c r="F3133" s="2">
        <v>2885.33</v>
      </c>
    </row>
    <row r="3134" spans="3:6" x14ac:dyDescent="0.25">
      <c r="C3134" s="2" t="s">
        <v>13596</v>
      </c>
      <c r="D3134" s="2" t="s">
        <v>82</v>
      </c>
      <c r="E3134" s="2">
        <v>99</v>
      </c>
      <c r="F3134" s="2">
        <v>2053.18</v>
      </c>
    </row>
    <row r="3135" spans="3:6" x14ac:dyDescent="0.25">
      <c r="C3135" s="2" t="s">
        <v>13597</v>
      </c>
      <c r="D3135" s="2" t="s">
        <v>82</v>
      </c>
      <c r="E3135" s="2">
        <v>42</v>
      </c>
      <c r="F3135" s="2">
        <v>850.98</v>
      </c>
    </row>
    <row r="3136" spans="3:6" x14ac:dyDescent="0.25">
      <c r="C3136" s="2" t="s">
        <v>13598</v>
      </c>
      <c r="D3136" s="2" t="s">
        <v>82</v>
      </c>
      <c r="E3136" s="2">
        <v>76</v>
      </c>
      <c r="F3136" s="2">
        <v>1562.96</v>
      </c>
    </row>
    <row r="3137" spans="3:6" x14ac:dyDescent="0.25">
      <c r="C3137" s="2" t="s">
        <v>13599</v>
      </c>
      <c r="D3137" s="2" t="s">
        <v>82</v>
      </c>
      <c r="E3137" s="2">
        <v>65</v>
      </c>
      <c r="F3137" s="2">
        <v>1334.77</v>
      </c>
    </row>
    <row r="3138" spans="3:6" x14ac:dyDescent="0.25">
      <c r="C3138" s="2" t="s">
        <v>13600</v>
      </c>
      <c r="D3138" s="2" t="s">
        <v>82</v>
      </c>
      <c r="E3138" s="2">
        <v>101</v>
      </c>
      <c r="F3138" s="2">
        <v>2113.39</v>
      </c>
    </row>
    <row r="3139" spans="3:6" x14ac:dyDescent="0.25">
      <c r="C3139" s="2" t="s">
        <v>13601</v>
      </c>
      <c r="D3139" s="2" t="s">
        <v>82</v>
      </c>
      <c r="E3139" s="2">
        <v>50</v>
      </c>
      <c r="F3139" s="2">
        <v>1012.89</v>
      </c>
    </row>
    <row r="3140" spans="3:6" x14ac:dyDescent="0.25">
      <c r="C3140" s="2" t="s">
        <v>13602</v>
      </c>
      <c r="D3140" s="2" t="s">
        <v>82</v>
      </c>
      <c r="E3140" s="2">
        <v>51</v>
      </c>
      <c r="F3140" s="2">
        <v>1036.25</v>
      </c>
    </row>
    <row r="3141" spans="3:6" x14ac:dyDescent="0.25">
      <c r="C3141" s="2" t="s">
        <v>13603</v>
      </c>
      <c r="D3141" s="2" t="s">
        <v>82</v>
      </c>
      <c r="E3141" s="2">
        <v>66</v>
      </c>
      <c r="F3141" s="2">
        <v>1380.89</v>
      </c>
    </row>
    <row r="3142" spans="3:6" x14ac:dyDescent="0.25">
      <c r="C3142" s="2" t="s">
        <v>13604</v>
      </c>
      <c r="D3142" s="2" t="s">
        <v>82</v>
      </c>
      <c r="E3142" s="2">
        <v>35</v>
      </c>
      <c r="F3142" s="2">
        <v>714.85</v>
      </c>
    </row>
    <row r="3143" spans="3:6" x14ac:dyDescent="0.25">
      <c r="C3143" s="2" t="s">
        <v>13605</v>
      </c>
      <c r="D3143" s="2" t="s">
        <v>82</v>
      </c>
      <c r="E3143" s="2">
        <v>45</v>
      </c>
      <c r="F3143" s="2">
        <v>796.47</v>
      </c>
    </row>
    <row r="3144" spans="3:6" x14ac:dyDescent="0.25">
      <c r="C3144" s="2" t="s">
        <v>13606</v>
      </c>
      <c r="D3144" s="2" t="s">
        <v>82</v>
      </c>
      <c r="E3144" s="2">
        <v>56</v>
      </c>
      <c r="F3144" s="2">
        <v>1157.86</v>
      </c>
    </row>
    <row r="3145" spans="3:6" x14ac:dyDescent="0.25">
      <c r="C3145" s="2" t="s">
        <v>13607</v>
      </c>
      <c r="D3145" s="2" t="s">
        <v>82</v>
      </c>
      <c r="E3145" s="2">
        <v>141</v>
      </c>
      <c r="F3145" s="2">
        <v>2840.799</v>
      </c>
    </row>
    <row r="3146" spans="3:6" x14ac:dyDescent="0.25">
      <c r="C3146" s="2" t="s">
        <v>13608</v>
      </c>
      <c r="D3146" s="2" t="s">
        <v>82</v>
      </c>
      <c r="E3146" s="2">
        <v>40</v>
      </c>
      <c r="F3146" s="2">
        <v>755.399</v>
      </c>
    </row>
    <row r="3147" spans="3:6" x14ac:dyDescent="0.25">
      <c r="C3147" s="2" t="s">
        <v>13609</v>
      </c>
      <c r="D3147" s="2" t="s">
        <v>82</v>
      </c>
      <c r="E3147" s="2">
        <v>23</v>
      </c>
      <c r="F3147" s="2">
        <v>449.61</v>
      </c>
    </row>
    <row r="3148" spans="3:6" x14ac:dyDescent="0.25">
      <c r="C3148" s="2" t="s">
        <v>13610</v>
      </c>
      <c r="D3148" s="2" t="s">
        <v>82</v>
      </c>
      <c r="E3148" s="2">
        <v>38</v>
      </c>
      <c r="F3148" s="2">
        <v>791.87</v>
      </c>
    </row>
    <row r="3149" spans="3:6" x14ac:dyDescent="0.25">
      <c r="C3149" s="2" t="s">
        <v>13611</v>
      </c>
      <c r="D3149" s="2" t="s">
        <v>82</v>
      </c>
      <c r="E3149" s="2">
        <v>17</v>
      </c>
      <c r="F3149" s="2">
        <v>334.509</v>
      </c>
    </row>
    <row r="3150" spans="3:6" x14ac:dyDescent="0.25">
      <c r="C3150" s="2" t="s">
        <v>13612</v>
      </c>
      <c r="D3150" s="2" t="s">
        <v>82</v>
      </c>
      <c r="E3150" s="2">
        <v>12</v>
      </c>
      <c r="F3150" s="2">
        <v>250.86</v>
      </c>
    </row>
    <row r="3151" spans="3:6" x14ac:dyDescent="0.25">
      <c r="C3151" s="2" t="s">
        <v>13613</v>
      </c>
      <c r="D3151" s="2" t="s">
        <v>82</v>
      </c>
      <c r="E3151" s="2">
        <v>23</v>
      </c>
      <c r="F3151" s="2">
        <v>421.32</v>
      </c>
    </row>
    <row r="3152" spans="3:6" x14ac:dyDescent="0.25">
      <c r="C3152" s="2" t="s">
        <v>13614</v>
      </c>
      <c r="D3152" s="2" t="s">
        <v>82</v>
      </c>
      <c r="E3152" s="2">
        <v>40</v>
      </c>
      <c r="F3152" s="2">
        <v>774.31</v>
      </c>
    </row>
    <row r="3153" spans="3:6" x14ac:dyDescent="0.25">
      <c r="C3153" s="2" t="s">
        <v>13615</v>
      </c>
      <c r="D3153" s="2" t="s">
        <v>82</v>
      </c>
      <c r="E3153" s="2">
        <v>50</v>
      </c>
      <c r="F3153" s="2">
        <v>923.43</v>
      </c>
    </row>
    <row r="3155" spans="1:6" x14ac:dyDescent="0.25">
      <c r="A3155" s="1">
        <v>46141</v>
      </c>
      <c r="B3155" s="2" t="s">
        <v>3948</v>
      </c>
      <c r="C3155" s="2" t="s">
        <v>13616</v>
      </c>
      <c r="D3155" s="2" t="s">
        <v>178</v>
      </c>
      <c r="E3155" s="2">
        <v>300</v>
      </c>
      <c r="F3155" s="2">
        <v>6151.788</v>
      </c>
    </row>
    <row r="3156" spans="3:6" x14ac:dyDescent="0.25">
      <c r="C3156" s="2" t="s">
        <v>13617</v>
      </c>
      <c r="D3156" s="2" t="s">
        <v>178</v>
      </c>
      <c r="E3156" s="2">
        <v>67</v>
      </c>
      <c r="F3156" s="2">
        <v>1301.129</v>
      </c>
    </row>
    <row r="3157" spans="3:6" x14ac:dyDescent="0.25">
      <c r="C3157" s="2" t="s">
        <v>13618</v>
      </c>
      <c r="D3157" s="2" t="s">
        <v>178</v>
      </c>
      <c r="E3157" s="2">
        <v>66</v>
      </c>
      <c r="F3157" s="2">
        <v>1261.26</v>
      </c>
    </row>
    <row r="3158" spans="3:6" x14ac:dyDescent="0.25">
      <c r="C3158" s="2" t="s">
        <v>13619</v>
      </c>
      <c r="D3158" s="2" t="s">
        <v>178</v>
      </c>
      <c r="E3158" s="2">
        <v>70</v>
      </c>
      <c r="F3158" s="2">
        <v>1425.31</v>
      </c>
    </row>
    <row r="3159" spans="3:6" x14ac:dyDescent="0.25">
      <c r="C3159" s="2" t="s">
        <v>13620</v>
      </c>
      <c r="D3159" s="2" t="s">
        <v>178</v>
      </c>
      <c r="E3159" s="2">
        <v>121</v>
      </c>
      <c r="F3159" s="2">
        <v>2498.03</v>
      </c>
    </row>
    <row r="3160" spans="3:6" x14ac:dyDescent="0.25">
      <c r="C3160" s="2" t="s">
        <v>13621</v>
      </c>
      <c r="D3160" s="2" t="s">
        <v>178</v>
      </c>
      <c r="E3160" s="2">
        <v>100</v>
      </c>
      <c r="F3160" s="2">
        <v>2030.74</v>
      </c>
    </row>
    <row r="3161" spans="3:6" x14ac:dyDescent="0.25">
      <c r="C3161" s="2" t="s">
        <v>13622</v>
      </c>
      <c r="D3161" s="2" t="s">
        <v>178</v>
      </c>
      <c r="E3161" s="2">
        <v>242</v>
      </c>
      <c r="F3161" s="2">
        <v>5068.67</v>
      </c>
    </row>
    <row r="3162" spans="3:6" x14ac:dyDescent="0.25">
      <c r="C3162" s="2" t="s">
        <v>13623</v>
      </c>
      <c r="D3162" s="2" t="s">
        <v>178</v>
      </c>
      <c r="E3162" s="2">
        <v>139</v>
      </c>
      <c r="F3162" s="2">
        <v>2802.82</v>
      </c>
    </row>
    <row r="3163" spans="3:6" x14ac:dyDescent="0.25">
      <c r="C3163" s="2" t="s">
        <v>13624</v>
      </c>
      <c r="D3163" s="2" t="s">
        <v>178</v>
      </c>
      <c r="E3163" s="2">
        <v>96</v>
      </c>
      <c r="F3163" s="2">
        <v>1911.1</v>
      </c>
    </row>
    <row r="3164" spans="3:6" x14ac:dyDescent="0.25">
      <c r="C3164" s="2" t="s">
        <v>13625</v>
      </c>
      <c r="D3164" s="2" t="s">
        <v>178</v>
      </c>
      <c r="E3164" s="2">
        <v>43</v>
      </c>
      <c r="F3164" s="2">
        <v>864.02</v>
      </c>
    </row>
    <row r="3165" spans="3:6" x14ac:dyDescent="0.25">
      <c r="C3165" s="2" t="s">
        <v>13626</v>
      </c>
      <c r="D3165" s="2" t="s">
        <v>178</v>
      </c>
      <c r="E3165" s="2">
        <v>139</v>
      </c>
      <c r="F3165" s="2">
        <v>2812.69</v>
      </c>
    </row>
    <row r="3166" spans="3:6" x14ac:dyDescent="0.25">
      <c r="C3166" s="2" t="s">
        <v>13627</v>
      </c>
      <c r="D3166" s="2" t="s">
        <v>178</v>
      </c>
      <c r="E3166" s="2">
        <v>31</v>
      </c>
      <c r="F3166" s="2">
        <v>552.45</v>
      </c>
    </row>
    <row r="3167" spans="3:6" x14ac:dyDescent="0.25">
      <c r="C3167" s="2" t="s">
        <v>13628</v>
      </c>
      <c r="D3167" s="2" t="s">
        <v>178</v>
      </c>
      <c r="E3167" s="2">
        <v>46</v>
      </c>
      <c r="F3167" s="2">
        <v>910.31</v>
      </c>
    </row>
    <row r="3168" spans="3:6" x14ac:dyDescent="0.25">
      <c r="C3168" s="2" t="s">
        <v>13629</v>
      </c>
      <c r="D3168" s="2" t="s">
        <v>178</v>
      </c>
      <c r="E3168" s="2">
        <v>27</v>
      </c>
      <c r="F3168" s="2">
        <v>536.18</v>
      </c>
    </row>
    <row r="3169" spans="3:6" x14ac:dyDescent="0.25">
      <c r="C3169" s="2" t="s">
        <v>13630</v>
      </c>
      <c r="D3169" s="2" t="s">
        <v>178</v>
      </c>
      <c r="E3169" s="2">
        <v>33</v>
      </c>
      <c r="F3169" s="2">
        <v>625.24</v>
      </c>
    </row>
    <row r="3170" spans="3:6" x14ac:dyDescent="0.25">
      <c r="C3170" s="2" t="s">
        <v>13631</v>
      </c>
      <c r="D3170" s="2" t="s">
        <v>178</v>
      </c>
      <c r="E3170" s="2">
        <v>139</v>
      </c>
      <c r="F3170" s="2">
        <v>2770.63</v>
      </c>
    </row>
    <row r="3171" spans="3:6" x14ac:dyDescent="0.25">
      <c r="C3171" s="2" t="s">
        <v>13632</v>
      </c>
      <c r="D3171" s="2" t="s">
        <v>178</v>
      </c>
      <c r="E3171" s="2">
        <v>139</v>
      </c>
      <c r="F3171" s="2">
        <v>2785.409</v>
      </c>
    </row>
    <row r="3172" spans="3:6" x14ac:dyDescent="0.25">
      <c r="C3172" s="2" t="s">
        <v>13633</v>
      </c>
      <c r="D3172" s="2" t="s">
        <v>178</v>
      </c>
      <c r="E3172" s="2">
        <v>152</v>
      </c>
      <c r="F3172" s="2">
        <v>3139.37</v>
      </c>
    </row>
    <row r="3173" spans="3:6" x14ac:dyDescent="0.25">
      <c r="C3173" s="2" t="s">
        <v>13634</v>
      </c>
      <c r="D3173" s="2" t="s">
        <v>178</v>
      </c>
      <c r="E3173" s="2">
        <v>69</v>
      </c>
      <c r="F3173" s="2">
        <v>1401.109</v>
      </c>
    </row>
    <row r="3174" spans="3:6" x14ac:dyDescent="0.25">
      <c r="C3174" s="2" t="s">
        <v>13635</v>
      </c>
      <c r="D3174" s="2" t="s">
        <v>178</v>
      </c>
      <c r="E3174" s="2">
        <v>134</v>
      </c>
      <c r="F3174" s="2">
        <v>2669.77</v>
      </c>
    </row>
    <row r="3175" spans="3:6" x14ac:dyDescent="0.25">
      <c r="C3175" s="2" t="s">
        <v>13636</v>
      </c>
      <c r="D3175" s="2" t="s">
        <v>178</v>
      </c>
      <c r="E3175" s="2">
        <v>137</v>
      </c>
      <c r="F3175" s="2">
        <v>2914.73</v>
      </c>
    </row>
    <row r="3176" spans="3:6" x14ac:dyDescent="0.25">
      <c r="C3176" s="2" t="s">
        <v>13637</v>
      </c>
      <c r="D3176" s="2" t="s">
        <v>178</v>
      </c>
      <c r="E3176" s="2">
        <v>110</v>
      </c>
      <c r="F3176" s="2">
        <v>2202.56</v>
      </c>
    </row>
    <row r="3177" spans="3:6" x14ac:dyDescent="0.25">
      <c r="C3177" s="2" t="s">
        <v>13638</v>
      </c>
      <c r="D3177" s="2" t="s">
        <v>178</v>
      </c>
      <c r="E3177" s="2">
        <v>81</v>
      </c>
      <c r="F3177" s="2">
        <v>1648.85</v>
      </c>
    </row>
    <row r="3178" spans="3:6" x14ac:dyDescent="0.25">
      <c r="C3178" s="2" t="s">
        <v>13639</v>
      </c>
      <c r="D3178" s="2" t="s">
        <v>178</v>
      </c>
      <c r="E3178" s="2">
        <v>32</v>
      </c>
      <c r="F3178" s="2">
        <v>670.05</v>
      </c>
    </row>
    <row r="3179" spans="3:6" x14ac:dyDescent="0.25">
      <c r="C3179" s="2" t="s">
        <v>13640</v>
      </c>
      <c r="D3179" s="2" t="s">
        <v>178</v>
      </c>
      <c r="E3179" s="2">
        <v>27</v>
      </c>
      <c r="F3179" s="2">
        <v>503.4</v>
      </c>
    </row>
    <row r="3180" spans="3:6" x14ac:dyDescent="0.25">
      <c r="C3180" s="2" t="s">
        <v>13641</v>
      </c>
      <c r="D3180" s="2" t="s">
        <v>178</v>
      </c>
      <c r="E3180" s="2">
        <v>139</v>
      </c>
      <c r="F3180" s="2">
        <v>2850.12</v>
      </c>
    </row>
    <row r="3181" spans="3:6" x14ac:dyDescent="0.25">
      <c r="C3181" s="2" t="s">
        <v>13642</v>
      </c>
      <c r="D3181" s="2" t="s">
        <v>178</v>
      </c>
      <c r="E3181" s="2">
        <v>99</v>
      </c>
      <c r="F3181" s="2">
        <v>2000.43</v>
      </c>
    </row>
    <row r="3182" spans="3:6" x14ac:dyDescent="0.25">
      <c r="C3182" s="2" t="s">
        <v>13643</v>
      </c>
      <c r="D3182" s="2" t="s">
        <v>178</v>
      </c>
      <c r="E3182" s="2">
        <v>40</v>
      </c>
      <c r="F3182" s="2">
        <v>828.29</v>
      </c>
    </row>
    <row r="3183" spans="3:6" x14ac:dyDescent="0.25">
      <c r="C3183" s="2" t="s">
        <v>13644</v>
      </c>
      <c r="D3183" s="2" t="s">
        <v>178</v>
      </c>
      <c r="E3183" s="2">
        <v>80</v>
      </c>
      <c r="F3183" s="2">
        <v>1486.89</v>
      </c>
    </row>
    <row r="3184" spans="3:6" x14ac:dyDescent="0.25">
      <c r="C3184" s="2" t="s">
        <v>13645</v>
      </c>
      <c r="D3184" s="2" t="s">
        <v>178</v>
      </c>
      <c r="E3184" s="2">
        <v>59</v>
      </c>
      <c r="F3184" s="2">
        <v>1120</v>
      </c>
    </row>
    <row r="3185" spans="3:6" x14ac:dyDescent="0.25">
      <c r="C3185" s="2" t="s">
        <v>13646</v>
      </c>
      <c r="D3185" s="2" t="s">
        <v>178</v>
      </c>
      <c r="E3185" s="2">
        <v>117</v>
      </c>
      <c r="F3185" s="2">
        <v>2329.96</v>
      </c>
    </row>
    <row r="3186" spans="3:6" x14ac:dyDescent="0.25">
      <c r="C3186" s="2" t="s">
        <v>13647</v>
      </c>
      <c r="D3186" s="2" t="s">
        <v>178</v>
      </c>
      <c r="E3186" s="2">
        <v>23</v>
      </c>
      <c r="F3186" s="2">
        <v>477.79</v>
      </c>
    </row>
    <row r="3187" spans="3:6" x14ac:dyDescent="0.25">
      <c r="C3187" s="2" t="s">
        <v>13648</v>
      </c>
      <c r="D3187" s="2" t="s">
        <v>178</v>
      </c>
      <c r="E3187" s="2">
        <v>113</v>
      </c>
      <c r="F3187" s="2">
        <v>2304.95</v>
      </c>
    </row>
    <row r="3188" spans="3:6" x14ac:dyDescent="0.25">
      <c r="C3188" s="2" t="s">
        <v>13649</v>
      </c>
      <c r="D3188" s="2" t="s">
        <v>178</v>
      </c>
      <c r="E3188" s="2">
        <v>26</v>
      </c>
      <c r="F3188" s="2">
        <v>547.29</v>
      </c>
    </row>
    <row r="3189" spans="3:6" x14ac:dyDescent="0.25">
      <c r="C3189" s="2" t="s">
        <v>13650</v>
      </c>
      <c r="D3189" s="2" t="s">
        <v>178</v>
      </c>
      <c r="E3189" s="2">
        <v>83</v>
      </c>
      <c r="F3189" s="2">
        <v>1683.59</v>
      </c>
    </row>
    <row r="3190" spans="3:6" x14ac:dyDescent="0.25">
      <c r="C3190" s="2" t="s">
        <v>13651</v>
      </c>
      <c r="D3190" s="2" t="s">
        <v>178</v>
      </c>
      <c r="E3190" s="2">
        <v>17</v>
      </c>
      <c r="F3190" s="2">
        <v>352.81</v>
      </c>
    </row>
    <row r="3191" spans="3:6" x14ac:dyDescent="0.25">
      <c r="C3191" s="2" t="s">
        <v>13652</v>
      </c>
      <c r="D3191" s="2" t="s">
        <v>178</v>
      </c>
      <c r="E3191" s="2">
        <v>116</v>
      </c>
      <c r="F3191" s="2">
        <v>2257.038</v>
      </c>
    </row>
    <row r="3192" spans="3:6" x14ac:dyDescent="0.25">
      <c r="C3192" s="2" t="s">
        <v>13653</v>
      </c>
      <c r="D3192" s="2" t="s">
        <v>178</v>
      </c>
      <c r="E3192" s="2">
        <v>11</v>
      </c>
      <c r="F3192" s="2">
        <v>233.71</v>
      </c>
    </row>
    <row r="3193" spans="3:6" x14ac:dyDescent="0.25">
      <c r="C3193" s="2" t="s">
        <v>13654</v>
      </c>
      <c r="D3193" s="2" t="s">
        <v>178</v>
      </c>
      <c r="E3193" s="2">
        <v>12</v>
      </c>
      <c r="F3193" s="2">
        <v>228.48</v>
      </c>
    </row>
    <row r="3194" spans="3:6" x14ac:dyDescent="0.25">
      <c r="C3194" s="2" t="s">
        <v>13655</v>
      </c>
      <c r="D3194" s="2" t="s">
        <v>178</v>
      </c>
      <c r="E3194" s="2">
        <v>39</v>
      </c>
      <c r="F3194" s="2">
        <v>704.98</v>
      </c>
    </row>
    <row r="3195" spans="3:6" x14ac:dyDescent="0.25">
      <c r="C3195" s="2" t="s">
        <v>13656</v>
      </c>
      <c r="D3195" s="2" t="s">
        <v>178</v>
      </c>
      <c r="E3195" s="2">
        <v>50</v>
      </c>
      <c r="F3195" s="2">
        <v>1005.29</v>
      </c>
    </row>
    <row r="3196" spans="3:6" x14ac:dyDescent="0.25">
      <c r="C3196" s="2" t="s">
        <v>13657</v>
      </c>
      <c r="D3196" s="2" t="s">
        <v>178</v>
      </c>
      <c r="E3196" s="2">
        <v>50</v>
      </c>
      <c r="F3196" s="2">
        <v>994.56</v>
      </c>
    </row>
    <row r="3197" spans="3:6" x14ac:dyDescent="0.25">
      <c r="C3197" s="2" t="s">
        <v>13658</v>
      </c>
      <c r="D3197" s="2" t="s">
        <v>178</v>
      </c>
      <c r="E3197" s="2">
        <v>51</v>
      </c>
      <c r="F3197" s="2">
        <v>1045.75</v>
      </c>
    </row>
    <row r="3198" spans="3:6" x14ac:dyDescent="0.25">
      <c r="C3198" s="2" t="s">
        <v>13659</v>
      </c>
      <c r="D3198" s="2" t="s">
        <v>178</v>
      </c>
      <c r="E3198" s="2">
        <v>31</v>
      </c>
      <c r="F3198" s="2">
        <v>642.78</v>
      </c>
    </row>
    <row r="3199" spans="3:6" x14ac:dyDescent="0.25">
      <c r="C3199" s="2" t="s">
        <v>13660</v>
      </c>
      <c r="D3199" s="2" t="s">
        <v>178</v>
      </c>
      <c r="E3199" s="2">
        <v>12</v>
      </c>
      <c r="F3199" s="2">
        <v>208.169</v>
      </c>
    </row>
    <row r="3200" spans="3:6" x14ac:dyDescent="0.25">
      <c r="C3200" s="2" t="s">
        <v>13661</v>
      </c>
      <c r="D3200" s="2" t="s">
        <v>178</v>
      </c>
      <c r="E3200" s="2">
        <v>28</v>
      </c>
      <c r="F3200" s="2">
        <v>572.55</v>
      </c>
    </row>
    <row r="3201" spans="3:6" x14ac:dyDescent="0.25">
      <c r="C3201" s="2" t="s">
        <v>13662</v>
      </c>
      <c r="D3201" s="2" t="s">
        <v>178</v>
      </c>
      <c r="E3201" s="2">
        <v>18</v>
      </c>
      <c r="F3201" s="2">
        <v>325.62</v>
      </c>
    </row>
    <row r="3203" spans="1:7" x14ac:dyDescent="0.25">
      <c r="A3203" s="1">
        <v>46141</v>
      </c>
      <c r="B3203" s="2" t="s">
        <v>229</v>
      </c>
      <c r="C3203" s="2" t="s">
        <v>13663</v>
      </c>
      <c r="D3203" s="2" t="s">
        <v>292</v>
      </c>
      <c r="E3203" s="2">
        <v>116</v>
      </c>
      <c r="F3203" s="2">
        <v>2231.297</v>
      </c>
      <c r="G3203" s="1">
        <v>46140</v>
      </c>
    </row>
    <row r="3204" spans="3:6" x14ac:dyDescent="0.25">
      <c r="C3204" s="2" t="s">
        <v>13664</v>
      </c>
      <c r="D3204" s="2" t="s">
        <v>292</v>
      </c>
      <c r="E3204" s="2">
        <v>20</v>
      </c>
      <c r="F3204" s="2">
        <v>108.03</v>
      </c>
    </row>
    <row r="3205" spans="3:6" x14ac:dyDescent="0.25">
      <c r="C3205" s="2" t="s">
        <v>13665</v>
      </c>
      <c r="D3205" s="2" t="s">
        <v>292</v>
      </c>
      <c r="E3205" s="2">
        <v>141</v>
      </c>
      <c r="F3205" s="2">
        <v>2901.4</v>
      </c>
    </row>
    <row r="3206" spans="3:6" x14ac:dyDescent="0.25">
      <c r="C3206" s="2" t="s">
        <v>13666</v>
      </c>
      <c r="D3206" s="2" t="s">
        <v>292</v>
      </c>
      <c r="E3206" s="2">
        <v>22</v>
      </c>
      <c r="F3206" s="2">
        <v>427.011</v>
      </c>
    </row>
    <row r="3207" spans="3:6" x14ac:dyDescent="0.25">
      <c r="C3207" s="2" t="s">
        <v>13667</v>
      </c>
      <c r="D3207" s="2" t="s">
        <v>292</v>
      </c>
      <c r="E3207" s="2">
        <v>71</v>
      </c>
      <c r="F3207" s="2">
        <v>1442.78</v>
      </c>
    </row>
    <row r="3208" spans="3:6" x14ac:dyDescent="0.25">
      <c r="C3208" s="2" t="s">
        <v>13668</v>
      </c>
      <c r="D3208" s="2" t="s">
        <v>292</v>
      </c>
      <c r="E3208" s="2">
        <v>101</v>
      </c>
      <c r="F3208" s="2">
        <v>1976.169</v>
      </c>
    </row>
    <row r="3209" spans="3:6" x14ac:dyDescent="0.25">
      <c r="C3209" s="2" t="s">
        <v>13669</v>
      </c>
      <c r="D3209" s="2" t="s">
        <v>292</v>
      </c>
      <c r="E3209" s="2">
        <v>75</v>
      </c>
      <c r="F3209" s="2">
        <v>395.889</v>
      </c>
    </row>
    <row r="3210" spans="3:6" x14ac:dyDescent="0.25">
      <c r="C3210" s="2" t="s">
        <v>13670</v>
      </c>
      <c r="D3210" s="2" t="s">
        <v>292</v>
      </c>
      <c r="E3210" s="2">
        <v>141</v>
      </c>
      <c r="F3210" s="2">
        <v>2854.02</v>
      </c>
    </row>
    <row r="3211" spans="3:6" x14ac:dyDescent="0.25">
      <c r="C3211" s="2" t="s">
        <v>13671</v>
      </c>
      <c r="D3211" s="2" t="s">
        <v>292</v>
      </c>
      <c r="E3211" s="2">
        <v>42</v>
      </c>
      <c r="F3211" s="2">
        <v>898.56</v>
      </c>
    </row>
    <row r="3212" spans="3:6" x14ac:dyDescent="0.25">
      <c r="C3212" s="2" t="s">
        <v>13672</v>
      </c>
      <c r="D3212" s="2" t="s">
        <v>292</v>
      </c>
      <c r="E3212" s="2">
        <v>47</v>
      </c>
      <c r="F3212" s="2">
        <v>923.862</v>
      </c>
    </row>
    <row r="3213" spans="3:6" x14ac:dyDescent="0.25">
      <c r="C3213" s="2" t="s">
        <v>13673</v>
      </c>
      <c r="D3213" s="2" t="s">
        <v>292</v>
      </c>
      <c r="E3213" s="2">
        <v>77</v>
      </c>
      <c r="F3213" s="2">
        <v>1527.44</v>
      </c>
    </row>
    <row r="3214" spans="3:6" x14ac:dyDescent="0.25">
      <c r="C3214" s="2" t="s">
        <v>13674</v>
      </c>
      <c r="D3214" s="2" t="s">
        <v>292</v>
      </c>
      <c r="E3214" s="2">
        <v>64</v>
      </c>
      <c r="F3214" s="2">
        <v>1274.24</v>
      </c>
    </row>
    <row r="3215" spans="3:6" x14ac:dyDescent="0.25">
      <c r="C3215" s="2" t="s">
        <v>13675</v>
      </c>
      <c r="D3215" s="2" t="s">
        <v>292</v>
      </c>
      <c r="E3215" s="2">
        <v>52</v>
      </c>
      <c r="F3215" s="2">
        <v>1011.14</v>
      </c>
    </row>
    <row r="3216" spans="3:6" x14ac:dyDescent="0.25">
      <c r="C3216" s="2" t="s">
        <v>13676</v>
      </c>
      <c r="D3216" s="2" t="s">
        <v>292</v>
      </c>
      <c r="E3216" s="2">
        <v>45</v>
      </c>
      <c r="F3216" s="2">
        <v>729.137</v>
      </c>
    </row>
    <row r="3217" spans="3:6" x14ac:dyDescent="0.25">
      <c r="C3217" s="2" t="s">
        <v>13677</v>
      </c>
      <c r="D3217" s="2" t="s">
        <v>292</v>
      </c>
      <c r="E3217" s="2">
        <v>25</v>
      </c>
      <c r="F3217" s="2">
        <v>652.123</v>
      </c>
    </row>
    <row r="3218" spans="3:6" x14ac:dyDescent="0.25">
      <c r="C3218" s="2" t="s">
        <v>13678</v>
      </c>
      <c r="D3218" s="2" t="s">
        <v>292</v>
      </c>
      <c r="E3218" s="2">
        <v>76</v>
      </c>
      <c r="F3218" s="2">
        <v>1542.58</v>
      </c>
    </row>
    <row r="3219" spans="3:6" x14ac:dyDescent="0.25">
      <c r="C3219" s="2" t="s">
        <v>13679</v>
      </c>
      <c r="D3219" s="2" t="s">
        <v>292</v>
      </c>
      <c r="E3219" s="2">
        <v>84</v>
      </c>
      <c r="F3219" s="2">
        <v>1668.67</v>
      </c>
    </row>
    <row r="3220" spans="3:6" x14ac:dyDescent="0.25">
      <c r="C3220" s="2" t="s">
        <v>13680</v>
      </c>
      <c r="D3220" s="2" t="s">
        <v>292</v>
      </c>
      <c r="E3220" s="2">
        <v>9</v>
      </c>
      <c r="F3220" s="2">
        <v>123.63</v>
      </c>
    </row>
    <row r="3221" spans="3:6" x14ac:dyDescent="0.25">
      <c r="C3221" s="2" t="s">
        <v>13681</v>
      </c>
      <c r="D3221" s="2" t="s">
        <v>292</v>
      </c>
      <c r="E3221" s="2">
        <v>141</v>
      </c>
      <c r="F3221" s="2">
        <v>2953.65</v>
      </c>
    </row>
    <row r="3222" spans="3:6" x14ac:dyDescent="0.25">
      <c r="C3222" s="2" t="s">
        <v>13682</v>
      </c>
      <c r="D3222" s="2" t="s">
        <v>292</v>
      </c>
      <c r="E3222" s="2">
        <v>91</v>
      </c>
      <c r="F3222" s="2">
        <v>1542.614</v>
      </c>
    </row>
    <row r="3223" spans="3:6" x14ac:dyDescent="0.25">
      <c r="C3223" s="2" t="s">
        <v>13683</v>
      </c>
      <c r="D3223" s="2" t="s">
        <v>292</v>
      </c>
      <c r="E3223" s="2">
        <v>75</v>
      </c>
      <c r="F3223" s="2">
        <v>408.31</v>
      </c>
    </row>
    <row r="3224" spans="3:6" x14ac:dyDescent="0.25">
      <c r="C3224" s="2" t="s">
        <v>13684</v>
      </c>
      <c r="D3224" s="2" t="s">
        <v>292</v>
      </c>
      <c r="E3224" s="2">
        <v>8</v>
      </c>
      <c r="F3224" s="2">
        <v>150.25</v>
      </c>
    </row>
    <row r="3225" spans="3:6" x14ac:dyDescent="0.25">
      <c r="C3225" s="2" t="s">
        <v>13685</v>
      </c>
      <c r="D3225" s="2" t="s">
        <v>292</v>
      </c>
      <c r="E3225" s="2">
        <v>70</v>
      </c>
      <c r="F3225" s="2">
        <v>1400.44</v>
      </c>
    </row>
    <row r="3226" spans="3:6" x14ac:dyDescent="0.25">
      <c r="C3226" s="2" t="s">
        <v>13686</v>
      </c>
      <c r="D3226" s="2" t="s">
        <v>292</v>
      </c>
      <c r="E3226" s="2">
        <v>19</v>
      </c>
      <c r="F3226" s="2">
        <v>390.43</v>
      </c>
    </row>
    <row r="3227" spans="3:6" x14ac:dyDescent="0.25">
      <c r="C3227" s="2" t="s">
        <v>13687</v>
      </c>
      <c r="D3227" s="2" t="s">
        <v>292</v>
      </c>
      <c r="E3227" s="2">
        <v>29</v>
      </c>
      <c r="F3227" s="2">
        <v>625.7</v>
      </c>
    </row>
    <row r="3228" spans="3:6" x14ac:dyDescent="0.25">
      <c r="C3228" s="2" t="s">
        <v>13688</v>
      </c>
      <c r="D3228" s="2" t="s">
        <v>292</v>
      </c>
      <c r="E3228" s="2">
        <v>15</v>
      </c>
      <c r="F3228" s="2">
        <v>309.48</v>
      </c>
    </row>
    <row r="3229" spans="3:6" x14ac:dyDescent="0.25">
      <c r="C3229" s="2" t="s">
        <v>13689</v>
      </c>
      <c r="D3229" s="2" t="s">
        <v>292</v>
      </c>
      <c r="E3229" s="2">
        <v>46</v>
      </c>
      <c r="F3229" s="2">
        <v>856.839</v>
      </c>
    </row>
    <row r="3230" spans="3:6" x14ac:dyDescent="0.25">
      <c r="C3230" s="2" t="s">
        <v>13690</v>
      </c>
      <c r="D3230" s="2" t="s">
        <v>292</v>
      </c>
      <c r="E3230" s="2">
        <v>80</v>
      </c>
      <c r="F3230" s="2">
        <v>1773.36</v>
      </c>
    </row>
    <row r="3231" spans="3:6" x14ac:dyDescent="0.25">
      <c r="C3231" s="2" t="s">
        <v>13691</v>
      </c>
      <c r="D3231" s="2" t="s">
        <v>292</v>
      </c>
      <c r="E3231" s="2">
        <v>93</v>
      </c>
      <c r="F3231" s="2">
        <v>1903.42</v>
      </c>
    </row>
    <row r="3232" spans="3:6" x14ac:dyDescent="0.25">
      <c r="C3232" s="2" t="s">
        <v>13692</v>
      </c>
      <c r="D3232" s="2" t="s">
        <v>292</v>
      </c>
      <c r="E3232" s="2">
        <v>10</v>
      </c>
      <c r="F3232" s="2">
        <v>213.19</v>
      </c>
    </row>
    <row r="3233" spans="3:6" x14ac:dyDescent="0.25">
      <c r="C3233" s="2" t="s">
        <v>13693</v>
      </c>
      <c r="D3233" s="2" t="s">
        <v>292</v>
      </c>
      <c r="E3233" s="2">
        <v>65</v>
      </c>
      <c r="F3233" s="2">
        <v>1390.829</v>
      </c>
    </row>
    <row r="3234" spans="3:6" x14ac:dyDescent="0.25">
      <c r="C3234" s="2" t="s">
        <v>13694</v>
      </c>
      <c r="D3234" s="2" t="s">
        <v>292</v>
      </c>
      <c r="E3234" s="2">
        <v>28</v>
      </c>
      <c r="F3234" s="2">
        <v>544.82</v>
      </c>
    </row>
    <row r="3235" spans="3:6" x14ac:dyDescent="0.25">
      <c r="C3235" s="2" t="s">
        <v>13695</v>
      </c>
      <c r="D3235" s="2" t="s">
        <v>292</v>
      </c>
      <c r="E3235" s="2">
        <v>35</v>
      </c>
      <c r="F3235" s="2">
        <v>773.9</v>
      </c>
    </row>
    <row r="3236" spans="3:6" x14ac:dyDescent="0.25">
      <c r="C3236" s="2" t="s">
        <v>13696</v>
      </c>
      <c r="D3236" s="2" t="s">
        <v>292</v>
      </c>
      <c r="E3236" s="2">
        <v>102</v>
      </c>
      <c r="F3236" s="2">
        <v>2060.349</v>
      </c>
    </row>
    <row r="3237" spans="3:6" x14ac:dyDescent="0.25">
      <c r="C3237" s="2" t="s">
        <v>13697</v>
      </c>
      <c r="D3237" s="2" t="s">
        <v>292</v>
      </c>
      <c r="E3237" s="2">
        <v>102</v>
      </c>
      <c r="F3237" s="2">
        <v>2040.57</v>
      </c>
    </row>
    <row r="3238" spans="3:6" x14ac:dyDescent="0.25">
      <c r="C3238" s="2" t="s">
        <v>13698</v>
      </c>
      <c r="D3238" s="2" t="s">
        <v>292</v>
      </c>
      <c r="E3238" s="2">
        <v>143</v>
      </c>
      <c r="F3238" s="2">
        <v>2919.92</v>
      </c>
    </row>
    <row r="3239" spans="3:6" x14ac:dyDescent="0.25">
      <c r="C3239" s="2" t="s">
        <v>13699</v>
      </c>
      <c r="D3239" s="2" t="s">
        <v>292</v>
      </c>
      <c r="E3239" s="2">
        <v>143</v>
      </c>
      <c r="F3239" s="2">
        <v>2849</v>
      </c>
    </row>
    <row r="3240" spans="3:6" x14ac:dyDescent="0.25">
      <c r="C3240" s="2" t="s">
        <v>13700</v>
      </c>
      <c r="D3240" s="2" t="s">
        <v>292</v>
      </c>
      <c r="E3240" s="2">
        <v>13</v>
      </c>
      <c r="F3240" s="2">
        <v>268.692</v>
      </c>
    </row>
    <row r="3241" spans="3:6" x14ac:dyDescent="0.25">
      <c r="C3241" s="2" t="s">
        <v>13701</v>
      </c>
      <c r="D3241" s="2" t="s">
        <v>292</v>
      </c>
      <c r="E3241" s="2">
        <v>70</v>
      </c>
      <c r="F3241" s="2">
        <v>1354.63</v>
      </c>
    </row>
    <row r="3242" spans="3:6" x14ac:dyDescent="0.25">
      <c r="C3242" s="2" t="s">
        <v>13702</v>
      </c>
      <c r="D3242" s="2" t="s">
        <v>292</v>
      </c>
      <c r="E3242" s="2">
        <v>30</v>
      </c>
      <c r="F3242" s="2">
        <v>654.281</v>
      </c>
    </row>
    <row r="3243" spans="3:6" x14ac:dyDescent="0.25">
      <c r="C3243" s="2" t="s">
        <v>13703</v>
      </c>
      <c r="D3243" s="2" t="s">
        <v>292</v>
      </c>
      <c r="E3243" s="2">
        <v>87</v>
      </c>
      <c r="F3243" s="2">
        <v>1787.892</v>
      </c>
    </row>
    <row r="3244" spans="3:6" x14ac:dyDescent="0.25">
      <c r="C3244" s="2" t="s">
        <v>13704</v>
      </c>
      <c r="D3244" s="2" t="s">
        <v>292</v>
      </c>
      <c r="E3244" s="2">
        <v>123</v>
      </c>
      <c r="F3244" s="2">
        <v>2542.18</v>
      </c>
    </row>
    <row r="3245" spans="3:6" x14ac:dyDescent="0.25">
      <c r="C3245" s="2" t="s">
        <v>13705</v>
      </c>
      <c r="D3245" s="2" t="s">
        <v>292</v>
      </c>
      <c r="E3245" s="2">
        <v>18</v>
      </c>
      <c r="F3245" s="2">
        <v>384.65</v>
      </c>
    </row>
    <row r="3246" spans="3:6" x14ac:dyDescent="0.25">
      <c r="C3246" s="2" t="s">
        <v>13706</v>
      </c>
      <c r="D3246" s="2" t="s">
        <v>292</v>
      </c>
      <c r="E3246" s="2">
        <v>56</v>
      </c>
      <c r="F3246" s="2">
        <v>1097.89</v>
      </c>
    </row>
    <row r="3247" spans="3:6" x14ac:dyDescent="0.25">
      <c r="C3247" s="2" t="s">
        <v>13707</v>
      </c>
      <c r="D3247" s="2" t="s">
        <v>292</v>
      </c>
      <c r="E3247" s="2">
        <v>31</v>
      </c>
      <c r="F3247" s="2">
        <v>620.85</v>
      </c>
    </row>
    <row r="3248" spans="3:6" x14ac:dyDescent="0.25">
      <c r="C3248" s="2" t="s">
        <v>13708</v>
      </c>
      <c r="D3248" s="2" t="s">
        <v>292</v>
      </c>
      <c r="E3248" s="2">
        <v>11</v>
      </c>
      <c r="F3248" s="2">
        <v>198.77</v>
      </c>
    </row>
    <row r="3249" spans="3:6" x14ac:dyDescent="0.25">
      <c r="C3249" s="2" t="s">
        <v>13709</v>
      </c>
      <c r="D3249" s="2" t="s">
        <v>292</v>
      </c>
      <c r="E3249" s="2">
        <v>16</v>
      </c>
      <c r="F3249" s="2">
        <v>322.77</v>
      </c>
    </row>
    <row r="3250" spans="3:6" x14ac:dyDescent="0.25">
      <c r="C3250" s="2" t="s">
        <v>13710</v>
      </c>
      <c r="D3250" s="2" t="s">
        <v>292</v>
      </c>
      <c r="E3250" s="2">
        <v>51</v>
      </c>
      <c r="F3250" s="2">
        <v>1022.91</v>
      </c>
    </row>
    <row r="3251" spans="3:6" x14ac:dyDescent="0.25">
      <c r="C3251" s="2" t="s">
        <v>13711</v>
      </c>
      <c r="D3251" s="2" t="s">
        <v>292</v>
      </c>
      <c r="E3251" s="2">
        <v>61</v>
      </c>
      <c r="F3251" s="2">
        <v>1090.091</v>
      </c>
    </row>
    <row r="3252" spans="3:6" x14ac:dyDescent="0.25">
      <c r="C3252" s="2" t="s">
        <v>13712</v>
      </c>
      <c r="D3252" s="2" t="s">
        <v>292</v>
      </c>
      <c r="E3252" s="2">
        <v>8</v>
      </c>
      <c r="F3252" s="2">
        <v>161.3</v>
      </c>
    </row>
    <row r="3253" spans="3:6" x14ac:dyDescent="0.25">
      <c r="C3253" s="2" t="s">
        <v>13713</v>
      </c>
      <c r="D3253" s="2" t="s">
        <v>292</v>
      </c>
      <c r="E3253" s="2">
        <v>37</v>
      </c>
      <c r="F3253" s="2">
        <v>827.07</v>
      </c>
    </row>
    <row r="3254" spans="3:6" x14ac:dyDescent="0.25">
      <c r="C3254" s="2" t="s">
        <v>13714</v>
      </c>
      <c r="D3254" s="2" t="s">
        <v>292</v>
      </c>
      <c r="E3254" s="2">
        <v>52</v>
      </c>
      <c r="F3254" s="2">
        <v>1044.82</v>
      </c>
    </row>
    <row r="3255" spans="3:6" x14ac:dyDescent="0.25">
      <c r="C3255" s="2" t="s">
        <v>13715</v>
      </c>
      <c r="D3255" s="2" t="s">
        <v>292</v>
      </c>
      <c r="E3255" s="2">
        <v>49</v>
      </c>
      <c r="F3255" s="2">
        <v>964.55</v>
      </c>
    </row>
    <row r="3256" spans="3:6" x14ac:dyDescent="0.25">
      <c r="C3256" s="2" t="s">
        <v>13716</v>
      </c>
      <c r="D3256" s="2" t="s">
        <v>292</v>
      </c>
      <c r="E3256" s="2">
        <v>37</v>
      </c>
      <c r="F3256" s="2">
        <v>730.17</v>
      </c>
    </row>
    <row r="3257" spans="3:6" x14ac:dyDescent="0.25">
      <c r="C3257" s="2" t="s">
        <v>13717</v>
      </c>
      <c r="D3257" s="2" t="s">
        <v>292</v>
      </c>
      <c r="E3257" s="2">
        <v>76</v>
      </c>
      <c r="F3257" s="2">
        <v>1515.17</v>
      </c>
    </row>
    <row r="3258" spans="3:6" x14ac:dyDescent="0.25">
      <c r="C3258" s="2" t="s">
        <v>13718</v>
      </c>
      <c r="D3258" s="2" t="s">
        <v>292</v>
      </c>
      <c r="E3258" s="2">
        <v>28</v>
      </c>
      <c r="F3258" s="2">
        <v>555.77</v>
      </c>
    </row>
    <row r="3259" spans="3:6" x14ac:dyDescent="0.25">
      <c r="C3259" s="2" t="s">
        <v>13719</v>
      </c>
      <c r="D3259" s="2" t="s">
        <v>292</v>
      </c>
      <c r="E3259" s="2">
        <v>20</v>
      </c>
      <c r="F3259" s="2">
        <v>409.23</v>
      </c>
    </row>
    <row r="3260" spans="3:6" x14ac:dyDescent="0.25">
      <c r="C3260" s="2" t="s">
        <v>13720</v>
      </c>
      <c r="D3260" s="2" t="s">
        <v>292</v>
      </c>
      <c r="E3260" s="2">
        <v>9</v>
      </c>
      <c r="F3260" s="2">
        <v>174.009</v>
      </c>
    </row>
    <row r="3261" spans="3:6" x14ac:dyDescent="0.25">
      <c r="C3261" s="2" t="s">
        <v>13721</v>
      </c>
      <c r="D3261" s="2" t="s">
        <v>292</v>
      </c>
      <c r="E3261" s="2">
        <v>14</v>
      </c>
      <c r="F3261" s="2">
        <v>115.232</v>
      </c>
    </row>
    <row r="3262" spans="3:6" x14ac:dyDescent="0.25">
      <c r="C3262" s="2" t="s">
        <v>13722</v>
      </c>
      <c r="D3262" s="2" t="s">
        <v>292</v>
      </c>
      <c r="E3262" s="2">
        <v>26</v>
      </c>
      <c r="F3262" s="2">
        <v>506.72</v>
      </c>
    </row>
    <row r="3263" spans="3:6" x14ac:dyDescent="0.25">
      <c r="C3263" s="2" t="s">
        <v>13723</v>
      </c>
      <c r="D3263" s="2" t="s">
        <v>292</v>
      </c>
      <c r="E3263" s="2">
        <v>23</v>
      </c>
      <c r="F3263" s="2">
        <v>454.029</v>
      </c>
    </row>
    <row r="3265" spans="1:7" x14ac:dyDescent="0.25">
      <c r="A3265" s="1">
        <v>46141</v>
      </c>
      <c r="B3265" s="2" t="s">
        <v>7</v>
      </c>
      <c r="C3265" s="2" t="s">
        <v>13724</v>
      </c>
      <c r="D3265" s="2" t="s">
        <v>9</v>
      </c>
      <c r="E3265" s="2">
        <v>99</v>
      </c>
      <c r="F3265" s="2">
        <v>1372.88</v>
      </c>
      <c r="G3265" s="1">
        <v>46140</v>
      </c>
    </row>
    <row r="3266" spans="3:6" x14ac:dyDescent="0.25">
      <c r="C3266" s="2" t="s">
        <v>13725</v>
      </c>
      <c r="D3266" s="2" t="s">
        <v>9</v>
      </c>
      <c r="E3266" s="2">
        <v>99</v>
      </c>
      <c r="F3266" s="2">
        <v>1653.54</v>
      </c>
    </row>
    <row r="3268" spans="1:7" x14ac:dyDescent="0.25">
      <c r="A3268" s="1">
        <v>46141</v>
      </c>
      <c r="B3268" s="2" t="s">
        <v>378</v>
      </c>
      <c r="C3268" s="2" t="s">
        <v>13726</v>
      </c>
      <c r="D3268" s="2" t="s">
        <v>15</v>
      </c>
      <c r="E3268" s="2">
        <v>92</v>
      </c>
      <c r="F3268" s="2">
        <v>0</v>
      </c>
      <c r="G3268" s="1">
        <v>46141</v>
      </c>
    </row>
    <row r="3269" spans="3:6" x14ac:dyDescent="0.25">
      <c r="C3269" s="2" t="s">
        <v>13727</v>
      </c>
      <c r="D3269" s="2" t="s">
        <v>30</v>
      </c>
      <c r="E3269" s="2">
        <v>22</v>
      </c>
      <c r="F3269" s="2">
        <v>415.259</v>
      </c>
    </row>
    <row r="3270" spans="3:6" x14ac:dyDescent="0.25">
      <c r="C3270" s="2" t="s">
        <v>13728</v>
      </c>
      <c r="D3270" s="2" t="s">
        <v>30</v>
      </c>
      <c r="E3270" s="2">
        <v>15</v>
      </c>
      <c r="F3270" s="2">
        <v>0</v>
      </c>
    </row>
    <row r="3271" spans="3:6" x14ac:dyDescent="0.25">
      <c r="C3271" s="2" t="s">
        <v>13729</v>
      </c>
      <c r="D3271" s="2" t="s">
        <v>15</v>
      </c>
      <c r="E3271" s="2">
        <v>156</v>
      </c>
      <c r="F3271" s="2">
        <v>0</v>
      </c>
    </row>
    <row r="3272" spans="3:6" x14ac:dyDescent="0.25">
      <c r="C3272" s="2" t="s">
        <v>13730</v>
      </c>
      <c r="D3272" s="2" t="s">
        <v>26</v>
      </c>
      <c r="E3272" s="2">
        <v>105</v>
      </c>
      <c r="F3272" s="2">
        <v>2061.757</v>
      </c>
    </row>
    <row r="3273" spans="3:6" x14ac:dyDescent="0.25">
      <c r="C3273" s="2" t="s">
        <v>13731</v>
      </c>
      <c r="D3273" s="2" t="s">
        <v>36</v>
      </c>
      <c r="E3273" s="2">
        <v>44</v>
      </c>
      <c r="F3273" s="2">
        <v>0</v>
      </c>
    </row>
    <row r="3274" spans="3:6" x14ac:dyDescent="0.25">
      <c r="C3274" s="2" t="s">
        <v>13732</v>
      </c>
      <c r="D3274" s="2" t="s">
        <v>36</v>
      </c>
      <c r="E3274" s="2">
        <v>80</v>
      </c>
      <c r="F3274" s="2">
        <v>1565.77</v>
      </c>
    </row>
    <row r="3275" spans="3:6" x14ac:dyDescent="0.25">
      <c r="C3275" s="2" t="s">
        <v>13733</v>
      </c>
      <c r="D3275" s="2" t="s">
        <v>36</v>
      </c>
      <c r="E3275" s="2">
        <v>32</v>
      </c>
      <c r="F3275" s="2">
        <v>585.38</v>
      </c>
    </row>
    <row r="3276" spans="3:6" x14ac:dyDescent="0.25">
      <c r="C3276" s="2" t="s">
        <v>13734</v>
      </c>
      <c r="D3276" s="2" t="s">
        <v>30</v>
      </c>
      <c r="E3276" s="2">
        <v>163</v>
      </c>
      <c r="F3276" s="2">
        <v>3181.81</v>
      </c>
    </row>
    <row r="3277" spans="3:6" x14ac:dyDescent="0.25">
      <c r="C3277" s="2" t="s">
        <v>13735</v>
      </c>
      <c r="D3277" s="2" t="s">
        <v>30</v>
      </c>
      <c r="E3277" s="2">
        <v>163</v>
      </c>
      <c r="F3277" s="2">
        <v>3217.508</v>
      </c>
    </row>
    <row r="3278" spans="3:6" x14ac:dyDescent="0.25">
      <c r="C3278" s="2" t="s">
        <v>13736</v>
      </c>
      <c r="D3278" s="2" t="s">
        <v>15</v>
      </c>
      <c r="E3278" s="2">
        <v>163</v>
      </c>
      <c r="F3278" s="2">
        <v>3051.964</v>
      </c>
    </row>
    <row r="3279" spans="3:6" x14ac:dyDescent="0.25">
      <c r="C3279" s="2" t="s">
        <v>13737</v>
      </c>
      <c r="D3279" s="2" t="s">
        <v>36</v>
      </c>
      <c r="E3279" s="2">
        <v>36</v>
      </c>
      <c r="F3279" s="2">
        <v>655.12</v>
      </c>
    </row>
    <row r="3280" spans="3:6" x14ac:dyDescent="0.25">
      <c r="C3280" s="2" t="s">
        <v>13738</v>
      </c>
      <c r="D3280" s="2" t="s">
        <v>36</v>
      </c>
      <c r="E3280" s="2">
        <v>60</v>
      </c>
      <c r="F3280" s="2">
        <v>1142.61</v>
      </c>
    </row>
    <row r="3281" spans="3:6" x14ac:dyDescent="0.25">
      <c r="C3281" s="2" t="s">
        <v>13739</v>
      </c>
      <c r="D3281" s="2" t="s">
        <v>36</v>
      </c>
      <c r="E3281" s="2">
        <v>60</v>
      </c>
      <c r="F3281" s="2">
        <v>1065.409</v>
      </c>
    </row>
    <row r="3282" spans="3:6" x14ac:dyDescent="0.25">
      <c r="C3282" s="2" t="s">
        <v>13740</v>
      </c>
      <c r="D3282" s="2" t="s">
        <v>15</v>
      </c>
      <c r="E3282" s="2">
        <v>163</v>
      </c>
      <c r="F3282" s="2">
        <v>2880.973</v>
      </c>
    </row>
    <row r="3283" spans="3:6" x14ac:dyDescent="0.25">
      <c r="C3283" s="2" t="s">
        <v>13741</v>
      </c>
      <c r="D3283" s="2" t="s">
        <v>15</v>
      </c>
      <c r="E3283" s="2">
        <v>156</v>
      </c>
      <c r="F3283" s="2">
        <v>3096.549</v>
      </c>
    </row>
    <row r="3284" spans="3:6" x14ac:dyDescent="0.25">
      <c r="C3284" s="2" t="s">
        <v>13742</v>
      </c>
      <c r="D3284" s="2" t="s">
        <v>15</v>
      </c>
      <c r="E3284" s="2">
        <v>163</v>
      </c>
      <c r="F3284" s="2">
        <v>3047.983</v>
      </c>
    </row>
    <row r="3285" spans="3:6" x14ac:dyDescent="0.25">
      <c r="C3285" s="2" t="s">
        <v>13743</v>
      </c>
      <c r="D3285" s="2" t="s">
        <v>15</v>
      </c>
      <c r="E3285" s="2">
        <v>156</v>
      </c>
      <c r="F3285" s="2">
        <v>2850.885</v>
      </c>
    </row>
    <row r="3286" spans="3:6" x14ac:dyDescent="0.25">
      <c r="C3286" s="2" t="s">
        <v>13744</v>
      </c>
      <c r="D3286" s="2" t="s">
        <v>15</v>
      </c>
      <c r="E3286" s="2">
        <v>156</v>
      </c>
      <c r="F3286" s="2">
        <v>3136.691</v>
      </c>
    </row>
    <row r="3287" spans="3:6" x14ac:dyDescent="0.25">
      <c r="C3287" s="2" t="s">
        <v>13745</v>
      </c>
      <c r="D3287" s="2" t="s">
        <v>30</v>
      </c>
      <c r="E3287" s="2">
        <v>135</v>
      </c>
      <c r="F3287" s="2">
        <v>2616.094</v>
      </c>
    </row>
    <row r="3288" spans="3:6" x14ac:dyDescent="0.25">
      <c r="C3288" s="2" t="s">
        <v>13746</v>
      </c>
      <c r="D3288" s="2" t="s">
        <v>30</v>
      </c>
      <c r="E3288" s="2">
        <v>134</v>
      </c>
      <c r="F3288" s="2">
        <v>2640.827</v>
      </c>
    </row>
    <row r="3289" spans="3:6" x14ac:dyDescent="0.25">
      <c r="C3289" s="2" t="s">
        <v>13747</v>
      </c>
      <c r="D3289" s="2" t="s">
        <v>30</v>
      </c>
      <c r="E3289" s="2">
        <v>134</v>
      </c>
      <c r="F3289" s="2">
        <v>2738.435</v>
      </c>
    </row>
    <row r="3290" spans="3:6" x14ac:dyDescent="0.25">
      <c r="C3290" s="2" t="s">
        <v>13748</v>
      </c>
      <c r="D3290" s="2" t="s">
        <v>30</v>
      </c>
      <c r="E3290" s="2">
        <v>134</v>
      </c>
      <c r="F3290" s="2">
        <v>2764.63</v>
      </c>
    </row>
    <row r="3291" spans="3:6" x14ac:dyDescent="0.25">
      <c r="C3291" s="2" t="s">
        <v>13749</v>
      </c>
      <c r="D3291" s="2" t="s">
        <v>30</v>
      </c>
      <c r="E3291" s="2">
        <v>134</v>
      </c>
      <c r="F3291" s="2">
        <v>2716.879</v>
      </c>
    </row>
    <row r="3292" spans="3:6" x14ac:dyDescent="0.25">
      <c r="C3292" s="2" t="s">
        <v>13750</v>
      </c>
      <c r="D3292" s="2" t="s">
        <v>30</v>
      </c>
      <c r="E3292" s="2">
        <v>134</v>
      </c>
      <c r="F3292" s="2">
        <v>2773.55</v>
      </c>
    </row>
    <row r="3293" spans="3:6" x14ac:dyDescent="0.25">
      <c r="C3293" s="2" t="s">
        <v>13751</v>
      </c>
      <c r="D3293" s="2" t="s">
        <v>30</v>
      </c>
      <c r="E3293" s="2">
        <v>105</v>
      </c>
      <c r="F3293" s="2">
        <v>2055.053</v>
      </c>
    </row>
    <row r="3294" spans="3:6" x14ac:dyDescent="0.25">
      <c r="C3294" s="2" t="s">
        <v>13752</v>
      </c>
      <c r="D3294" s="2" t="s">
        <v>15</v>
      </c>
      <c r="E3294" s="2">
        <v>105</v>
      </c>
      <c r="F3294" s="2" t="s">
        <v>4167</v>
      </c>
    </row>
    <row r="3295" spans="3:6" x14ac:dyDescent="0.25">
      <c r="C3295" s="2" t="s">
        <v>13753</v>
      </c>
      <c r="D3295" s="2" t="s">
        <v>15</v>
      </c>
      <c r="E3295" s="2">
        <v>105</v>
      </c>
      <c r="F3295" s="2" t="s">
        <v>4167</v>
      </c>
    </row>
    <row r="3296" spans="3:6" x14ac:dyDescent="0.25">
      <c r="C3296" s="2" t="s">
        <v>13754</v>
      </c>
      <c r="D3296" s="2" t="s">
        <v>15</v>
      </c>
      <c r="E3296" s="2">
        <v>7</v>
      </c>
      <c r="F3296" s="2" t="s">
        <v>4167</v>
      </c>
    </row>
    <row r="3298" spans="1:7" x14ac:dyDescent="0.25">
      <c r="A3298" s="1">
        <v>46141</v>
      </c>
      <c r="B3298" s="2" t="s">
        <v>7875</v>
      </c>
      <c r="C3298" s="2" t="s">
        <v>13755</v>
      </c>
      <c r="D3298" s="2" t="s">
        <v>59</v>
      </c>
      <c r="E3298" s="2">
        <v>204</v>
      </c>
      <c r="F3298" s="2">
        <v>3874.358</v>
      </c>
      <c r="G3298" s="1">
        <v>46141</v>
      </c>
    </row>
    <row r="3299" spans="3:6" x14ac:dyDescent="0.25">
      <c r="C3299" s="2" t="s">
        <v>13756</v>
      </c>
      <c r="D3299" s="2" t="s">
        <v>59</v>
      </c>
      <c r="E3299" s="2">
        <v>149</v>
      </c>
      <c r="F3299" s="2">
        <v>2798.9</v>
      </c>
    </row>
    <row r="3300" spans="3:6" x14ac:dyDescent="0.25">
      <c r="C3300" s="2" t="s">
        <v>13757</v>
      </c>
      <c r="D3300" s="2" t="s">
        <v>59</v>
      </c>
      <c r="E3300" s="2">
        <v>102</v>
      </c>
      <c r="F3300" s="2">
        <v>2041.77</v>
      </c>
    </row>
    <row r="3301" spans="3:6" x14ac:dyDescent="0.25">
      <c r="C3301" s="2" t="s">
        <v>13758</v>
      </c>
      <c r="D3301" s="2" t="s">
        <v>59</v>
      </c>
      <c r="E3301" s="2">
        <v>102</v>
      </c>
      <c r="F3301" s="2">
        <v>2008.399</v>
      </c>
    </row>
    <row r="3302" spans="3:6" x14ac:dyDescent="0.25">
      <c r="C3302" s="2" t="s">
        <v>7697</v>
      </c>
      <c r="D3302" s="2" t="s">
        <v>59</v>
      </c>
      <c r="E3302" s="2">
        <v>87</v>
      </c>
      <c r="F3302" s="2">
        <v>1808.93</v>
      </c>
    </row>
    <row r="3303" spans="3:6" x14ac:dyDescent="0.25">
      <c r="C3303" s="2" t="s">
        <v>13759</v>
      </c>
      <c r="D3303" s="2" t="s">
        <v>59</v>
      </c>
      <c r="E3303" s="2">
        <v>251</v>
      </c>
      <c r="F3303" s="2">
        <v>4628.637</v>
      </c>
    </row>
    <row r="3304" spans="3:6" x14ac:dyDescent="0.25">
      <c r="C3304" s="2" t="s">
        <v>13760</v>
      </c>
      <c r="D3304" s="2" t="s">
        <v>59</v>
      </c>
      <c r="E3304" s="2">
        <v>298</v>
      </c>
      <c r="F3304" s="2">
        <v>5688.806</v>
      </c>
    </row>
    <row r="3305" spans="3:6" x14ac:dyDescent="0.25">
      <c r="C3305" s="2" t="s">
        <v>13761</v>
      </c>
      <c r="D3305" s="2" t="s">
        <v>59</v>
      </c>
      <c r="E3305" s="2">
        <v>103</v>
      </c>
      <c r="F3305" s="2">
        <v>1913.49</v>
      </c>
    </row>
    <row r="3306" spans="3:6" x14ac:dyDescent="0.25">
      <c r="C3306" s="2" t="s">
        <v>13762</v>
      </c>
      <c r="D3306" s="2" t="s">
        <v>59</v>
      </c>
      <c r="E3306" s="2">
        <v>149</v>
      </c>
      <c r="F3306" s="2">
        <v>2803.85</v>
      </c>
    </row>
    <row r="3307" spans="3:6" x14ac:dyDescent="0.25">
      <c r="C3307" s="2" t="s">
        <v>13763</v>
      </c>
      <c r="D3307" s="2" t="s">
        <v>59</v>
      </c>
      <c r="E3307" s="2">
        <v>149</v>
      </c>
      <c r="F3307" s="2">
        <v>2766.49</v>
      </c>
    </row>
    <row r="3308" spans="3:6" x14ac:dyDescent="0.25">
      <c r="C3308" s="2" t="s">
        <v>13764</v>
      </c>
      <c r="D3308" s="2" t="s">
        <v>59</v>
      </c>
      <c r="E3308" s="2">
        <v>242</v>
      </c>
      <c r="F3308" s="2">
        <v>4593.77</v>
      </c>
    </row>
    <row r="3309" spans="3:6" x14ac:dyDescent="0.25">
      <c r="C3309" s="2" t="s">
        <v>13765</v>
      </c>
      <c r="D3309" s="2" t="s">
        <v>59</v>
      </c>
      <c r="E3309" s="2">
        <v>102</v>
      </c>
      <c r="F3309" s="2">
        <v>1965.49</v>
      </c>
    </row>
    <row r="3312" spans="1:7" x14ac:dyDescent="0.25">
      <c r="A3312" s="1">
        <v>46141</v>
      </c>
      <c r="B3312" s="2" t="s">
        <v>347</v>
      </c>
      <c r="C3312" s="2" t="s">
        <v>7703</v>
      </c>
      <c r="D3312" s="2" t="s">
        <v>59</v>
      </c>
      <c r="E3312" s="2">
        <v>210</v>
      </c>
      <c r="F3312" s="2">
        <v>4094.933</v>
      </c>
      <c r="G3312" s="1">
        <v>46139</v>
      </c>
    </row>
    <row r="3313" spans="3:6" x14ac:dyDescent="0.25">
      <c r="C3313" s="2" t="s">
        <v>7701</v>
      </c>
      <c r="D3313" s="2" t="s">
        <v>59</v>
      </c>
      <c r="E3313" s="2">
        <v>326</v>
      </c>
      <c r="F3313" s="2">
        <v>5999.74</v>
      </c>
    </row>
    <row r="3314" spans="3:6" x14ac:dyDescent="0.25">
      <c r="C3314" s="2" t="s">
        <v>13766</v>
      </c>
      <c r="D3314" s="2" t="s">
        <v>59</v>
      </c>
      <c r="E3314" s="2">
        <v>268</v>
      </c>
      <c r="F3314" s="2">
        <v>5092.349</v>
      </c>
    </row>
    <row r="3315" spans="3:6" x14ac:dyDescent="0.25">
      <c r="C3315" s="2" t="s">
        <v>13767</v>
      </c>
      <c r="D3315" s="2" t="s">
        <v>59</v>
      </c>
      <c r="E3315" s="2">
        <v>293</v>
      </c>
      <c r="F3315" s="2">
        <v>5629.521</v>
      </c>
    </row>
    <row r="3316" spans="3:6" x14ac:dyDescent="0.25">
      <c r="C3316" s="2" t="s">
        <v>13768</v>
      </c>
      <c r="D3316" s="2" t="s">
        <v>59</v>
      </c>
      <c r="E3316" s="2">
        <v>193</v>
      </c>
      <c r="F3316" s="2">
        <v>3843.665</v>
      </c>
    </row>
    <row r="3317" spans="3:6" x14ac:dyDescent="0.25">
      <c r="C3317" s="2" t="s">
        <v>13769</v>
      </c>
      <c r="D3317" s="2" t="s">
        <v>59</v>
      </c>
      <c r="E3317" s="2">
        <v>105</v>
      </c>
      <c r="F3317" s="2">
        <v>1997.299</v>
      </c>
    </row>
    <row r="3318" spans="3:6" x14ac:dyDescent="0.25">
      <c r="C3318" s="2" t="s">
        <v>13770</v>
      </c>
      <c r="D3318" s="2" t="s">
        <v>59</v>
      </c>
      <c r="E3318" s="2">
        <v>156</v>
      </c>
      <c r="F3318" s="2">
        <v>2932.321</v>
      </c>
    </row>
    <row r="3320" spans="1:7" x14ac:dyDescent="0.25">
      <c r="A3320" s="1">
        <v>46141</v>
      </c>
      <c r="B3320" s="2" t="s">
        <v>427</v>
      </c>
      <c r="C3320" s="2" t="s">
        <v>13771</v>
      </c>
      <c r="D3320" s="2" t="s">
        <v>59</v>
      </c>
      <c r="E3320" s="2">
        <v>142</v>
      </c>
      <c r="F3320" s="2">
        <v>3462.55</v>
      </c>
      <c r="G3320" s="1">
        <v>46141</v>
      </c>
    </row>
    <row r="3321" spans="3:6" x14ac:dyDescent="0.25">
      <c r="C3321" s="2" t="s">
        <v>13772</v>
      </c>
      <c r="D3321" s="2" t="s">
        <v>59</v>
      </c>
      <c r="E3321" s="2">
        <v>142</v>
      </c>
      <c r="F3321" s="2">
        <v>2862.26</v>
      </c>
    </row>
    <row r="3323" spans="1:7" x14ac:dyDescent="0.25">
      <c r="A3323" s="1">
        <v>46142</v>
      </c>
      <c r="B3323" s="2" t="s">
        <v>433</v>
      </c>
      <c r="C3323" s="2" t="s">
        <v>13773</v>
      </c>
      <c r="D3323" s="2" t="s">
        <v>73</v>
      </c>
      <c r="E3323" s="2">
        <v>101</v>
      </c>
      <c r="F3323" s="2">
        <v>1854.68</v>
      </c>
      <c r="G3323" s="1">
        <v>46141</v>
      </c>
    </row>
    <row r="3324" spans="3:6" x14ac:dyDescent="0.25">
      <c r="C3324" s="2" t="s">
        <v>13774</v>
      </c>
      <c r="D3324" s="2" t="s">
        <v>73</v>
      </c>
      <c r="E3324" s="2">
        <v>39</v>
      </c>
      <c r="F3324" s="2">
        <v>681.959</v>
      </c>
    </row>
    <row r="3325" spans="3:6" x14ac:dyDescent="0.25">
      <c r="C3325" s="2" t="s">
        <v>13775</v>
      </c>
      <c r="D3325" s="2" t="s">
        <v>73</v>
      </c>
      <c r="E3325" s="2">
        <v>62</v>
      </c>
      <c r="F3325" s="2">
        <v>1094.128</v>
      </c>
    </row>
    <row r="3326" spans="3:6" x14ac:dyDescent="0.25">
      <c r="C3326" s="2" t="s">
        <v>13776</v>
      </c>
      <c r="D3326" s="2" t="s">
        <v>73</v>
      </c>
      <c r="E3326" s="2">
        <v>101</v>
      </c>
      <c r="F3326" s="2">
        <v>1785.819</v>
      </c>
    </row>
    <row r="3327" spans="3:6" x14ac:dyDescent="0.25">
      <c r="C3327" s="2" t="s">
        <v>13777</v>
      </c>
      <c r="D3327" s="2" t="s">
        <v>73</v>
      </c>
      <c r="E3327" s="2">
        <v>32</v>
      </c>
      <c r="F3327" s="2">
        <v>551.16</v>
      </c>
    </row>
    <row r="3328" spans="3:6" x14ac:dyDescent="0.25">
      <c r="C3328" s="2" t="s">
        <v>13778</v>
      </c>
      <c r="D3328" s="2" t="s">
        <v>73</v>
      </c>
      <c r="E3328" s="2">
        <v>9</v>
      </c>
      <c r="F3328" s="2" t="s">
        <v>4167</v>
      </c>
    </row>
    <row r="3330" spans="1:7" x14ac:dyDescent="0.25">
      <c r="A3330" s="1">
        <v>46142</v>
      </c>
      <c r="B3330" s="2" t="s">
        <v>8621</v>
      </c>
      <c r="C3330" s="2" t="s">
        <v>13779</v>
      </c>
      <c r="D3330" s="2" t="s">
        <v>1077</v>
      </c>
      <c r="E3330" s="2">
        <v>1</v>
      </c>
      <c r="F3330" s="2">
        <v>9.1</v>
      </c>
      <c r="G3330" s="1">
        <v>46142</v>
      </c>
    </row>
    <row r="3331" spans="3:6" x14ac:dyDescent="0.25">
      <c r="C3331" s="2" t="s">
        <v>13780</v>
      </c>
      <c r="D3331" s="2" t="s">
        <v>1077</v>
      </c>
      <c r="E3331" s="2">
        <v>156</v>
      </c>
      <c r="F3331" s="2">
        <v>2482.936</v>
      </c>
    </row>
    <row r="3332" spans="3:6" x14ac:dyDescent="0.25">
      <c r="C3332" s="2" t="s">
        <v>13781</v>
      </c>
      <c r="D3332" s="2" t="s">
        <v>1077</v>
      </c>
      <c r="E3332" s="2">
        <v>119</v>
      </c>
      <c r="F3332" s="2">
        <v>1877.368</v>
      </c>
    </row>
    <row r="3335" spans="1:7" x14ac:dyDescent="0.25">
      <c r="A3335" s="1">
        <v>46142</v>
      </c>
      <c r="B3335" s="2" t="s">
        <v>7</v>
      </c>
      <c r="C3335" s="2" t="s">
        <v>13782</v>
      </c>
      <c r="D3335" s="2" t="s">
        <v>9</v>
      </c>
      <c r="E3335" s="2">
        <v>81</v>
      </c>
      <c r="F3335" s="2">
        <v>1679.27</v>
      </c>
      <c r="G3335" s="1">
        <v>46141</v>
      </c>
    </row>
    <row r="3336" spans="3:6" x14ac:dyDescent="0.25">
      <c r="C3336" s="2" t="s">
        <v>13783</v>
      </c>
      <c r="D3336" s="2" t="s">
        <v>9</v>
      </c>
      <c r="E3336" s="2">
        <v>83</v>
      </c>
      <c r="F3336" s="2">
        <v>1736.78</v>
      </c>
    </row>
    <row r="3341" spans="1:7" x14ac:dyDescent="0.25">
      <c r="A3341" s="5"/>
      <c r="B3341" s="6"/>
      <c r="C3341" s="6"/>
      <c r="D3341" s="6"/>
      <c r="E3341" s="6"/>
      <c r="F3341" s="6"/>
      <c r="G3341" s="5"/>
    </row>
    <row r="3342" ht="16.5" customHeight="1" spans="2:8" x14ac:dyDescent="0.25">
      <c r="B3342" s="7" t="s">
        <v>669</v>
      </c>
      <c r="C3342" s="8">
        <f>COUNTA(C3:C3341)</f>
        <v>3144</v>
      </c>
      <c r="E3342" s="7" t="s">
        <v>670</v>
      </c>
      <c r="F3342" s="9">
        <f>SUM(F3:F3341)</f>
        <v>5671566.801779651</v>
      </c>
      <c r="G3342" s="1" t="s">
        <v>671</v>
      </c>
      <c r="H3342" s="10">
        <f>F3342*0.04</f>
        <v>226862.67207118604</v>
      </c>
    </row>
    <row r="3343" ht="13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H3571"/>
  <sheetViews>
    <sheetView workbookViewId="0" zoomScale="100" zoomScaleNormal="100">
      <pane ySplit="3" topLeftCell="A3545" activePane="bottomLeft" state="frozen"/>
      <selection pane="bottomLeft" activeCell="G3572" sqref="G3572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7" spans="1:7" x14ac:dyDescent="0.25">
      <c r="A7" s="1">
        <v>46143</v>
      </c>
      <c r="B7" s="2" t="s">
        <v>71</v>
      </c>
      <c r="C7" s="2" t="s">
        <v>7350</v>
      </c>
      <c r="D7" s="2" t="s">
        <v>73</v>
      </c>
      <c r="E7" s="2">
        <v>101</v>
      </c>
      <c r="F7" s="2">
        <v>2013.859</v>
      </c>
      <c r="G7" s="1">
        <v>46141</v>
      </c>
    </row>
    <row r="8" spans="3:6" x14ac:dyDescent="0.25">
      <c r="C8" s="2" t="s">
        <v>7351</v>
      </c>
      <c r="D8" s="2" t="s">
        <v>73</v>
      </c>
      <c r="E8" s="2">
        <v>52</v>
      </c>
      <c r="F8" s="2">
        <v>911.54</v>
      </c>
    </row>
    <row r="9" spans="3:6" x14ac:dyDescent="0.25">
      <c r="C9" s="2" t="s">
        <v>7352</v>
      </c>
      <c r="D9" s="2" t="s">
        <v>73</v>
      </c>
      <c r="E9" s="2">
        <v>32</v>
      </c>
      <c r="F9" s="2">
        <v>527.659</v>
      </c>
    </row>
    <row r="10" spans="3:6" x14ac:dyDescent="0.25">
      <c r="C10" s="2" t="s">
        <v>7353</v>
      </c>
      <c r="D10" s="2" t="s">
        <v>73</v>
      </c>
      <c r="E10" s="2">
        <v>17</v>
      </c>
      <c r="F10" s="2">
        <v>311.21</v>
      </c>
    </row>
    <row r="12" spans="1:7" x14ac:dyDescent="0.25">
      <c r="A12" s="1">
        <v>46143</v>
      </c>
      <c r="B12" s="2" t="s">
        <v>989</v>
      </c>
      <c r="C12" s="2" t="s">
        <v>7354</v>
      </c>
      <c r="D12" s="2" t="s">
        <v>9</v>
      </c>
      <c r="E12" s="2">
        <v>156</v>
      </c>
      <c r="F12" s="2">
        <v>3124.078</v>
      </c>
      <c r="G12" s="1">
        <v>46146</v>
      </c>
    </row>
    <row r="13" spans="3:6" x14ac:dyDescent="0.25">
      <c r="C13" s="2" t="s">
        <v>7355</v>
      </c>
      <c r="D13" s="2" t="s">
        <v>9</v>
      </c>
      <c r="E13" s="2">
        <v>156</v>
      </c>
      <c r="F13" s="2">
        <v>3094.86</v>
      </c>
    </row>
    <row r="14" spans="3:6" x14ac:dyDescent="0.25">
      <c r="C14" s="2" t="s">
        <v>7356</v>
      </c>
      <c r="D14" s="2" t="s">
        <v>9</v>
      </c>
      <c r="E14" s="2">
        <v>74</v>
      </c>
      <c r="F14" s="2">
        <v>1487.74</v>
      </c>
    </row>
    <row r="16" spans="1:7" x14ac:dyDescent="0.25">
      <c r="A16" s="1">
        <v>46143</v>
      </c>
      <c r="B16" s="2" t="s">
        <v>229</v>
      </c>
      <c r="C16" s="2" t="s">
        <v>7357</v>
      </c>
      <c r="D16" s="2" t="s">
        <v>82</v>
      </c>
      <c r="E16" s="2">
        <f>117+6</f>
        <v>123</v>
      </c>
      <c r="F16" s="2">
        <f>2349.339+115.35</f>
        <v>2464.689</v>
      </c>
      <c r="G16" s="1">
        <v>46142</v>
      </c>
    </row>
    <row r="17" spans="3:6" x14ac:dyDescent="0.25">
      <c r="C17" s="2" t="s">
        <v>7358</v>
      </c>
      <c r="D17" s="2" t="s">
        <v>82</v>
      </c>
      <c r="E17" s="2">
        <v>40</v>
      </c>
      <c r="F17" s="2">
        <v>851.88</v>
      </c>
    </row>
    <row r="18" spans="3:6" x14ac:dyDescent="0.25">
      <c r="C18" s="2" t="s">
        <v>7359</v>
      </c>
      <c r="D18" s="2" t="s">
        <v>82</v>
      </c>
      <c r="E18" s="2">
        <v>56</v>
      </c>
      <c r="F18" s="2">
        <v>1109.86</v>
      </c>
    </row>
    <row r="19" spans="3:6" x14ac:dyDescent="0.25">
      <c r="C19" s="2" t="s">
        <v>7360</v>
      </c>
      <c r="D19" s="2" t="s">
        <v>82</v>
      </c>
      <c r="E19" s="2">
        <v>27</v>
      </c>
      <c r="F19" s="2">
        <f>125.45+428.95</f>
        <v>554.4</v>
      </c>
    </row>
    <row r="20" spans="3:6" x14ac:dyDescent="0.25">
      <c r="C20" s="2" t="s">
        <v>7361</v>
      </c>
      <c r="D20" s="2" t="s">
        <v>82</v>
      </c>
      <c r="E20" s="2">
        <v>94</v>
      </c>
      <c r="F20" s="2">
        <v>1998.98</v>
      </c>
    </row>
    <row r="21" spans="3:6" x14ac:dyDescent="0.25">
      <c r="C21" s="2" t="s">
        <v>7362</v>
      </c>
      <c r="D21" s="2" t="s">
        <v>82</v>
      </c>
      <c r="E21" s="2">
        <v>8</v>
      </c>
      <c r="F21" s="2">
        <v>134.42</v>
      </c>
    </row>
    <row r="22" spans="3:6" x14ac:dyDescent="0.25">
      <c r="C22" s="2" t="s">
        <v>7363</v>
      </c>
      <c r="D22" s="2" t="s">
        <v>82</v>
      </c>
      <c r="E22" s="2">
        <v>94</v>
      </c>
      <c r="F22" s="2">
        <v>1975.92</v>
      </c>
    </row>
    <row r="23" spans="3:6" x14ac:dyDescent="0.25">
      <c r="C23" s="2" t="s">
        <v>7364</v>
      </c>
      <c r="D23" s="2" t="s">
        <v>82</v>
      </c>
      <c r="E23" s="2">
        <v>8</v>
      </c>
      <c r="F23" s="2">
        <f>120.98+18.3</f>
        <v>139.28</v>
      </c>
    </row>
    <row r="24" spans="3:6" x14ac:dyDescent="0.25">
      <c r="C24" s="2" t="s">
        <v>7365</v>
      </c>
      <c r="D24" s="2" t="s">
        <v>82</v>
      </c>
      <c r="E24" s="2">
        <v>48</v>
      </c>
      <c r="F24" s="2">
        <v>981.49</v>
      </c>
    </row>
    <row r="25" spans="3:6" x14ac:dyDescent="0.25">
      <c r="C25" s="2" t="s">
        <v>7366</v>
      </c>
      <c r="D25" s="2" t="s">
        <v>82</v>
      </c>
      <c r="E25" s="2">
        <v>54</v>
      </c>
      <c r="F25" s="2">
        <v>424.629</v>
      </c>
    </row>
    <row r="26" spans="3:6" x14ac:dyDescent="0.25">
      <c r="C26" s="2" t="s">
        <v>7367</v>
      </c>
      <c r="D26" s="2" t="s">
        <v>82</v>
      </c>
      <c r="E26" s="2">
        <f>105+30</f>
        <v>135</v>
      </c>
      <c r="F26" s="2">
        <v>454.24</v>
      </c>
    </row>
    <row r="27" spans="3:6" x14ac:dyDescent="0.25">
      <c r="C27" s="2" t="s">
        <v>7368</v>
      </c>
      <c r="D27" s="2" t="s">
        <v>82</v>
      </c>
      <c r="E27" s="2">
        <v>75</v>
      </c>
      <c r="F27" s="2">
        <v>1420.219</v>
      </c>
    </row>
    <row r="28" spans="3:6" x14ac:dyDescent="0.25">
      <c r="C28" s="2" t="s">
        <v>7369</v>
      </c>
      <c r="D28" s="2" t="s">
        <v>82</v>
      </c>
      <c r="E28" s="2">
        <v>61</v>
      </c>
      <c r="F28" s="2">
        <v>1222.332</v>
      </c>
    </row>
    <row r="29" spans="3:6" x14ac:dyDescent="0.25">
      <c r="C29" s="2" t="s">
        <v>7370</v>
      </c>
      <c r="D29" s="2" t="s">
        <v>82</v>
      </c>
      <c r="E29" s="2">
        <v>80</v>
      </c>
      <c r="F29" s="2">
        <v>1569.08</v>
      </c>
    </row>
    <row r="30" spans="3:6" x14ac:dyDescent="0.25">
      <c r="C30" s="2" t="s">
        <v>7371</v>
      </c>
      <c r="D30" s="2" t="s">
        <v>82</v>
      </c>
      <c r="E30" s="2">
        <v>60</v>
      </c>
      <c r="F30" s="2">
        <v>1195.39</v>
      </c>
    </row>
    <row r="31" spans="3:6" x14ac:dyDescent="0.25">
      <c r="C31" s="2" t="s">
        <v>7372</v>
      </c>
      <c r="D31" s="2" t="s">
        <v>82</v>
      </c>
      <c r="E31" s="2">
        <v>21</v>
      </c>
      <c r="F31" s="2">
        <v>413.64</v>
      </c>
    </row>
    <row r="32" spans="3:6" x14ac:dyDescent="0.25">
      <c r="C32" s="2" t="s">
        <v>7373</v>
      </c>
      <c r="D32" s="2" t="s">
        <v>82</v>
      </c>
      <c r="E32" s="2">
        <v>30</v>
      </c>
      <c r="F32" s="2">
        <v>627.74</v>
      </c>
    </row>
    <row r="33" spans="3:6" x14ac:dyDescent="0.25">
      <c r="C33" s="2" t="s">
        <v>7374</v>
      </c>
      <c r="D33" s="2" t="s">
        <v>82</v>
      </c>
      <c r="E33" s="2">
        <v>30</v>
      </c>
      <c r="F33" s="2">
        <v>610.42</v>
      </c>
    </row>
    <row r="34" spans="3:6" x14ac:dyDescent="0.25">
      <c r="C34" s="2" t="s">
        <v>7375</v>
      </c>
      <c r="D34" s="2" t="s">
        <v>82</v>
      </c>
      <c r="E34" s="2">
        <v>74</v>
      </c>
      <c r="F34" s="2">
        <v>1528.35</v>
      </c>
    </row>
    <row r="35" spans="3:6" x14ac:dyDescent="0.25">
      <c r="C35" s="2" t="s">
        <v>7376</v>
      </c>
      <c r="D35" s="2" t="s">
        <v>82</v>
      </c>
      <c r="E35" s="2">
        <v>28</v>
      </c>
      <c r="F35" s="2">
        <v>549.21</v>
      </c>
    </row>
    <row r="36" spans="3:6" x14ac:dyDescent="0.25">
      <c r="C36" s="2" t="s">
        <v>7377</v>
      </c>
      <c r="D36" s="2" t="s">
        <v>82</v>
      </c>
      <c r="E36" s="2">
        <v>49</v>
      </c>
      <c r="F36" s="2">
        <v>1049.8</v>
      </c>
    </row>
    <row r="37" spans="3:6" x14ac:dyDescent="0.25">
      <c r="C37" s="2" t="s">
        <v>7378</v>
      </c>
      <c r="D37" s="2" t="s">
        <v>82</v>
      </c>
      <c r="E37" s="2">
        <v>38</v>
      </c>
      <c r="F37" s="2">
        <v>799.29</v>
      </c>
    </row>
    <row r="38" spans="3:6" x14ac:dyDescent="0.25">
      <c r="C38" s="2" t="s">
        <v>7379</v>
      </c>
      <c r="D38" s="2" t="s">
        <v>82</v>
      </c>
      <c r="E38" s="2">
        <v>34</v>
      </c>
      <c r="F38" s="2">
        <v>721.92</v>
      </c>
    </row>
    <row r="39" spans="3:6" x14ac:dyDescent="0.25">
      <c r="C39" s="2" t="s">
        <v>7380</v>
      </c>
      <c r="D39" s="2" t="s">
        <v>82</v>
      </c>
      <c r="E39" s="2">
        <f>87+29</f>
        <v>116</v>
      </c>
      <c r="F39" s="2">
        <f>1767.2+587.8</f>
        <v>2355</v>
      </c>
    </row>
    <row r="40" spans="3:6" x14ac:dyDescent="0.25">
      <c r="C40" s="2" t="s">
        <v>7381</v>
      </c>
      <c r="D40" s="2" t="s">
        <v>82</v>
      </c>
      <c r="E40" s="2">
        <v>20</v>
      </c>
      <c r="F40" s="2">
        <v>415.6</v>
      </c>
    </row>
    <row r="41" spans="3:6" x14ac:dyDescent="0.25">
      <c r="C41" s="2" t="s">
        <v>7382</v>
      </c>
      <c r="D41" s="2" t="s">
        <v>82</v>
      </c>
      <c r="E41" s="2">
        <f>102+3+5</f>
        <v>110</v>
      </c>
      <c r="F41" s="2">
        <f>1831.502+80.07</f>
        <v>1911.572</v>
      </c>
    </row>
    <row r="42" spans="3:6" x14ac:dyDescent="0.25">
      <c r="C42" s="2" t="s">
        <v>7383</v>
      </c>
      <c r="D42" s="2" t="s">
        <v>82</v>
      </c>
      <c r="E42" s="2">
        <v>38</v>
      </c>
      <c r="F42" s="2">
        <v>46.85</v>
      </c>
    </row>
    <row r="43" spans="3:6" x14ac:dyDescent="0.25">
      <c r="C43" s="2" t="s">
        <v>7384</v>
      </c>
      <c r="D43" s="2" t="s">
        <v>82</v>
      </c>
      <c r="E43" s="2">
        <v>143</v>
      </c>
      <c r="F43" s="2">
        <v>2272.273</v>
      </c>
    </row>
    <row r="44" spans="3:6" x14ac:dyDescent="0.25">
      <c r="C44" s="2" t="s">
        <v>7385</v>
      </c>
      <c r="D44" s="2" t="s">
        <v>82</v>
      </c>
      <c r="E44" s="2">
        <v>143</v>
      </c>
      <c r="F44" s="2">
        <v>2455.89</v>
      </c>
    </row>
    <row r="45" spans="3:6" x14ac:dyDescent="0.25">
      <c r="C45" s="2" t="s">
        <v>7386</v>
      </c>
      <c r="D45" s="2" t="s">
        <v>82</v>
      </c>
      <c r="E45" s="2">
        <v>143</v>
      </c>
      <c r="F45" s="2">
        <v>1910.338</v>
      </c>
    </row>
    <row r="46" spans="3:6" x14ac:dyDescent="0.25">
      <c r="C46" s="2" t="s">
        <v>7387</v>
      </c>
      <c r="D46" s="2" t="s">
        <v>82</v>
      </c>
      <c r="E46" s="2">
        <v>61</v>
      </c>
      <c r="F46" s="2">
        <v>1282.66</v>
      </c>
    </row>
    <row r="47" spans="3:6" x14ac:dyDescent="0.25">
      <c r="C47" s="2" t="s">
        <v>7388</v>
      </c>
      <c r="D47" s="2" t="s">
        <v>82</v>
      </c>
      <c r="E47" s="2">
        <v>61</v>
      </c>
      <c r="F47" s="2">
        <v>1268.69</v>
      </c>
    </row>
    <row r="48" spans="3:6" x14ac:dyDescent="0.25">
      <c r="C48" s="2" t="s">
        <v>7389</v>
      </c>
      <c r="D48" s="2" t="s">
        <v>82</v>
      </c>
      <c r="E48" s="2">
        <v>40</v>
      </c>
      <c r="F48" s="2">
        <v>231.391</v>
      </c>
    </row>
    <row r="49" spans="3:6" x14ac:dyDescent="0.25">
      <c r="C49" s="2" t="s">
        <v>7390</v>
      </c>
      <c r="D49" s="2" t="s">
        <v>82</v>
      </c>
      <c r="E49" s="2">
        <v>40</v>
      </c>
      <c r="F49" s="2">
        <v>840.58</v>
      </c>
    </row>
    <row r="50" spans="3:6" x14ac:dyDescent="0.25">
      <c r="C50" s="2" t="s">
        <v>7391</v>
      </c>
      <c r="D50" s="2" t="s">
        <v>82</v>
      </c>
      <c r="E50" s="2">
        <v>52</v>
      </c>
      <c r="F50" s="2">
        <v>1076.88</v>
      </c>
    </row>
    <row r="51" spans="3:6" x14ac:dyDescent="0.25">
      <c r="C51" s="2" t="s">
        <v>7392</v>
      </c>
      <c r="D51" s="2" t="s">
        <v>82</v>
      </c>
      <c r="E51" s="2">
        <v>9</v>
      </c>
      <c r="F51" s="2">
        <f>128.26+10.7</f>
        <v>138.95999999999998</v>
      </c>
    </row>
    <row r="52" spans="3:6" x14ac:dyDescent="0.25">
      <c r="C52" s="2" t="s">
        <v>7393</v>
      </c>
      <c r="D52" s="2" t="s">
        <v>82</v>
      </c>
      <c r="E52" s="2">
        <v>25</v>
      </c>
      <c r="F52" s="2">
        <v>500.43</v>
      </c>
    </row>
    <row r="53" spans="3:6" x14ac:dyDescent="0.25">
      <c r="C53" s="2" t="s">
        <v>7394</v>
      </c>
      <c r="D53" s="2" t="s">
        <v>82</v>
      </c>
      <c r="E53" s="2">
        <v>33</v>
      </c>
      <c r="F53" s="2">
        <v>638.88</v>
      </c>
    </row>
    <row r="54" spans="3:6" x14ac:dyDescent="0.25">
      <c r="C54" s="2" t="s">
        <v>7395</v>
      </c>
      <c r="D54" s="2" t="s">
        <v>82</v>
      </c>
      <c r="E54" s="2">
        <v>5</v>
      </c>
      <c r="F54" s="2">
        <v>108.81</v>
      </c>
    </row>
    <row r="55" spans="3:6" x14ac:dyDescent="0.25">
      <c r="C55" s="2" t="s">
        <v>7396</v>
      </c>
      <c r="D55" s="2" t="s">
        <v>82</v>
      </c>
      <c r="E55" s="2">
        <v>74</v>
      </c>
      <c r="F55" s="2">
        <v>1453.28</v>
      </c>
    </row>
    <row r="56" spans="3:6" x14ac:dyDescent="0.25">
      <c r="C56" s="2" t="s">
        <v>7397</v>
      </c>
      <c r="D56" s="2" t="s">
        <v>82</v>
      </c>
      <c r="E56" s="2">
        <v>4</v>
      </c>
      <c r="F56" s="2">
        <v>46.191</v>
      </c>
    </row>
    <row r="57" spans="3:6" x14ac:dyDescent="0.25">
      <c r="C57" s="2" t="s">
        <v>7398</v>
      </c>
      <c r="D57" s="2" t="s">
        <v>82</v>
      </c>
      <c r="E57" s="2">
        <v>56</v>
      </c>
      <c r="F57" s="2">
        <v>1166.1</v>
      </c>
    </row>
    <row r="58" spans="3:6" x14ac:dyDescent="0.25">
      <c r="C58" s="2" t="s">
        <v>7399</v>
      </c>
      <c r="D58" s="2" t="s">
        <v>82</v>
      </c>
      <c r="E58" s="2">
        <v>40</v>
      </c>
      <c r="F58" s="2">
        <v>769.28</v>
      </c>
    </row>
    <row r="59" spans="3:6" x14ac:dyDescent="0.25">
      <c r="C59" s="2" t="s">
        <v>7400</v>
      </c>
      <c r="D59" s="2" t="s">
        <v>82</v>
      </c>
      <c r="E59" s="2">
        <v>15</v>
      </c>
      <c r="F59" s="2">
        <v>318.92</v>
      </c>
    </row>
    <row r="60" spans="3:6" x14ac:dyDescent="0.25">
      <c r="C60" s="2" t="s">
        <v>7401</v>
      </c>
      <c r="D60" s="2" t="s">
        <v>82</v>
      </c>
      <c r="E60" s="2">
        <v>30</v>
      </c>
      <c r="F60" s="2">
        <v>591.23</v>
      </c>
    </row>
    <row r="61" spans="3:6" x14ac:dyDescent="0.25">
      <c r="C61" s="2" t="s">
        <v>7402</v>
      </c>
      <c r="D61" s="2" t="s">
        <v>82</v>
      </c>
      <c r="E61" s="2">
        <v>42</v>
      </c>
      <c r="F61" s="2">
        <v>840.37</v>
      </c>
    </row>
    <row r="62" spans="3:6" x14ac:dyDescent="0.25">
      <c r="C62" s="2" t="s">
        <v>7403</v>
      </c>
      <c r="D62" s="2" t="s">
        <v>82</v>
      </c>
      <c r="E62" s="2">
        <v>73</v>
      </c>
      <c r="F62" s="2">
        <v>1489.08</v>
      </c>
    </row>
    <row r="63" spans="3:6" x14ac:dyDescent="0.25">
      <c r="C63" s="2" t="s">
        <v>7404</v>
      </c>
      <c r="D63" s="2" t="s">
        <v>82</v>
      </c>
      <c r="E63" s="2">
        <v>26</v>
      </c>
      <c r="F63" s="2">
        <v>530.48</v>
      </c>
    </row>
    <row r="64" spans="3:6" x14ac:dyDescent="0.25">
      <c r="C64" s="2" t="s">
        <v>7405</v>
      </c>
      <c r="D64" s="2" t="s">
        <v>82</v>
      </c>
      <c r="E64" s="2">
        <v>14</v>
      </c>
      <c r="F64" s="2">
        <v>267.97</v>
      </c>
    </row>
    <row r="65" spans="3:6" x14ac:dyDescent="0.25">
      <c r="C65" s="2" t="s">
        <v>7406</v>
      </c>
      <c r="D65" s="2" t="s">
        <v>82</v>
      </c>
      <c r="E65" s="2">
        <v>13</v>
      </c>
      <c r="F65" s="2">
        <v>269.76</v>
      </c>
    </row>
    <row r="66" spans="3:6" x14ac:dyDescent="0.25">
      <c r="C66" s="2" t="s">
        <v>7407</v>
      </c>
      <c r="D66" s="2" t="s">
        <v>82</v>
      </c>
      <c r="E66" s="2">
        <v>24</v>
      </c>
      <c r="F66" s="2">
        <v>476.84</v>
      </c>
    </row>
    <row r="67" spans="3:6" x14ac:dyDescent="0.25">
      <c r="C67" s="2" t="s">
        <v>7408</v>
      </c>
      <c r="D67" s="2" t="s">
        <v>82</v>
      </c>
      <c r="E67" s="2">
        <v>69</v>
      </c>
      <c r="F67" s="2">
        <v>1402.039</v>
      </c>
    </row>
    <row r="68" spans="3:6" x14ac:dyDescent="0.25">
      <c r="C68" s="2" t="s">
        <v>7409</v>
      </c>
      <c r="D68" s="2" t="s">
        <v>82</v>
      </c>
      <c r="E68" s="2">
        <v>21</v>
      </c>
      <c r="F68" s="2">
        <v>426.64</v>
      </c>
    </row>
    <row r="69" spans="3:6" x14ac:dyDescent="0.25">
      <c r="C69" s="2" t="s">
        <v>7410</v>
      </c>
      <c r="D69" s="2" t="s">
        <v>82</v>
      </c>
      <c r="E69" s="2">
        <v>88</v>
      </c>
      <c r="F69" s="2">
        <v>1731.239</v>
      </c>
    </row>
    <row r="70" spans="3:6" x14ac:dyDescent="0.25">
      <c r="C70" s="2" t="s">
        <v>7411</v>
      </c>
      <c r="D70" s="2" t="s">
        <v>82</v>
      </c>
      <c r="E70" s="2">
        <v>32</v>
      </c>
      <c r="F70" s="2">
        <v>672.5</v>
      </c>
    </row>
    <row r="71" spans="3:6" x14ac:dyDescent="0.25">
      <c r="C71" s="2" t="s">
        <v>7412</v>
      </c>
      <c r="D71" s="2" t="s">
        <v>82</v>
      </c>
      <c r="E71" s="2">
        <v>23</v>
      </c>
      <c r="F71" s="2">
        <v>430.06</v>
      </c>
    </row>
    <row r="72" spans="3:6" x14ac:dyDescent="0.25">
      <c r="C72" s="2" t="s">
        <v>7413</v>
      </c>
      <c r="D72" s="2" t="s">
        <v>82</v>
      </c>
      <c r="E72" s="2">
        <v>143</v>
      </c>
      <c r="F72" s="2">
        <v>1134.355</v>
      </c>
    </row>
    <row r="73" spans="3:6" x14ac:dyDescent="0.25">
      <c r="C73" s="2" t="s">
        <v>7414</v>
      </c>
      <c r="D73" s="2" t="s">
        <v>82</v>
      </c>
      <c r="E73" s="2">
        <v>143</v>
      </c>
      <c r="F73" s="2">
        <v>1050.598</v>
      </c>
    </row>
    <row r="74" spans="3:6" x14ac:dyDescent="0.25">
      <c r="C74" s="2" t="s">
        <v>7415</v>
      </c>
      <c r="D74" s="2" t="s">
        <v>82</v>
      </c>
      <c r="E74" s="2">
        <v>35</v>
      </c>
      <c r="F74" s="2">
        <v>733.77</v>
      </c>
    </row>
    <row r="75" spans="3:6" x14ac:dyDescent="0.25">
      <c r="C75" s="2" t="s">
        <v>7416</v>
      </c>
      <c r="D75" s="2" t="s">
        <v>82</v>
      </c>
      <c r="E75" s="2">
        <v>36</v>
      </c>
      <c r="F75" s="2">
        <v>687.37</v>
      </c>
    </row>
    <row r="76" spans="3:6" x14ac:dyDescent="0.25">
      <c r="C76" s="2" t="s">
        <v>7417</v>
      </c>
      <c r="D76" s="2" t="s">
        <v>82</v>
      </c>
      <c r="E76" s="2">
        <v>31</v>
      </c>
      <c r="F76" s="2">
        <v>585.888</v>
      </c>
    </row>
    <row r="78" spans="1:7" x14ac:dyDescent="0.25">
      <c r="A78" s="1">
        <v>46143</v>
      </c>
      <c r="B78" s="2" t="s">
        <v>290</v>
      </c>
      <c r="C78" s="2" t="s">
        <v>7418</v>
      </c>
      <c r="D78" s="2" t="s">
        <v>178</v>
      </c>
      <c r="E78" s="2">
        <v>246</v>
      </c>
      <c r="F78" s="2">
        <v>5045.358</v>
      </c>
      <c r="G78" s="1">
        <v>46144</v>
      </c>
    </row>
    <row r="79" spans="3:6" x14ac:dyDescent="0.25">
      <c r="C79" s="2" t="s">
        <v>7419</v>
      </c>
      <c r="D79" s="2" t="s">
        <v>178</v>
      </c>
      <c r="E79" s="2">
        <v>246</v>
      </c>
      <c r="F79" s="2">
        <v>5093.979</v>
      </c>
    </row>
    <row r="80" spans="3:6" x14ac:dyDescent="0.25">
      <c r="C80" s="2" t="s">
        <v>7420</v>
      </c>
      <c r="D80" s="2" t="s">
        <v>178</v>
      </c>
      <c r="E80" s="2">
        <v>141</v>
      </c>
      <c r="F80" s="2">
        <v>2910.16</v>
      </c>
    </row>
    <row r="81" spans="3:6" x14ac:dyDescent="0.25">
      <c r="C81" s="2" t="s">
        <v>7421</v>
      </c>
      <c r="D81" s="2" t="s">
        <v>178</v>
      </c>
      <c r="E81" s="2">
        <v>72</v>
      </c>
      <c r="F81" s="2">
        <v>1394.76</v>
      </c>
    </row>
    <row r="82" spans="3:6" x14ac:dyDescent="0.25">
      <c r="C82" s="2" t="s">
        <v>7422</v>
      </c>
      <c r="D82" s="2" t="s">
        <v>178</v>
      </c>
      <c r="E82" s="2">
        <v>69</v>
      </c>
      <c r="F82" s="2">
        <v>1374.24</v>
      </c>
    </row>
    <row r="83" spans="3:6" x14ac:dyDescent="0.25">
      <c r="C83" s="2" t="s">
        <v>7423</v>
      </c>
      <c r="D83" s="2" t="s">
        <v>178</v>
      </c>
      <c r="E83" s="2">
        <v>141</v>
      </c>
      <c r="F83" s="2">
        <v>2938.75</v>
      </c>
    </row>
    <row r="84" spans="3:6" x14ac:dyDescent="0.25">
      <c r="C84" s="2" t="s">
        <v>7424</v>
      </c>
      <c r="D84" s="2" t="s">
        <v>178</v>
      </c>
      <c r="E84" s="2">
        <v>102</v>
      </c>
      <c r="F84" s="2">
        <v>2104.119</v>
      </c>
    </row>
    <row r="85" spans="3:6" x14ac:dyDescent="0.25">
      <c r="C85" s="2" t="s">
        <v>7425</v>
      </c>
      <c r="D85" s="2" t="s">
        <v>178</v>
      </c>
      <c r="E85" s="2">
        <v>45</v>
      </c>
      <c r="F85" s="2">
        <v>190.77</v>
      </c>
    </row>
    <row r="86" spans="3:6" x14ac:dyDescent="0.25">
      <c r="C86" s="2" t="s">
        <v>7426</v>
      </c>
      <c r="D86" s="2" t="s">
        <v>178</v>
      </c>
      <c r="E86" s="2">
        <v>135</v>
      </c>
      <c r="F86" s="2">
        <v>2427.519</v>
      </c>
    </row>
    <row r="87" spans="3:6" x14ac:dyDescent="0.25">
      <c r="C87" s="2" t="s">
        <v>7427</v>
      </c>
      <c r="D87" s="2" t="s">
        <v>178</v>
      </c>
      <c r="E87" s="2">
        <v>102</v>
      </c>
      <c r="F87" s="2">
        <v>2066.759</v>
      </c>
    </row>
    <row r="88" spans="3:6" x14ac:dyDescent="0.25">
      <c r="C88" s="2" t="s">
        <v>7428</v>
      </c>
      <c r="D88" s="2" t="s">
        <v>178</v>
      </c>
      <c r="E88" s="2">
        <v>30</v>
      </c>
      <c r="F88" s="2">
        <v>128.79</v>
      </c>
    </row>
    <row r="89" spans="3:6" x14ac:dyDescent="0.25">
      <c r="C89" s="2" t="s">
        <v>7429</v>
      </c>
      <c r="D89" s="2" t="s">
        <v>178</v>
      </c>
      <c r="E89" s="2">
        <v>141</v>
      </c>
      <c r="F89" s="2">
        <v>2889.6</v>
      </c>
    </row>
    <row r="90" spans="3:6" x14ac:dyDescent="0.25">
      <c r="C90" s="2" t="s">
        <v>7430</v>
      </c>
      <c r="D90" s="2" t="s">
        <v>178</v>
      </c>
      <c r="E90" s="2">
        <v>141</v>
      </c>
      <c r="F90" s="2">
        <v>2872.14</v>
      </c>
    </row>
    <row r="91" spans="3:6" x14ac:dyDescent="0.25">
      <c r="C91" s="2" t="s">
        <v>7431</v>
      </c>
      <c r="D91" s="2" t="s">
        <v>178</v>
      </c>
      <c r="E91" s="2">
        <v>102</v>
      </c>
      <c r="F91" s="2">
        <v>2088.32</v>
      </c>
    </row>
    <row r="92" spans="3:6" x14ac:dyDescent="0.25">
      <c r="C92" s="2" t="s">
        <v>7432</v>
      </c>
      <c r="D92" s="2" t="s">
        <v>178</v>
      </c>
      <c r="E92" s="2">
        <v>102</v>
      </c>
      <c r="F92" s="2">
        <v>2087.2</v>
      </c>
    </row>
    <row r="93" spans="3:6" x14ac:dyDescent="0.25">
      <c r="C93" s="2" t="s">
        <v>7433</v>
      </c>
      <c r="D93" s="2" t="s">
        <v>178</v>
      </c>
      <c r="E93" s="2">
        <v>102</v>
      </c>
      <c r="F93" s="2">
        <v>1949.03</v>
      </c>
    </row>
    <row r="94" spans="3:6" x14ac:dyDescent="0.25">
      <c r="C94" s="2" t="s">
        <v>7434</v>
      </c>
      <c r="D94" s="2" t="s">
        <v>178</v>
      </c>
      <c r="E94" s="2">
        <v>102</v>
      </c>
      <c r="F94" s="2">
        <v>2031.6</v>
      </c>
    </row>
    <row r="95" spans="3:6" x14ac:dyDescent="0.25">
      <c r="C95" s="2" t="s">
        <v>7435</v>
      </c>
      <c r="D95" s="2" t="s">
        <v>178</v>
      </c>
      <c r="E95" s="2">
        <v>75</v>
      </c>
      <c r="F95" s="2">
        <v>1353.95</v>
      </c>
    </row>
    <row r="96" spans="3:6" x14ac:dyDescent="0.25">
      <c r="C96" s="2" t="s">
        <v>7436</v>
      </c>
      <c r="D96" s="2" t="s">
        <v>178</v>
      </c>
      <c r="E96" s="2">
        <v>27</v>
      </c>
      <c r="F96" s="2">
        <v>485.4</v>
      </c>
    </row>
    <row r="97" spans="3:6" x14ac:dyDescent="0.25">
      <c r="C97" s="2" t="s">
        <v>7437</v>
      </c>
      <c r="D97" s="2" t="s">
        <v>178</v>
      </c>
      <c r="E97" s="2">
        <v>141</v>
      </c>
      <c r="F97" s="2">
        <v>2817.94</v>
      </c>
    </row>
    <row r="98" spans="3:6" x14ac:dyDescent="0.25">
      <c r="C98" s="2" t="s">
        <v>7438</v>
      </c>
      <c r="D98" s="2" t="s">
        <v>178</v>
      </c>
      <c r="E98" s="2">
        <v>141</v>
      </c>
      <c r="F98" s="2">
        <v>2865.47</v>
      </c>
    </row>
    <row r="99" spans="3:6" x14ac:dyDescent="0.25">
      <c r="C99" s="2" t="s">
        <v>7439</v>
      </c>
      <c r="D99" s="2" t="s">
        <v>178</v>
      </c>
      <c r="E99" s="2">
        <v>141</v>
      </c>
      <c r="F99" s="2">
        <v>2845.26</v>
      </c>
    </row>
    <row r="100" spans="3:6" x14ac:dyDescent="0.25">
      <c r="C100" s="2" t="s">
        <v>7440</v>
      </c>
      <c r="D100" s="2" t="s">
        <v>178</v>
      </c>
      <c r="E100" s="2">
        <v>136</v>
      </c>
      <c r="F100" s="2">
        <v>591.339</v>
      </c>
    </row>
    <row r="101" spans="3:6" x14ac:dyDescent="0.25">
      <c r="C101" s="2" t="s">
        <v>7441</v>
      </c>
      <c r="D101" s="2" t="s">
        <v>178</v>
      </c>
      <c r="E101" s="2">
        <v>141</v>
      </c>
      <c r="F101" s="2">
        <v>2905.66</v>
      </c>
    </row>
    <row r="102" spans="3:6" x14ac:dyDescent="0.25">
      <c r="C102" s="2" t="s">
        <v>7442</v>
      </c>
      <c r="D102" s="2" t="s">
        <v>178</v>
      </c>
      <c r="E102" s="2">
        <v>141</v>
      </c>
      <c r="F102" s="2">
        <v>2900.55</v>
      </c>
    </row>
    <row r="103" spans="3:6" x14ac:dyDescent="0.25">
      <c r="C103" s="2" t="s">
        <v>7443</v>
      </c>
      <c r="D103" s="2" t="s">
        <v>178</v>
      </c>
      <c r="E103" s="2">
        <v>141</v>
      </c>
      <c r="F103" s="2">
        <v>2934.81</v>
      </c>
    </row>
    <row r="104" spans="3:6" x14ac:dyDescent="0.25">
      <c r="C104" s="2" t="s">
        <v>7444</v>
      </c>
      <c r="D104" s="2" t="s">
        <v>178</v>
      </c>
      <c r="E104" s="2">
        <v>141</v>
      </c>
      <c r="F104" s="2">
        <v>2844.739</v>
      </c>
    </row>
    <row r="105" spans="3:6" x14ac:dyDescent="0.25">
      <c r="C105" s="2" t="s">
        <v>7445</v>
      </c>
      <c r="D105" s="2" t="s">
        <v>178</v>
      </c>
      <c r="E105" s="2">
        <v>141</v>
      </c>
      <c r="F105" s="2">
        <v>2885</v>
      </c>
    </row>
    <row r="106" spans="3:6" x14ac:dyDescent="0.25">
      <c r="C106" s="2" t="s">
        <v>7446</v>
      </c>
      <c r="D106" s="2" t="s">
        <v>178</v>
      </c>
      <c r="E106" s="2">
        <v>28</v>
      </c>
      <c r="F106" s="2">
        <v>510.8</v>
      </c>
    </row>
    <row r="107" spans="3:6" x14ac:dyDescent="0.25">
      <c r="C107" s="2" t="s">
        <v>7447</v>
      </c>
      <c r="D107" s="2" t="s">
        <v>178</v>
      </c>
      <c r="E107" s="2">
        <v>44</v>
      </c>
      <c r="F107" s="2">
        <v>889.35</v>
      </c>
    </row>
    <row r="108" spans="3:6" x14ac:dyDescent="0.25">
      <c r="C108" s="2" t="s">
        <v>7448</v>
      </c>
      <c r="D108" s="2" t="s">
        <v>178</v>
      </c>
      <c r="E108" s="2">
        <v>3</v>
      </c>
      <c r="F108" s="2">
        <v>33.53</v>
      </c>
    </row>
    <row r="109" spans="3:6" x14ac:dyDescent="0.25">
      <c r="C109" s="2" t="s">
        <v>7449</v>
      </c>
      <c r="D109" s="2" t="s">
        <v>178</v>
      </c>
      <c r="E109" s="2">
        <v>20</v>
      </c>
      <c r="F109" s="2">
        <v>425.98</v>
      </c>
    </row>
    <row r="110" spans="3:6" x14ac:dyDescent="0.25">
      <c r="C110" s="2" t="s">
        <v>7450</v>
      </c>
      <c r="D110" s="2" t="s">
        <v>178</v>
      </c>
      <c r="E110" s="2">
        <v>29</v>
      </c>
      <c r="F110" s="2">
        <v>568.399</v>
      </c>
    </row>
    <row r="111" spans="3:6" x14ac:dyDescent="0.25">
      <c r="C111" s="2" t="s">
        <v>7451</v>
      </c>
      <c r="D111" s="2" t="s">
        <v>178</v>
      </c>
      <c r="E111" s="2">
        <v>22</v>
      </c>
      <c r="F111" s="2">
        <v>448.03</v>
      </c>
    </row>
    <row r="112" spans="3:6" x14ac:dyDescent="0.25">
      <c r="C112" s="2" t="s">
        <v>7452</v>
      </c>
      <c r="D112" s="2" t="s">
        <v>178</v>
      </c>
      <c r="E112" s="2">
        <v>70</v>
      </c>
      <c r="F112" s="2">
        <v>1341.78</v>
      </c>
    </row>
    <row r="113" spans="3:6" x14ac:dyDescent="0.25">
      <c r="C113" s="2" t="s">
        <v>7453</v>
      </c>
      <c r="D113" s="2" t="s">
        <v>178</v>
      </c>
      <c r="E113" s="2">
        <v>125</v>
      </c>
      <c r="F113" s="2">
        <v>2546.59</v>
      </c>
    </row>
    <row r="114" spans="3:6" x14ac:dyDescent="0.25">
      <c r="C114" s="2" t="s">
        <v>7454</v>
      </c>
      <c r="D114" s="2" t="s">
        <v>178</v>
      </c>
      <c r="E114" s="2">
        <v>16</v>
      </c>
      <c r="F114" s="2">
        <v>323.17</v>
      </c>
    </row>
    <row r="115" spans="3:6" x14ac:dyDescent="0.25">
      <c r="C115" s="2" t="s">
        <v>7455</v>
      </c>
      <c r="D115" s="2" t="s">
        <v>178</v>
      </c>
      <c r="E115" s="2">
        <v>33</v>
      </c>
      <c r="F115" s="2">
        <v>682.73</v>
      </c>
    </row>
    <row r="116" spans="3:6" x14ac:dyDescent="0.25">
      <c r="C116" s="2" t="s">
        <v>7456</v>
      </c>
      <c r="D116" s="2" t="s">
        <v>178</v>
      </c>
      <c r="E116" s="2">
        <v>44</v>
      </c>
      <c r="F116" s="2">
        <v>882.42</v>
      </c>
    </row>
    <row r="117" spans="3:6" x14ac:dyDescent="0.25">
      <c r="C117" s="2" t="s">
        <v>7457</v>
      </c>
      <c r="D117" s="2" t="s">
        <v>178</v>
      </c>
      <c r="E117" s="2">
        <v>64</v>
      </c>
      <c r="F117" s="2">
        <v>1276.268</v>
      </c>
    </row>
    <row r="118" spans="3:6" x14ac:dyDescent="0.25">
      <c r="C118" s="2" t="s">
        <v>7458</v>
      </c>
      <c r="D118" s="2" t="s">
        <v>178</v>
      </c>
      <c r="E118" s="2">
        <v>30</v>
      </c>
      <c r="F118" s="2">
        <v>630.03</v>
      </c>
    </row>
    <row r="119" spans="3:6" x14ac:dyDescent="0.25">
      <c r="C119" s="2" t="s">
        <v>7459</v>
      </c>
      <c r="D119" s="2" t="s">
        <v>178</v>
      </c>
      <c r="E119" s="2">
        <v>50</v>
      </c>
      <c r="F119" s="2">
        <v>992.48</v>
      </c>
    </row>
    <row r="120" spans="3:6" x14ac:dyDescent="0.25">
      <c r="C120" s="2" t="s">
        <v>7460</v>
      </c>
      <c r="D120" s="2" t="s">
        <v>178</v>
      </c>
      <c r="E120" s="2">
        <v>61</v>
      </c>
      <c r="F120" s="2">
        <v>1225.18</v>
      </c>
    </row>
    <row r="122" spans="1:7" x14ac:dyDescent="0.25">
      <c r="A122" s="1">
        <v>46143</v>
      </c>
      <c r="B122" s="2" t="s">
        <v>7</v>
      </c>
      <c r="C122" s="2" t="s">
        <v>7461</v>
      </c>
      <c r="D122" s="2" t="s">
        <v>9</v>
      </c>
      <c r="E122" s="2">
        <v>99</v>
      </c>
      <c r="F122" s="2">
        <v>1984.14</v>
      </c>
      <c r="G122" s="1">
        <v>46142</v>
      </c>
    </row>
    <row r="123" spans="3:6" x14ac:dyDescent="0.25">
      <c r="C123" s="2" t="s">
        <v>7462</v>
      </c>
      <c r="D123" s="2" t="s">
        <v>9</v>
      </c>
      <c r="E123" s="2">
        <v>99</v>
      </c>
      <c r="F123" s="2">
        <v>1873.618</v>
      </c>
    </row>
    <row r="125" spans="1:7" x14ac:dyDescent="0.25">
      <c r="A125" s="1">
        <v>46143</v>
      </c>
      <c r="B125" s="2" t="s">
        <v>2428</v>
      </c>
      <c r="C125" s="2" t="s">
        <v>7463</v>
      </c>
      <c r="D125" s="2" t="s">
        <v>59</v>
      </c>
      <c r="E125" s="2">
        <v>157</v>
      </c>
      <c r="F125" s="2">
        <v>2940.53</v>
      </c>
      <c r="G125" s="1">
        <v>46141</v>
      </c>
    </row>
    <row r="126" spans="3:6" x14ac:dyDescent="0.25">
      <c r="C126" s="2" t="s">
        <v>7464</v>
      </c>
      <c r="D126" s="2" t="s">
        <v>59</v>
      </c>
      <c r="E126" s="2">
        <v>268</v>
      </c>
      <c r="F126" s="2">
        <v>4989.13</v>
      </c>
    </row>
    <row r="127" spans="3:6" x14ac:dyDescent="0.25">
      <c r="C127" s="2" t="s">
        <v>7465</v>
      </c>
      <c r="D127" s="2" t="s">
        <v>59</v>
      </c>
      <c r="E127" s="2">
        <v>251</v>
      </c>
      <c r="F127" s="2">
        <v>4726.92</v>
      </c>
    </row>
    <row r="128" spans="3:6" x14ac:dyDescent="0.25">
      <c r="C128" s="2" t="s">
        <v>7466</v>
      </c>
      <c r="D128" s="2" t="s">
        <v>59</v>
      </c>
      <c r="E128" s="2">
        <v>293</v>
      </c>
      <c r="F128" s="2">
        <v>6122.89</v>
      </c>
    </row>
    <row r="129" spans="3:6" x14ac:dyDescent="0.25">
      <c r="C129" s="2" t="s">
        <v>7467</v>
      </c>
      <c r="D129" s="2" t="s">
        <v>59</v>
      </c>
      <c r="E129" s="2">
        <v>225</v>
      </c>
      <c r="F129" s="2">
        <v>4520.196</v>
      </c>
    </row>
    <row r="130" spans="3:6" x14ac:dyDescent="0.25">
      <c r="C130" s="2" t="s">
        <v>7468</v>
      </c>
      <c r="D130" s="2" t="s">
        <v>59</v>
      </c>
      <c r="E130" s="2">
        <v>102</v>
      </c>
      <c r="F130" s="2">
        <v>1990.76</v>
      </c>
    </row>
    <row r="131" spans="3:6" x14ac:dyDescent="0.25">
      <c r="C131" s="2" t="s">
        <v>7469</v>
      </c>
      <c r="D131" s="2" t="s">
        <v>59</v>
      </c>
      <c r="E131" s="2">
        <v>105</v>
      </c>
      <c r="F131" s="2">
        <v>2003.189</v>
      </c>
    </row>
    <row r="132" spans="3:6" x14ac:dyDescent="0.25">
      <c r="C132" s="2" t="s">
        <v>7470</v>
      </c>
      <c r="D132" s="2" t="s">
        <v>59</v>
      </c>
      <c r="E132" s="2">
        <v>105</v>
      </c>
      <c r="F132" s="2">
        <v>2017.8</v>
      </c>
    </row>
    <row r="134" spans="1:7" x14ac:dyDescent="0.25">
      <c r="A134" s="1">
        <v>46144</v>
      </c>
      <c r="B134" s="2" t="s">
        <v>1009</v>
      </c>
      <c r="C134" s="2" t="s">
        <v>7471</v>
      </c>
      <c r="D134" s="2" t="s">
        <v>82</v>
      </c>
      <c r="E134" s="2">
        <v>121</v>
      </c>
      <c r="F134" s="2">
        <v>2467.93</v>
      </c>
      <c r="G134" s="1">
        <v>46144</v>
      </c>
    </row>
    <row r="135" spans="3:6" x14ac:dyDescent="0.25">
      <c r="C135" s="2" t="s">
        <v>7472</v>
      </c>
      <c r="D135" s="2" t="s">
        <v>82</v>
      </c>
      <c r="E135" s="2">
        <v>121</v>
      </c>
      <c r="F135" s="2">
        <v>2527.29</v>
      </c>
    </row>
    <row r="136" spans="3:6" x14ac:dyDescent="0.25">
      <c r="C136" s="2" t="s">
        <v>7473</v>
      </c>
      <c r="D136" s="2" t="s">
        <v>82</v>
      </c>
      <c r="E136" s="2">
        <v>141</v>
      </c>
      <c r="F136" s="2">
        <v>2924.059</v>
      </c>
    </row>
    <row r="137" spans="3:6" x14ac:dyDescent="0.25">
      <c r="C137" s="2" t="s">
        <v>7474</v>
      </c>
      <c r="D137" s="2" t="s">
        <v>82</v>
      </c>
      <c r="E137" s="2">
        <v>72</v>
      </c>
      <c r="F137" s="2">
        <v>1393.709</v>
      </c>
    </row>
    <row r="138" spans="3:6" x14ac:dyDescent="0.25">
      <c r="C138" s="2" t="s">
        <v>7475</v>
      </c>
      <c r="D138" s="2" t="s">
        <v>82</v>
      </c>
      <c r="E138" s="2">
        <v>69</v>
      </c>
      <c r="F138" s="2">
        <v>1362.17</v>
      </c>
    </row>
    <row r="139" spans="3:6" x14ac:dyDescent="0.25">
      <c r="C139" s="2" t="s">
        <v>7476</v>
      </c>
      <c r="D139" s="2" t="s">
        <v>82</v>
      </c>
      <c r="E139" s="2">
        <v>100</v>
      </c>
      <c r="F139" s="2">
        <v>1960.567</v>
      </c>
    </row>
    <row r="140" spans="3:6" x14ac:dyDescent="0.25">
      <c r="C140" s="2" t="s">
        <v>7477</v>
      </c>
      <c r="D140" s="2" t="s">
        <v>82</v>
      </c>
      <c r="E140" s="2">
        <v>141</v>
      </c>
      <c r="F140" s="2">
        <v>2922.77</v>
      </c>
    </row>
    <row r="141" spans="3:6" x14ac:dyDescent="0.25">
      <c r="C141" s="2" t="s">
        <v>7478</v>
      </c>
      <c r="D141" s="2" t="s">
        <v>82</v>
      </c>
      <c r="E141" s="2">
        <v>141</v>
      </c>
      <c r="F141" s="2">
        <v>2978.39</v>
      </c>
    </row>
    <row r="142" spans="3:6" x14ac:dyDescent="0.25">
      <c r="C142" s="2" t="s">
        <v>7479</v>
      </c>
      <c r="D142" s="2" t="s">
        <v>82</v>
      </c>
      <c r="E142" s="2">
        <v>141</v>
      </c>
      <c r="F142" s="2">
        <v>2777.559</v>
      </c>
    </row>
    <row r="143" spans="3:6" x14ac:dyDescent="0.25">
      <c r="C143" s="2" t="s">
        <v>7480</v>
      </c>
      <c r="D143" s="2" t="s">
        <v>82</v>
      </c>
      <c r="E143" s="2">
        <v>70</v>
      </c>
      <c r="F143" s="2">
        <v>2465.82</v>
      </c>
    </row>
    <row r="144" spans="3:6" x14ac:dyDescent="0.25">
      <c r="C144" s="2" t="s">
        <v>7481</v>
      </c>
      <c r="D144" s="2" t="s">
        <v>82</v>
      </c>
      <c r="E144" s="2">
        <v>70</v>
      </c>
      <c r="F144" s="2">
        <v>2456.28</v>
      </c>
    </row>
    <row r="145" spans="3:6" x14ac:dyDescent="0.25">
      <c r="C145" s="2" t="s">
        <v>7482</v>
      </c>
      <c r="D145" s="2" t="s">
        <v>82</v>
      </c>
      <c r="E145" s="2">
        <v>100</v>
      </c>
      <c r="F145" s="2">
        <v>1894.189</v>
      </c>
    </row>
    <row r="146" spans="3:6" x14ac:dyDescent="0.25">
      <c r="C146" s="2" t="s">
        <v>7483</v>
      </c>
      <c r="D146" s="2" t="s">
        <v>82</v>
      </c>
      <c r="E146" s="2">
        <v>67</v>
      </c>
      <c r="F146" s="2">
        <v>1330.1</v>
      </c>
    </row>
    <row r="147" spans="3:6" x14ac:dyDescent="0.25">
      <c r="C147" s="2" t="s">
        <v>7484</v>
      </c>
      <c r="D147" s="2" t="s">
        <v>82</v>
      </c>
      <c r="E147" s="2">
        <v>33</v>
      </c>
      <c r="F147" s="2">
        <v>654.079</v>
      </c>
    </row>
    <row r="148" spans="3:6" x14ac:dyDescent="0.25">
      <c r="C148" s="2" t="s">
        <v>7485</v>
      </c>
      <c r="D148" s="2" t="s">
        <v>82</v>
      </c>
      <c r="E148" s="2">
        <v>62</v>
      </c>
      <c r="F148" s="2">
        <v>1288.4</v>
      </c>
    </row>
    <row r="149" spans="3:6" x14ac:dyDescent="0.25">
      <c r="C149" s="2" t="s">
        <v>7486</v>
      </c>
      <c r="D149" s="2" t="s">
        <v>82</v>
      </c>
      <c r="E149" s="2">
        <v>38</v>
      </c>
      <c r="F149" s="2">
        <v>804.65</v>
      </c>
    </row>
    <row r="150" spans="3:6" x14ac:dyDescent="0.25">
      <c r="C150" s="2" t="s">
        <v>7487</v>
      </c>
      <c r="D150" s="2" t="s">
        <v>82</v>
      </c>
      <c r="E150" s="2">
        <v>57</v>
      </c>
      <c r="F150" s="2">
        <v>1156.51</v>
      </c>
    </row>
    <row r="151" spans="3:6" x14ac:dyDescent="0.25">
      <c r="C151" s="2" t="s">
        <v>7488</v>
      </c>
      <c r="D151" s="2" t="s">
        <v>82</v>
      </c>
      <c r="E151" s="2">
        <v>43</v>
      </c>
      <c r="F151" s="2">
        <v>806.53</v>
      </c>
    </row>
    <row r="152" spans="3:6" x14ac:dyDescent="0.25">
      <c r="C152" s="2" t="s">
        <v>7489</v>
      </c>
      <c r="D152" s="2" t="s">
        <v>82</v>
      </c>
      <c r="E152" s="2">
        <v>141</v>
      </c>
      <c r="F152" s="2">
        <v>2929.17</v>
      </c>
    </row>
    <row r="153" spans="3:6" x14ac:dyDescent="0.25">
      <c r="C153" s="2" t="s">
        <v>7490</v>
      </c>
      <c r="D153" s="2" t="s">
        <v>82</v>
      </c>
      <c r="E153" s="2">
        <v>141</v>
      </c>
      <c r="F153" s="2">
        <v>2907.24</v>
      </c>
    </row>
    <row r="155" spans="1:7" x14ac:dyDescent="0.25">
      <c r="A155" s="1">
        <v>46144</v>
      </c>
      <c r="B155" s="2" t="s">
        <v>1012</v>
      </c>
      <c r="C155" s="2" t="s">
        <v>7491</v>
      </c>
      <c r="D155" s="2" t="s">
        <v>73</v>
      </c>
      <c r="E155" s="2">
        <v>89</v>
      </c>
      <c r="F155" s="2">
        <v>1741.29</v>
      </c>
      <c r="G155" s="1">
        <v>46144</v>
      </c>
    </row>
    <row r="156" spans="3:6" x14ac:dyDescent="0.25">
      <c r="C156" s="2" t="s">
        <v>7492</v>
      </c>
      <c r="D156" s="2" t="s">
        <v>73</v>
      </c>
      <c r="E156" s="2">
        <v>96</v>
      </c>
      <c r="F156" s="2">
        <v>1833.02</v>
      </c>
    </row>
    <row r="157" spans="3:6" x14ac:dyDescent="0.25">
      <c r="C157" s="2" t="s">
        <v>7493</v>
      </c>
      <c r="D157" s="2" t="s">
        <v>73</v>
      </c>
      <c r="E157" s="2">
        <v>55</v>
      </c>
      <c r="F157" s="2">
        <v>980.59</v>
      </c>
    </row>
    <row r="158" spans="3:6" x14ac:dyDescent="0.25">
      <c r="C158" s="2" t="s">
        <v>7494</v>
      </c>
      <c r="D158" s="2" t="s">
        <v>73</v>
      </c>
      <c r="E158" s="2">
        <v>32</v>
      </c>
      <c r="F158" s="2">
        <v>579.72</v>
      </c>
    </row>
    <row r="159" spans="3:6" x14ac:dyDescent="0.25">
      <c r="C159" s="2" t="s">
        <v>7495</v>
      </c>
      <c r="D159" s="2" t="s">
        <v>73</v>
      </c>
      <c r="E159" s="2">
        <v>13</v>
      </c>
      <c r="F159" s="2">
        <v>256.92</v>
      </c>
    </row>
    <row r="161" spans="1:7" x14ac:dyDescent="0.25">
      <c r="A161" s="1">
        <v>46144</v>
      </c>
      <c r="B161" s="2" t="s">
        <v>4335</v>
      </c>
      <c r="C161" s="2" t="s">
        <v>7496</v>
      </c>
      <c r="D161" s="2" t="s">
        <v>82</v>
      </c>
      <c r="E161" s="2">
        <v>123</v>
      </c>
      <c r="F161" s="2">
        <v>2469.46</v>
      </c>
      <c r="G161" s="1">
        <v>46144</v>
      </c>
    </row>
    <row r="162" spans="3:6" x14ac:dyDescent="0.25">
      <c r="C162" s="2" t="s">
        <v>7497</v>
      </c>
      <c r="D162" s="2" t="s">
        <v>82</v>
      </c>
      <c r="E162" s="2">
        <v>123</v>
      </c>
      <c r="F162" s="2">
        <v>2275.688</v>
      </c>
    </row>
    <row r="163" spans="3:6" x14ac:dyDescent="0.25">
      <c r="C163" s="2" t="s">
        <v>7498</v>
      </c>
      <c r="D163" s="2" t="s">
        <v>82</v>
      </c>
      <c r="E163" s="2">
        <v>134</v>
      </c>
      <c r="F163" s="2">
        <v>2758.22</v>
      </c>
    </row>
    <row r="164" spans="3:6" x14ac:dyDescent="0.25">
      <c r="C164" s="2" t="s">
        <v>7499</v>
      </c>
      <c r="D164" s="2" t="s">
        <v>82</v>
      </c>
      <c r="E164" s="2">
        <v>75</v>
      </c>
      <c r="F164" s="2">
        <v>1415.87</v>
      </c>
    </row>
    <row r="165" spans="3:6" x14ac:dyDescent="0.25">
      <c r="C165" s="2" t="s">
        <v>7500</v>
      </c>
      <c r="D165" s="2" t="s">
        <v>82</v>
      </c>
      <c r="E165" s="2">
        <v>57</v>
      </c>
      <c r="F165" s="2">
        <v>1183.57</v>
      </c>
    </row>
    <row r="166" spans="3:6" x14ac:dyDescent="0.25">
      <c r="C166" s="2" t="s">
        <v>7501</v>
      </c>
      <c r="D166" s="2" t="s">
        <v>82</v>
      </c>
      <c r="E166" s="2">
        <v>99</v>
      </c>
      <c r="F166" s="2">
        <v>2052.19</v>
      </c>
    </row>
    <row r="167" spans="3:6" x14ac:dyDescent="0.25">
      <c r="C167" s="2" t="s">
        <v>7502</v>
      </c>
      <c r="D167" s="2" t="s">
        <v>82</v>
      </c>
      <c r="E167" s="2">
        <v>48</v>
      </c>
      <c r="F167" s="2">
        <v>953.8</v>
      </c>
    </row>
    <row r="168" spans="3:6" x14ac:dyDescent="0.25">
      <c r="C168" s="2" t="s">
        <v>7503</v>
      </c>
      <c r="D168" s="2" t="s">
        <v>82</v>
      </c>
      <c r="E168" s="2">
        <v>102</v>
      </c>
      <c r="F168" s="2">
        <v>1931.02</v>
      </c>
    </row>
    <row r="169" spans="3:6" x14ac:dyDescent="0.25">
      <c r="C169" s="2" t="s">
        <v>7504</v>
      </c>
      <c r="D169" s="2" t="s">
        <v>82</v>
      </c>
      <c r="E169" s="2">
        <v>76</v>
      </c>
      <c r="F169" s="2">
        <v>1566.149</v>
      </c>
    </row>
    <row r="170" spans="3:6" x14ac:dyDescent="0.25">
      <c r="C170" s="2" t="s">
        <v>7505</v>
      </c>
      <c r="D170" s="2" t="s">
        <v>82</v>
      </c>
      <c r="E170" s="2">
        <v>26</v>
      </c>
      <c r="F170" s="2">
        <v>529.81</v>
      </c>
    </row>
    <row r="171" spans="3:6" x14ac:dyDescent="0.25">
      <c r="C171" s="2" t="s">
        <v>7506</v>
      </c>
      <c r="D171" s="2" t="s">
        <v>82</v>
      </c>
      <c r="E171" s="2">
        <v>121</v>
      </c>
      <c r="F171" s="2">
        <v>2406.38</v>
      </c>
    </row>
    <row r="172" spans="3:6" x14ac:dyDescent="0.25">
      <c r="C172" s="2" t="s">
        <v>7507</v>
      </c>
      <c r="D172" s="2" t="s">
        <v>82</v>
      </c>
      <c r="E172" s="2">
        <v>141</v>
      </c>
      <c r="F172" s="2">
        <v>2921.01</v>
      </c>
    </row>
    <row r="173" spans="3:6" x14ac:dyDescent="0.25">
      <c r="C173" s="2" t="s">
        <v>7508</v>
      </c>
      <c r="D173" s="2" t="s">
        <v>82</v>
      </c>
      <c r="E173" s="2">
        <v>141</v>
      </c>
      <c r="F173" s="2">
        <v>2870.459</v>
      </c>
    </row>
    <row r="174" spans="3:6" x14ac:dyDescent="0.25">
      <c r="C174" s="2" t="s">
        <v>7509</v>
      </c>
      <c r="D174" s="2" t="s">
        <v>82</v>
      </c>
      <c r="E174" s="2">
        <v>100</v>
      </c>
      <c r="F174" s="2">
        <v>307.65</v>
      </c>
    </row>
    <row r="175" spans="3:6" x14ac:dyDescent="0.25">
      <c r="C175" s="2" t="s">
        <v>7510</v>
      </c>
      <c r="D175" s="2" t="s">
        <v>82</v>
      </c>
      <c r="E175" s="2">
        <v>74</v>
      </c>
      <c r="F175" s="2">
        <v>1479.709</v>
      </c>
    </row>
    <row r="176" spans="3:6" x14ac:dyDescent="0.25">
      <c r="C176" s="2" t="s">
        <v>7511</v>
      </c>
      <c r="D176" s="2" t="s">
        <v>82</v>
      </c>
      <c r="E176" s="2">
        <v>47</v>
      </c>
      <c r="F176" s="2">
        <v>939.07</v>
      </c>
    </row>
    <row r="177" spans="3:6" x14ac:dyDescent="0.25">
      <c r="C177" s="2" t="s">
        <v>7512</v>
      </c>
      <c r="D177" s="2" t="s">
        <v>82</v>
      </c>
      <c r="E177" s="2">
        <v>141</v>
      </c>
      <c r="F177" s="2">
        <v>2819.24</v>
      </c>
    </row>
    <row r="178" spans="3:6" x14ac:dyDescent="0.25">
      <c r="C178" s="2" t="s">
        <v>7513</v>
      </c>
      <c r="D178" s="2" t="s">
        <v>82</v>
      </c>
      <c r="E178" s="2">
        <v>141</v>
      </c>
      <c r="F178" s="2">
        <v>2672.209</v>
      </c>
    </row>
    <row r="179" spans="3:6" x14ac:dyDescent="0.25">
      <c r="C179" s="2" t="s">
        <v>7514</v>
      </c>
      <c r="D179" s="2" t="s">
        <v>82</v>
      </c>
      <c r="E179" s="2">
        <v>77</v>
      </c>
      <c r="F179" s="2">
        <v>1533.3</v>
      </c>
    </row>
    <row r="180" spans="3:6" x14ac:dyDescent="0.25">
      <c r="C180" s="2" t="s">
        <v>7515</v>
      </c>
      <c r="D180" s="2" t="s">
        <v>82</v>
      </c>
      <c r="E180" s="2">
        <v>48</v>
      </c>
      <c r="F180" s="2">
        <v>951.87</v>
      </c>
    </row>
    <row r="181" spans="3:6" x14ac:dyDescent="0.25">
      <c r="C181" s="2" t="s">
        <v>7516</v>
      </c>
      <c r="D181" s="2" t="s">
        <v>82</v>
      </c>
      <c r="E181" s="2">
        <v>16</v>
      </c>
      <c r="F181" s="2">
        <v>302.329</v>
      </c>
    </row>
    <row r="182" spans="3:6" x14ac:dyDescent="0.25">
      <c r="C182" s="2" t="s">
        <v>7517</v>
      </c>
      <c r="D182" s="2" t="s">
        <v>82</v>
      </c>
      <c r="E182" s="2">
        <v>27</v>
      </c>
      <c r="F182" s="2">
        <v>557.53</v>
      </c>
    </row>
    <row r="183" spans="3:6" x14ac:dyDescent="0.25">
      <c r="C183" s="2" t="s">
        <v>7518</v>
      </c>
      <c r="D183" s="2" t="s">
        <v>82</v>
      </c>
      <c r="E183" s="2">
        <v>57</v>
      </c>
      <c r="F183" s="2">
        <v>1032.94</v>
      </c>
    </row>
    <row r="184" spans="3:6" x14ac:dyDescent="0.25">
      <c r="C184" s="2" t="s">
        <v>7519</v>
      </c>
      <c r="D184" s="2" t="s">
        <v>82</v>
      </c>
      <c r="E184" s="2">
        <v>57</v>
      </c>
      <c r="F184" s="2">
        <v>1157.72</v>
      </c>
    </row>
    <row r="185" spans="3:6" x14ac:dyDescent="0.25">
      <c r="C185" s="2" t="s">
        <v>7520</v>
      </c>
      <c r="D185" s="2" t="s">
        <v>82</v>
      </c>
      <c r="E185" s="2">
        <v>100</v>
      </c>
      <c r="F185" s="2">
        <v>1908.849</v>
      </c>
    </row>
    <row r="186" spans="3:6" x14ac:dyDescent="0.25">
      <c r="C186" s="2" t="s">
        <v>7521</v>
      </c>
      <c r="D186" s="2" t="s">
        <v>82</v>
      </c>
      <c r="E186" s="2">
        <v>43</v>
      </c>
      <c r="F186" s="2">
        <v>873.89</v>
      </c>
    </row>
    <row r="187" spans="3:6" x14ac:dyDescent="0.25">
      <c r="C187" s="2" t="s">
        <v>7522</v>
      </c>
      <c r="D187" s="2" t="s">
        <v>82</v>
      </c>
      <c r="E187" s="2">
        <v>128</v>
      </c>
      <c r="F187" s="2">
        <v>2630.83</v>
      </c>
    </row>
    <row r="188" spans="3:6" x14ac:dyDescent="0.25">
      <c r="C188" s="2" t="s">
        <v>7523</v>
      </c>
      <c r="D188" s="2" t="s">
        <v>82</v>
      </c>
      <c r="E188" s="2">
        <v>15</v>
      </c>
      <c r="F188" s="2">
        <v>319.5</v>
      </c>
    </row>
    <row r="189" spans="3:6" x14ac:dyDescent="0.25">
      <c r="C189" s="2" t="s">
        <v>7524</v>
      </c>
      <c r="D189" s="2" t="s">
        <v>82</v>
      </c>
      <c r="E189" s="2">
        <v>130</v>
      </c>
      <c r="F189" s="2">
        <v>2676.99</v>
      </c>
    </row>
    <row r="190" spans="3:6" x14ac:dyDescent="0.25">
      <c r="C190" s="2" t="s">
        <v>7525</v>
      </c>
      <c r="D190" s="2" t="s">
        <v>82</v>
      </c>
      <c r="E190" s="2">
        <v>13</v>
      </c>
      <c r="F190" s="2">
        <v>279.35</v>
      </c>
    </row>
    <row r="191" spans="3:6" x14ac:dyDescent="0.25">
      <c r="C191" s="2" t="s">
        <v>7526</v>
      </c>
      <c r="D191" s="2" t="s">
        <v>82</v>
      </c>
      <c r="E191" s="2">
        <v>107</v>
      </c>
      <c r="F191" s="2">
        <v>2136.29</v>
      </c>
    </row>
    <row r="192" spans="3:6" x14ac:dyDescent="0.25">
      <c r="C192" s="2" t="s">
        <v>7527</v>
      </c>
      <c r="D192" s="2" t="s">
        <v>82</v>
      </c>
      <c r="E192" s="2">
        <v>18</v>
      </c>
      <c r="F192" s="2">
        <v>365.46</v>
      </c>
    </row>
    <row r="193" spans="3:6" x14ac:dyDescent="0.25">
      <c r="C193" s="2" t="s">
        <v>7528</v>
      </c>
      <c r="D193" s="2" t="s">
        <v>82</v>
      </c>
      <c r="E193" s="2">
        <v>18</v>
      </c>
      <c r="F193" s="2">
        <v>329.27</v>
      </c>
    </row>
    <row r="194" spans="3:6" x14ac:dyDescent="0.25">
      <c r="C194" s="2" t="s">
        <v>7529</v>
      </c>
      <c r="D194" s="2" t="s">
        <v>82</v>
      </c>
      <c r="E194" s="2">
        <v>83</v>
      </c>
      <c r="F194" s="2">
        <v>1683.43</v>
      </c>
    </row>
    <row r="195" spans="3:6" x14ac:dyDescent="0.25">
      <c r="C195" s="2" t="s">
        <v>7530</v>
      </c>
      <c r="D195" s="2" t="s">
        <v>82</v>
      </c>
      <c r="E195" s="2">
        <v>26</v>
      </c>
      <c r="F195" s="2">
        <v>510.13</v>
      </c>
    </row>
    <row r="196" spans="3:6" x14ac:dyDescent="0.25">
      <c r="C196" s="2" t="s">
        <v>7531</v>
      </c>
      <c r="D196" s="2" t="s">
        <v>82</v>
      </c>
      <c r="E196" s="2">
        <v>34</v>
      </c>
      <c r="F196" s="2">
        <v>665.42</v>
      </c>
    </row>
    <row r="197" spans="3:6" x14ac:dyDescent="0.25">
      <c r="C197" s="2" t="s">
        <v>7532</v>
      </c>
      <c r="D197" s="2" t="s">
        <v>82</v>
      </c>
      <c r="E197" s="2">
        <v>71</v>
      </c>
      <c r="F197" s="2">
        <v>1450.95</v>
      </c>
    </row>
    <row r="198" spans="3:6" x14ac:dyDescent="0.25">
      <c r="C198" s="2" t="s">
        <v>7533</v>
      </c>
      <c r="D198" s="2" t="s">
        <v>82</v>
      </c>
      <c r="E198" s="2">
        <v>42</v>
      </c>
      <c r="F198" s="2">
        <v>892.58</v>
      </c>
    </row>
    <row r="199" spans="3:6" x14ac:dyDescent="0.25">
      <c r="C199" s="2" t="s">
        <v>7534</v>
      </c>
      <c r="D199" s="2" t="s">
        <v>82</v>
      </c>
      <c r="E199" s="2">
        <v>30</v>
      </c>
      <c r="F199" s="2">
        <v>604.08</v>
      </c>
    </row>
    <row r="200" spans="3:6" x14ac:dyDescent="0.25">
      <c r="C200" s="2" t="s">
        <v>7535</v>
      </c>
      <c r="D200" s="2" t="s">
        <v>82</v>
      </c>
      <c r="E200" s="2">
        <v>23</v>
      </c>
      <c r="F200" s="2">
        <v>504.16</v>
      </c>
    </row>
    <row r="201" spans="3:6" x14ac:dyDescent="0.25">
      <c r="C201" s="2" t="s">
        <v>7536</v>
      </c>
      <c r="D201" s="2" t="s">
        <v>82</v>
      </c>
      <c r="E201" s="2">
        <v>19</v>
      </c>
      <c r="F201" s="2">
        <v>379.44</v>
      </c>
    </row>
    <row r="202" spans="3:6" x14ac:dyDescent="0.25">
      <c r="C202" s="2" t="s">
        <v>7537</v>
      </c>
      <c r="D202" s="2" t="s">
        <v>82</v>
      </c>
      <c r="E202" s="2">
        <v>25</v>
      </c>
      <c r="F202" s="2">
        <v>514.23</v>
      </c>
    </row>
    <row r="203" spans="3:6" x14ac:dyDescent="0.25">
      <c r="C203" s="2" t="s">
        <v>7538</v>
      </c>
      <c r="D203" s="2" t="s">
        <v>82</v>
      </c>
      <c r="E203" s="2">
        <v>41</v>
      </c>
      <c r="F203" s="2">
        <v>763.31</v>
      </c>
    </row>
    <row r="204" spans="3:6" x14ac:dyDescent="0.25">
      <c r="C204" s="2" t="s">
        <v>7539</v>
      </c>
      <c r="D204" s="2" t="s">
        <v>82</v>
      </c>
      <c r="E204" s="2">
        <v>35</v>
      </c>
      <c r="F204" s="2">
        <v>696.53</v>
      </c>
    </row>
    <row r="205" spans="3:6" x14ac:dyDescent="0.25">
      <c r="C205" s="2" t="s">
        <v>7540</v>
      </c>
      <c r="D205" s="2" t="s">
        <v>82</v>
      </c>
      <c r="E205" s="2">
        <v>34</v>
      </c>
      <c r="F205" s="2">
        <v>697.06</v>
      </c>
    </row>
    <row r="206" spans="3:6" x14ac:dyDescent="0.25">
      <c r="C206" s="2" t="s">
        <v>7541</v>
      </c>
      <c r="D206" s="2" t="s">
        <v>82</v>
      </c>
      <c r="E206" s="2">
        <v>35</v>
      </c>
      <c r="F206" s="2">
        <v>686.439</v>
      </c>
    </row>
    <row r="207" spans="3:6" x14ac:dyDescent="0.25">
      <c r="C207" s="2" t="s">
        <v>7542</v>
      </c>
      <c r="D207" s="2" t="s">
        <v>82</v>
      </c>
      <c r="E207" s="2">
        <v>33</v>
      </c>
      <c r="F207" s="2">
        <v>697.579</v>
      </c>
    </row>
    <row r="208" spans="3:6" x14ac:dyDescent="0.25">
      <c r="C208" s="2" t="s">
        <v>7543</v>
      </c>
      <c r="D208" s="2" t="s">
        <v>82</v>
      </c>
      <c r="E208" s="2">
        <v>72</v>
      </c>
      <c r="F208" s="2">
        <v>2050.999</v>
      </c>
    </row>
    <row r="210" spans="1:7" x14ac:dyDescent="0.25">
      <c r="A210" s="1">
        <v>46144</v>
      </c>
      <c r="B210" s="2" t="s">
        <v>7</v>
      </c>
      <c r="C210" s="2" t="s">
        <v>7544</v>
      </c>
      <c r="D210" s="2" t="s">
        <v>9</v>
      </c>
      <c r="E210" s="2">
        <v>99</v>
      </c>
      <c r="F210" s="2">
        <v>2008.11</v>
      </c>
      <c r="G210" s="1">
        <v>46144</v>
      </c>
    </row>
    <row r="211" spans="3:6" x14ac:dyDescent="0.25">
      <c r="C211" s="2" t="s">
        <v>7545</v>
      </c>
      <c r="D211" s="2" t="s">
        <v>9</v>
      </c>
      <c r="E211" s="2">
        <v>90</v>
      </c>
      <c r="F211" s="2">
        <v>1859.9</v>
      </c>
    </row>
    <row r="213" spans="1:7" x14ac:dyDescent="0.25">
      <c r="A213" s="1">
        <v>46144</v>
      </c>
      <c r="B213" s="2" t="s">
        <v>12</v>
      </c>
      <c r="C213" s="2" t="s">
        <v>7546</v>
      </c>
      <c r="D213" s="2" t="s">
        <v>15</v>
      </c>
      <c r="E213" s="2">
        <v>105</v>
      </c>
      <c r="F213" s="2">
        <v>969.88</v>
      </c>
      <c r="G213" s="1">
        <v>46144</v>
      </c>
    </row>
    <row r="214" spans="3:6" x14ac:dyDescent="0.25">
      <c r="C214" s="2" t="s">
        <v>7547</v>
      </c>
      <c r="D214" s="2" t="s">
        <v>15</v>
      </c>
      <c r="E214" s="2">
        <v>105</v>
      </c>
      <c r="F214" s="2">
        <v>0</v>
      </c>
    </row>
    <row r="215" spans="3:6" x14ac:dyDescent="0.25">
      <c r="C215" s="2" t="s">
        <v>7548</v>
      </c>
      <c r="D215" s="2" t="s">
        <v>15</v>
      </c>
      <c r="E215" s="2">
        <v>105</v>
      </c>
      <c r="F215" s="2">
        <v>0</v>
      </c>
    </row>
    <row r="216" spans="3:6" x14ac:dyDescent="0.25">
      <c r="C216" s="2" t="s">
        <v>7549</v>
      </c>
      <c r="D216" s="2" t="s">
        <v>15</v>
      </c>
      <c r="E216" s="2">
        <v>156</v>
      </c>
      <c r="F216" s="2">
        <v>3051.929</v>
      </c>
    </row>
    <row r="217" spans="3:6" x14ac:dyDescent="0.25">
      <c r="C217" s="2" t="s">
        <v>7550</v>
      </c>
      <c r="D217" s="2" t="s">
        <v>15</v>
      </c>
      <c r="E217" s="2">
        <v>156</v>
      </c>
      <c r="F217" s="2">
        <v>3101.799</v>
      </c>
    </row>
    <row r="218" spans="3:6" x14ac:dyDescent="0.25">
      <c r="C218" s="2" t="s">
        <v>7551</v>
      </c>
      <c r="D218" s="2" t="s">
        <v>15</v>
      </c>
      <c r="E218" s="2">
        <v>146</v>
      </c>
      <c r="F218" s="2">
        <v>2626.027</v>
      </c>
    </row>
    <row r="219" spans="3:6" x14ac:dyDescent="0.25">
      <c r="C219" s="2" t="s">
        <v>7552</v>
      </c>
      <c r="D219" s="2" t="s">
        <v>15</v>
      </c>
      <c r="E219" s="2">
        <v>18</v>
      </c>
      <c r="F219" s="2">
        <v>0</v>
      </c>
    </row>
    <row r="220" spans="3:6" x14ac:dyDescent="0.25">
      <c r="C220" s="2" t="s">
        <v>7553</v>
      </c>
      <c r="D220" s="2" t="s">
        <v>15</v>
      </c>
      <c r="E220" s="2">
        <v>133</v>
      </c>
      <c r="F220" s="2">
        <v>2642.979</v>
      </c>
    </row>
    <row r="221" spans="3:6" x14ac:dyDescent="0.25">
      <c r="C221" s="2" t="s">
        <v>7554</v>
      </c>
      <c r="D221" s="2" t="s">
        <v>15</v>
      </c>
      <c r="E221" s="2">
        <v>23</v>
      </c>
      <c r="F221" s="2">
        <v>0</v>
      </c>
    </row>
    <row r="222" spans="3:6" x14ac:dyDescent="0.25">
      <c r="C222" s="2" t="s">
        <v>7555</v>
      </c>
      <c r="D222" s="2" t="s">
        <v>15</v>
      </c>
      <c r="E222" s="2">
        <v>156</v>
      </c>
      <c r="F222" s="2">
        <v>3196.45</v>
      </c>
    </row>
    <row r="223" spans="3:6" x14ac:dyDescent="0.25">
      <c r="C223" s="2" t="s">
        <v>7556</v>
      </c>
      <c r="D223" s="2" t="s">
        <v>15</v>
      </c>
      <c r="E223" s="2">
        <v>156</v>
      </c>
      <c r="F223" s="2">
        <v>3103.41</v>
      </c>
    </row>
    <row r="224" spans="3:6" x14ac:dyDescent="0.25">
      <c r="C224" s="2" t="s">
        <v>7557</v>
      </c>
      <c r="D224" s="2" t="s">
        <v>15</v>
      </c>
      <c r="E224" s="2">
        <v>105</v>
      </c>
      <c r="F224" s="2">
        <v>2075.59</v>
      </c>
    </row>
    <row r="225" spans="3:6" x14ac:dyDescent="0.25">
      <c r="C225" s="2" t="s">
        <v>7558</v>
      </c>
      <c r="D225" s="2" t="s">
        <v>15</v>
      </c>
      <c r="E225" s="2">
        <v>156</v>
      </c>
      <c r="F225" s="2">
        <v>3065.528</v>
      </c>
    </row>
    <row r="226" spans="3:6" x14ac:dyDescent="0.25">
      <c r="C226" s="2" t="s">
        <v>7559</v>
      </c>
      <c r="D226" s="2" t="s">
        <v>26</v>
      </c>
      <c r="E226" s="2">
        <v>156</v>
      </c>
      <c r="F226" s="2">
        <v>3126.876</v>
      </c>
    </row>
    <row r="227" spans="3:6" x14ac:dyDescent="0.25">
      <c r="C227" s="2" t="s">
        <v>7560</v>
      </c>
      <c r="D227" s="2" t="s">
        <v>30</v>
      </c>
      <c r="E227" s="2">
        <v>134</v>
      </c>
      <c r="F227" s="2">
        <v>2750.109</v>
      </c>
    </row>
    <row r="228" spans="3:6" x14ac:dyDescent="0.25">
      <c r="C228" s="2" t="s">
        <v>7561</v>
      </c>
      <c r="D228" s="2" t="s">
        <v>30</v>
      </c>
      <c r="E228" s="2">
        <v>134</v>
      </c>
      <c r="F228" s="2">
        <v>2725.72</v>
      </c>
    </row>
    <row r="229" spans="3:6" x14ac:dyDescent="0.25">
      <c r="C229" s="2" t="s">
        <v>7562</v>
      </c>
      <c r="D229" s="2" t="s">
        <v>30</v>
      </c>
      <c r="E229" s="2">
        <v>134</v>
      </c>
      <c r="F229" s="2">
        <v>2769.84</v>
      </c>
    </row>
    <row r="230" spans="3:6" x14ac:dyDescent="0.25">
      <c r="C230" s="2" t="s">
        <v>7563</v>
      </c>
      <c r="D230" s="2" t="s">
        <v>30</v>
      </c>
      <c r="E230" s="2">
        <v>134</v>
      </c>
      <c r="F230" s="2">
        <v>2820.7</v>
      </c>
    </row>
    <row r="231" spans="3:6" x14ac:dyDescent="0.25">
      <c r="C231" s="2" t="s">
        <v>7564</v>
      </c>
      <c r="D231" s="2" t="s">
        <v>30</v>
      </c>
      <c r="E231" s="2">
        <v>134</v>
      </c>
      <c r="F231" s="2">
        <v>2712.17</v>
      </c>
    </row>
    <row r="232" spans="3:6" x14ac:dyDescent="0.25">
      <c r="C232" s="2" t="s">
        <v>7565</v>
      </c>
      <c r="D232" s="2" t="s">
        <v>30</v>
      </c>
      <c r="E232" s="2">
        <v>134</v>
      </c>
      <c r="F232" s="2">
        <v>2566.799</v>
      </c>
    </row>
    <row r="233" spans="3:6" x14ac:dyDescent="0.25">
      <c r="C233" s="2" t="s">
        <v>7566</v>
      </c>
      <c r="D233" s="2" t="s">
        <v>30</v>
      </c>
      <c r="E233" s="2">
        <v>61</v>
      </c>
      <c r="F233" s="2">
        <v>1123.34</v>
      </c>
    </row>
    <row r="234" spans="3:6" x14ac:dyDescent="0.25">
      <c r="C234" s="2" t="s">
        <v>7567</v>
      </c>
      <c r="D234" s="2" t="s">
        <v>30</v>
      </c>
      <c r="E234" s="2">
        <v>35</v>
      </c>
      <c r="F234" s="2">
        <v>693.188</v>
      </c>
    </row>
    <row r="235" spans="3:6" x14ac:dyDescent="0.25">
      <c r="C235" s="2" t="s">
        <v>7568</v>
      </c>
      <c r="D235" s="2" t="s">
        <v>42</v>
      </c>
      <c r="E235" s="2">
        <v>39</v>
      </c>
      <c r="F235" s="2">
        <v>745.938</v>
      </c>
    </row>
    <row r="236" spans="3:6" x14ac:dyDescent="0.25">
      <c r="C236" s="2" t="s">
        <v>7569</v>
      </c>
      <c r="D236" s="2" t="s">
        <v>42</v>
      </c>
      <c r="E236" s="2">
        <v>100</v>
      </c>
      <c r="F236" s="2">
        <v>1956.66</v>
      </c>
    </row>
    <row r="237" spans="3:6" x14ac:dyDescent="0.25">
      <c r="C237" s="2" t="s">
        <v>7570</v>
      </c>
      <c r="D237" s="2" t="s">
        <v>42</v>
      </c>
      <c r="E237" s="2">
        <v>17</v>
      </c>
      <c r="F237" s="2">
        <v>324.83</v>
      </c>
    </row>
    <row r="238" spans="3:6" x14ac:dyDescent="0.25">
      <c r="C238" s="2" t="s">
        <v>7571</v>
      </c>
      <c r="D238" s="2" t="s">
        <v>36</v>
      </c>
      <c r="E238" s="2">
        <v>7</v>
      </c>
      <c r="F238" s="2">
        <v>0</v>
      </c>
    </row>
    <row r="239" spans="3:6" x14ac:dyDescent="0.25">
      <c r="C239" s="2" t="s">
        <v>7572</v>
      </c>
      <c r="D239" s="2" t="s">
        <v>36</v>
      </c>
      <c r="E239" s="2">
        <v>80</v>
      </c>
      <c r="F239" s="2">
        <v>1585.44</v>
      </c>
    </row>
    <row r="240" spans="3:6" x14ac:dyDescent="0.25">
      <c r="C240" s="2" t="s">
        <v>7573</v>
      </c>
      <c r="D240" s="2" t="s">
        <v>36</v>
      </c>
      <c r="E240" s="2">
        <v>36</v>
      </c>
      <c r="F240" s="2">
        <v>689.09</v>
      </c>
    </row>
    <row r="241" spans="3:6" x14ac:dyDescent="0.25">
      <c r="C241" s="2" t="s">
        <v>7574</v>
      </c>
      <c r="D241" s="2" t="s">
        <v>36</v>
      </c>
      <c r="E241" s="2">
        <v>33</v>
      </c>
      <c r="F241" s="2">
        <v>617.97</v>
      </c>
    </row>
    <row r="242" spans="3:6" x14ac:dyDescent="0.25">
      <c r="C242" s="2" t="s">
        <v>7575</v>
      </c>
      <c r="D242" s="2" t="s">
        <v>36</v>
      </c>
      <c r="E242" s="2">
        <v>45</v>
      </c>
      <c r="F242" s="2">
        <v>869.95</v>
      </c>
    </row>
    <row r="243" spans="3:6" x14ac:dyDescent="0.25">
      <c r="C243" s="2" t="s">
        <v>7576</v>
      </c>
      <c r="D243" s="2" t="s">
        <v>36</v>
      </c>
      <c r="E243" s="2">
        <v>60</v>
      </c>
      <c r="F243" s="2">
        <v>1102.01</v>
      </c>
    </row>
    <row r="244" spans="3:6" x14ac:dyDescent="0.25">
      <c r="C244" s="2" t="s">
        <v>7577</v>
      </c>
      <c r="D244" s="2" t="s">
        <v>136</v>
      </c>
      <c r="E244" s="2">
        <v>36</v>
      </c>
      <c r="F244" s="2">
        <v>690.63</v>
      </c>
    </row>
    <row r="246" spans="1:7" x14ac:dyDescent="0.25">
      <c r="A246" s="1">
        <v>46145</v>
      </c>
      <c r="B246" s="2" t="s">
        <v>363</v>
      </c>
      <c r="C246" s="2" t="s">
        <v>7578</v>
      </c>
      <c r="D246" s="2" t="s">
        <v>73</v>
      </c>
      <c r="E246" s="2">
        <v>34</v>
      </c>
      <c r="F246" s="2">
        <v>580.22</v>
      </c>
      <c r="G246" s="1">
        <v>46145</v>
      </c>
    </row>
    <row r="247" spans="3:6" x14ac:dyDescent="0.25">
      <c r="C247" s="2" t="s">
        <v>7579</v>
      </c>
      <c r="D247" s="2" t="s">
        <v>73</v>
      </c>
      <c r="E247" s="2">
        <v>63</v>
      </c>
      <c r="F247" s="2">
        <v>1250.41</v>
      </c>
    </row>
    <row r="248" spans="3:6" x14ac:dyDescent="0.25">
      <c r="C248" s="2" t="s">
        <v>7580</v>
      </c>
      <c r="D248" s="2" t="s">
        <v>73</v>
      </c>
      <c r="E248" s="2">
        <v>91</v>
      </c>
      <c r="F248" s="2">
        <v>1841.22</v>
      </c>
    </row>
    <row r="249" spans="3:6" x14ac:dyDescent="0.25">
      <c r="C249" s="2" t="s">
        <v>7581</v>
      </c>
      <c r="D249" s="2" t="s">
        <v>73</v>
      </c>
      <c r="E249" s="2">
        <v>92</v>
      </c>
      <c r="F249" s="2">
        <v>1786.28</v>
      </c>
    </row>
    <row r="250" spans="3:6" x14ac:dyDescent="0.25">
      <c r="C250" s="2" t="s">
        <v>7582</v>
      </c>
      <c r="D250" s="2" t="s">
        <v>73</v>
      </c>
      <c r="E250" s="2">
        <v>47</v>
      </c>
      <c r="F250" s="2">
        <v>854.47</v>
      </c>
    </row>
    <row r="251" spans="3:6" x14ac:dyDescent="0.25">
      <c r="C251" s="2" t="s">
        <v>7583</v>
      </c>
      <c r="D251" s="2" t="s">
        <v>73</v>
      </c>
      <c r="E251" s="2">
        <v>32</v>
      </c>
      <c r="F251" s="2">
        <v>524.27</v>
      </c>
    </row>
    <row r="252" spans="3:6" x14ac:dyDescent="0.25">
      <c r="C252" s="2" t="s">
        <v>7584</v>
      </c>
      <c r="D252" s="2" t="s">
        <v>73</v>
      </c>
      <c r="E252" s="2">
        <v>17</v>
      </c>
      <c r="F252" s="2">
        <v>357.43</v>
      </c>
    </row>
    <row r="254" spans="1:7" x14ac:dyDescent="0.25">
      <c r="A254" s="1">
        <v>46145</v>
      </c>
      <c r="B254" s="2" t="s">
        <v>71</v>
      </c>
      <c r="C254" s="2" t="s">
        <v>7585</v>
      </c>
      <c r="D254" s="2" t="s">
        <v>73</v>
      </c>
      <c r="E254" s="2">
        <v>12</v>
      </c>
      <c r="F254" s="2">
        <v>220</v>
      </c>
      <c r="G254" s="1">
        <v>46144</v>
      </c>
    </row>
    <row r="255" spans="3:6" x14ac:dyDescent="0.25">
      <c r="C255" s="2" t="s">
        <v>7586</v>
      </c>
      <c r="D255" s="2" t="s">
        <v>73</v>
      </c>
      <c r="E255" s="2">
        <v>72</v>
      </c>
      <c r="F255" s="2">
        <v>1525.97</v>
      </c>
    </row>
    <row r="256" spans="3:6" x14ac:dyDescent="0.25">
      <c r="C256" s="2" t="s">
        <v>7587</v>
      </c>
      <c r="D256" s="2" t="s">
        <v>73</v>
      </c>
      <c r="E256" s="2">
        <v>16</v>
      </c>
      <c r="F256" s="2">
        <v>284.9</v>
      </c>
    </row>
    <row r="257" spans="3:6" x14ac:dyDescent="0.25">
      <c r="C257" s="2" t="s">
        <v>7588</v>
      </c>
      <c r="D257" s="2" t="s">
        <v>73</v>
      </c>
      <c r="E257" s="2">
        <v>26</v>
      </c>
      <c r="F257" s="2">
        <v>443.709</v>
      </c>
    </row>
    <row r="258" spans="3:6" x14ac:dyDescent="0.25">
      <c r="C258" s="2" t="s">
        <v>7589</v>
      </c>
      <c r="D258" s="2" t="s">
        <v>73</v>
      </c>
      <c r="E258" s="2">
        <v>59</v>
      </c>
      <c r="F258" s="2">
        <v>1170.189</v>
      </c>
    </row>
    <row r="260" spans="1:7" x14ac:dyDescent="0.25">
      <c r="A260" s="1">
        <v>46145</v>
      </c>
      <c r="B260" s="2" t="s">
        <v>495</v>
      </c>
      <c r="C260" s="2" t="s">
        <v>7590</v>
      </c>
      <c r="D260" s="2" t="s">
        <v>178</v>
      </c>
      <c r="E260" s="2">
        <v>123</v>
      </c>
      <c r="F260" s="2">
        <v>2515.758</v>
      </c>
      <c r="G260" s="1">
        <v>46144</v>
      </c>
    </row>
    <row r="261" spans="3:6" x14ac:dyDescent="0.25">
      <c r="C261" s="2" t="s">
        <v>7591</v>
      </c>
      <c r="D261" s="2" t="s">
        <v>178</v>
      </c>
      <c r="E261" s="2">
        <v>123</v>
      </c>
      <c r="F261" s="2">
        <v>2542.399</v>
      </c>
    </row>
    <row r="262" spans="3:6" x14ac:dyDescent="0.25">
      <c r="C262" s="2" t="s">
        <v>7592</v>
      </c>
      <c r="D262" s="2" t="s">
        <v>178</v>
      </c>
      <c r="E262" s="2">
        <v>123</v>
      </c>
      <c r="F262" s="2">
        <v>2195.67</v>
      </c>
    </row>
    <row r="263" spans="3:6" x14ac:dyDescent="0.25">
      <c r="C263" s="2" t="s">
        <v>7593</v>
      </c>
      <c r="D263" s="2" t="s">
        <v>178</v>
      </c>
      <c r="E263" s="2">
        <v>123</v>
      </c>
      <c r="F263" s="2">
        <v>2426.78</v>
      </c>
    </row>
    <row r="264" spans="3:6" x14ac:dyDescent="0.25">
      <c r="C264" s="2" t="s">
        <v>7594</v>
      </c>
      <c r="D264" s="2" t="s">
        <v>178</v>
      </c>
      <c r="E264" s="2">
        <v>102</v>
      </c>
      <c r="F264" s="2">
        <v>2040.949</v>
      </c>
    </row>
    <row r="265" spans="3:6" x14ac:dyDescent="0.25">
      <c r="C265" s="2" t="s">
        <v>7595</v>
      </c>
      <c r="D265" s="2" t="s">
        <v>178</v>
      </c>
      <c r="E265" s="2">
        <v>102</v>
      </c>
      <c r="F265" s="2">
        <v>2100.47</v>
      </c>
    </row>
    <row r="266" spans="3:6" x14ac:dyDescent="0.25">
      <c r="C266" s="2" t="s">
        <v>7596</v>
      </c>
      <c r="D266" s="2" t="s">
        <v>178</v>
      </c>
      <c r="E266" s="2">
        <v>102</v>
      </c>
      <c r="F266" s="2">
        <v>2051.25</v>
      </c>
    </row>
    <row r="267" spans="3:6" x14ac:dyDescent="0.25">
      <c r="C267" s="2" t="s">
        <v>7597</v>
      </c>
      <c r="D267" s="2" t="s">
        <v>178</v>
      </c>
      <c r="E267" s="2">
        <v>102</v>
      </c>
      <c r="F267" s="2">
        <v>2063.45</v>
      </c>
    </row>
    <row r="268" spans="3:6" x14ac:dyDescent="0.25">
      <c r="C268" s="2" t="s">
        <v>7598</v>
      </c>
      <c r="D268" s="2" t="s">
        <v>178</v>
      </c>
      <c r="E268" s="2">
        <v>102</v>
      </c>
      <c r="F268" s="2">
        <v>2165.17</v>
      </c>
    </row>
    <row r="269" spans="3:6" x14ac:dyDescent="0.25">
      <c r="C269" s="2" t="s">
        <v>7599</v>
      </c>
      <c r="D269" s="2" t="s">
        <v>178</v>
      </c>
      <c r="E269" s="2">
        <v>141</v>
      </c>
      <c r="F269" s="2">
        <v>2897.999</v>
      </c>
    </row>
    <row r="270" spans="3:6" x14ac:dyDescent="0.25">
      <c r="C270" s="2" t="s">
        <v>7600</v>
      </c>
      <c r="D270" s="2" t="s">
        <v>178</v>
      </c>
      <c r="E270" s="2">
        <v>141</v>
      </c>
      <c r="F270" s="2">
        <v>2862.14</v>
      </c>
    </row>
    <row r="271" spans="3:6" x14ac:dyDescent="0.25">
      <c r="C271" s="2" t="s">
        <v>7601</v>
      </c>
      <c r="D271" s="2" t="s">
        <v>178</v>
      </c>
      <c r="E271" s="2">
        <v>134</v>
      </c>
      <c r="F271" s="2">
        <v>2767.369</v>
      </c>
    </row>
    <row r="272" spans="3:6" x14ac:dyDescent="0.25">
      <c r="C272" s="2" t="s">
        <v>7602</v>
      </c>
      <c r="D272" s="2" t="s">
        <v>178</v>
      </c>
      <c r="E272" s="2">
        <v>102</v>
      </c>
      <c r="F272" s="2">
        <v>2093.57</v>
      </c>
    </row>
    <row r="273" spans="3:6" x14ac:dyDescent="0.25">
      <c r="C273" s="2" t="s">
        <v>7603</v>
      </c>
      <c r="D273" s="2" t="s">
        <v>178</v>
      </c>
      <c r="E273" s="2">
        <v>60</v>
      </c>
      <c r="F273" s="2">
        <v>250.209</v>
      </c>
    </row>
    <row r="274" spans="3:6" x14ac:dyDescent="0.25">
      <c r="C274" s="2" t="s">
        <v>7604</v>
      </c>
      <c r="D274" s="2" t="s">
        <v>178</v>
      </c>
      <c r="E274" s="2">
        <v>7</v>
      </c>
      <c r="F274" s="2" t="s">
        <v>4167</v>
      </c>
    </row>
    <row r="275" spans="3:6" x14ac:dyDescent="0.25">
      <c r="C275" s="2" t="s">
        <v>7605</v>
      </c>
      <c r="D275" s="2" t="s">
        <v>178</v>
      </c>
      <c r="E275" s="2">
        <v>60</v>
      </c>
      <c r="F275" s="2">
        <v>1113.86</v>
      </c>
    </row>
    <row r="276" spans="3:6" x14ac:dyDescent="0.25">
      <c r="C276" s="2" t="s">
        <v>7606</v>
      </c>
      <c r="D276" s="2" t="s">
        <v>178</v>
      </c>
      <c r="E276" s="2">
        <v>81</v>
      </c>
      <c r="F276" s="2">
        <v>1536.83</v>
      </c>
    </row>
    <row r="277" spans="3:6" x14ac:dyDescent="0.25">
      <c r="C277" s="2" t="s">
        <v>7607</v>
      </c>
      <c r="D277" s="2" t="s">
        <v>178</v>
      </c>
      <c r="E277" s="2">
        <v>57</v>
      </c>
      <c r="F277" s="2">
        <v>1102.32</v>
      </c>
    </row>
    <row r="278" spans="3:6" x14ac:dyDescent="0.25">
      <c r="C278" s="2" t="s">
        <v>7608</v>
      </c>
      <c r="D278" s="2" t="s">
        <v>178</v>
      </c>
      <c r="E278" s="2">
        <v>45</v>
      </c>
      <c r="F278" s="2">
        <v>894.22</v>
      </c>
    </row>
    <row r="279" spans="3:6" x14ac:dyDescent="0.25">
      <c r="C279" s="2" t="s">
        <v>7609</v>
      </c>
      <c r="D279" s="2" t="s">
        <v>178</v>
      </c>
      <c r="E279" s="2">
        <v>141</v>
      </c>
      <c r="F279" s="2">
        <v>2769.46</v>
      </c>
    </row>
    <row r="280" spans="3:6" x14ac:dyDescent="0.25">
      <c r="C280" s="2" t="s">
        <v>7610</v>
      </c>
      <c r="D280" s="2" t="s">
        <v>178</v>
      </c>
      <c r="E280" s="2">
        <v>141</v>
      </c>
      <c r="F280" s="2">
        <v>2926.64</v>
      </c>
    </row>
    <row r="281" spans="3:6" x14ac:dyDescent="0.25">
      <c r="C281" s="2" t="s">
        <v>7611</v>
      </c>
      <c r="D281" s="2" t="s">
        <v>178</v>
      </c>
      <c r="E281" s="2">
        <v>141</v>
      </c>
      <c r="F281" s="2">
        <v>2843.129</v>
      </c>
    </row>
    <row r="282" spans="3:6" x14ac:dyDescent="0.25">
      <c r="C282" s="2" t="s">
        <v>7612</v>
      </c>
      <c r="D282" s="2" t="s">
        <v>178</v>
      </c>
      <c r="E282" s="2">
        <v>141</v>
      </c>
      <c r="F282" s="2">
        <v>2851.37</v>
      </c>
    </row>
    <row r="283" spans="3:6" x14ac:dyDescent="0.25">
      <c r="C283" s="2" t="s">
        <v>7613</v>
      </c>
      <c r="D283" s="2" t="s">
        <v>178</v>
      </c>
      <c r="E283" s="2">
        <v>135</v>
      </c>
      <c r="F283" s="2">
        <v>570.599</v>
      </c>
    </row>
    <row r="284" spans="3:6" x14ac:dyDescent="0.25">
      <c r="C284" s="2" t="s">
        <v>7614</v>
      </c>
      <c r="D284" s="2" t="s">
        <v>178</v>
      </c>
      <c r="E284" s="2">
        <v>141</v>
      </c>
      <c r="F284" s="2">
        <v>2908.24</v>
      </c>
    </row>
    <row r="285" spans="3:6" x14ac:dyDescent="0.25">
      <c r="C285" s="2" t="s">
        <v>7615</v>
      </c>
      <c r="D285" s="2" t="s">
        <v>178</v>
      </c>
      <c r="E285" s="2">
        <v>141</v>
      </c>
      <c r="F285" s="2">
        <v>2950.49</v>
      </c>
    </row>
    <row r="286" spans="3:6" x14ac:dyDescent="0.25">
      <c r="C286" s="2" t="s">
        <v>7616</v>
      </c>
      <c r="D286" s="2" t="s">
        <v>178</v>
      </c>
      <c r="E286" s="2">
        <v>141</v>
      </c>
      <c r="F286" s="2">
        <v>2957.93</v>
      </c>
    </row>
    <row r="287" spans="3:6" x14ac:dyDescent="0.25">
      <c r="C287" s="2" t="s">
        <v>7617</v>
      </c>
      <c r="D287" s="2" t="s">
        <v>178</v>
      </c>
      <c r="E287" s="2">
        <v>55</v>
      </c>
      <c r="F287" s="2">
        <v>1105.66</v>
      </c>
    </row>
    <row r="288" spans="3:6" x14ac:dyDescent="0.25">
      <c r="C288" s="2" t="s">
        <v>7618</v>
      </c>
      <c r="D288" s="2" t="s">
        <v>178</v>
      </c>
      <c r="E288" s="2">
        <v>20</v>
      </c>
      <c r="F288" s="2">
        <v>380.99</v>
      </c>
    </row>
    <row r="289" spans="3:6" x14ac:dyDescent="0.25">
      <c r="C289" s="2" t="s">
        <v>7619</v>
      </c>
      <c r="D289" s="2" t="s">
        <v>178</v>
      </c>
      <c r="E289" s="2">
        <v>141</v>
      </c>
      <c r="F289" s="2">
        <v>2869.799</v>
      </c>
    </row>
    <row r="290" spans="3:6" x14ac:dyDescent="0.25">
      <c r="C290" s="2" t="s">
        <v>7620</v>
      </c>
      <c r="D290" s="2" t="s">
        <v>178</v>
      </c>
      <c r="E290" s="2">
        <v>141</v>
      </c>
      <c r="F290" s="2">
        <v>2880.559</v>
      </c>
    </row>
    <row r="291" spans="3:6" x14ac:dyDescent="0.25">
      <c r="C291" s="2" t="s">
        <v>7621</v>
      </c>
      <c r="D291" s="2" t="s">
        <v>178</v>
      </c>
      <c r="E291" s="2">
        <v>141</v>
      </c>
      <c r="F291" s="2">
        <v>2904.65</v>
      </c>
    </row>
    <row r="292" spans="3:6" x14ac:dyDescent="0.25">
      <c r="C292" s="2" t="s">
        <v>7622</v>
      </c>
      <c r="D292" s="2" t="s">
        <v>178</v>
      </c>
      <c r="E292" s="2">
        <v>141</v>
      </c>
      <c r="F292" s="2">
        <v>2849.67</v>
      </c>
    </row>
    <row r="293" spans="3:6" x14ac:dyDescent="0.25">
      <c r="C293" s="2" t="s">
        <v>7623</v>
      </c>
      <c r="D293" s="2" t="s">
        <v>178</v>
      </c>
      <c r="E293" s="2">
        <v>92</v>
      </c>
      <c r="F293" s="2">
        <v>1902.969</v>
      </c>
    </row>
    <row r="294" spans="3:6" x14ac:dyDescent="0.25">
      <c r="C294" s="2" t="s">
        <v>7624</v>
      </c>
      <c r="D294" s="2" t="s">
        <v>178</v>
      </c>
      <c r="E294" s="2">
        <v>49</v>
      </c>
      <c r="F294" s="2">
        <v>1008.43</v>
      </c>
    </row>
    <row r="295" spans="3:6" x14ac:dyDescent="0.25">
      <c r="C295" s="2" t="s">
        <v>7625</v>
      </c>
      <c r="D295" s="2" t="s">
        <v>178</v>
      </c>
      <c r="E295" s="2">
        <v>124</v>
      </c>
      <c r="F295" s="2">
        <v>2344.989</v>
      </c>
    </row>
    <row r="296" spans="3:6" x14ac:dyDescent="0.25">
      <c r="C296" s="2" t="s">
        <v>7626</v>
      </c>
      <c r="D296" s="2" t="s">
        <v>178</v>
      </c>
      <c r="E296" s="2">
        <v>76</v>
      </c>
      <c r="F296" s="2">
        <v>1475.21</v>
      </c>
    </row>
    <row r="297" spans="3:6" x14ac:dyDescent="0.25">
      <c r="C297" s="2" t="s">
        <v>7627</v>
      </c>
      <c r="D297" s="2" t="s">
        <v>178</v>
      </c>
      <c r="E297" s="2">
        <v>82</v>
      </c>
      <c r="F297" s="2">
        <v>1736.17</v>
      </c>
    </row>
    <row r="299" spans="1:7" x14ac:dyDescent="0.25">
      <c r="A299" s="1">
        <v>46145</v>
      </c>
      <c r="B299" s="2" t="s">
        <v>80</v>
      </c>
      <c r="C299" s="2" t="s">
        <v>7628</v>
      </c>
      <c r="D299" s="2" t="s">
        <v>82</v>
      </c>
      <c r="E299" s="2">
        <v>79</v>
      </c>
      <c r="F299" s="2">
        <v>2148.579</v>
      </c>
      <c r="G299" s="1">
        <v>46144</v>
      </c>
    </row>
    <row r="300" spans="3:6" x14ac:dyDescent="0.25">
      <c r="C300" s="2" t="s">
        <v>7629</v>
      </c>
      <c r="D300" s="2" t="s">
        <v>82</v>
      </c>
      <c r="E300" s="2">
        <v>72</v>
      </c>
      <c r="F300" s="2">
        <v>2452.676</v>
      </c>
    </row>
    <row r="301" spans="3:6" x14ac:dyDescent="0.25">
      <c r="C301" s="2" t="s">
        <v>7630</v>
      </c>
      <c r="D301" s="2" t="s">
        <v>82</v>
      </c>
      <c r="E301" s="2">
        <v>72</v>
      </c>
      <c r="F301" s="2">
        <v>2584.63</v>
      </c>
    </row>
    <row r="302" spans="3:6" x14ac:dyDescent="0.25">
      <c r="C302" s="2" t="s">
        <v>7631</v>
      </c>
      <c r="D302" s="2" t="s">
        <v>82</v>
      </c>
      <c r="E302" s="2">
        <v>72</v>
      </c>
      <c r="F302" s="2">
        <v>1960.129</v>
      </c>
    </row>
    <row r="303" spans="3:6" x14ac:dyDescent="0.25">
      <c r="C303" s="2" t="s">
        <v>7632</v>
      </c>
      <c r="D303" s="2" t="s">
        <v>82</v>
      </c>
      <c r="E303" s="2">
        <v>72</v>
      </c>
      <c r="F303" s="2">
        <v>1992.95</v>
      </c>
    </row>
    <row r="304" spans="3:6" x14ac:dyDescent="0.25">
      <c r="C304" s="2" t="s">
        <v>7633</v>
      </c>
      <c r="D304" s="2" t="s">
        <v>82</v>
      </c>
      <c r="E304" s="2">
        <v>105</v>
      </c>
      <c r="F304" s="2">
        <v>1539.147</v>
      </c>
    </row>
    <row r="305" spans="3:6" x14ac:dyDescent="0.25">
      <c r="C305" s="2" t="s">
        <v>7634</v>
      </c>
      <c r="D305" s="2" t="s">
        <v>82</v>
      </c>
      <c r="E305" s="2">
        <v>80</v>
      </c>
      <c r="F305" s="2">
        <v>2674.37</v>
      </c>
    </row>
    <row r="306" spans="3:6" x14ac:dyDescent="0.25">
      <c r="C306" s="2" t="s">
        <v>7635</v>
      </c>
      <c r="D306" s="2" t="s">
        <v>82</v>
      </c>
      <c r="E306" s="2">
        <v>144</v>
      </c>
      <c r="F306" s="2">
        <v>652.581</v>
      </c>
    </row>
    <row r="307" spans="3:6" x14ac:dyDescent="0.25">
      <c r="C307" s="2" t="s">
        <v>7636</v>
      </c>
      <c r="D307" s="2" t="s">
        <v>82</v>
      </c>
      <c r="E307" s="2">
        <v>79</v>
      </c>
      <c r="F307" s="2">
        <v>1528.788</v>
      </c>
    </row>
    <row r="308" spans="3:6" x14ac:dyDescent="0.25">
      <c r="C308" s="2" t="s">
        <v>7637</v>
      </c>
      <c r="D308" s="2" t="s">
        <v>82</v>
      </c>
      <c r="E308" s="2">
        <v>141</v>
      </c>
      <c r="F308" s="2">
        <v>2892.45</v>
      </c>
    </row>
    <row r="309" spans="3:6" x14ac:dyDescent="0.25">
      <c r="C309" s="2" t="s">
        <v>7638</v>
      </c>
      <c r="D309" s="2" t="s">
        <v>82</v>
      </c>
      <c r="E309" s="2">
        <v>65</v>
      </c>
      <c r="F309" s="2">
        <v>1305.72</v>
      </c>
    </row>
    <row r="310" spans="3:6" x14ac:dyDescent="0.25">
      <c r="C310" s="2" t="s">
        <v>7639</v>
      </c>
      <c r="D310" s="2" t="s">
        <v>82</v>
      </c>
      <c r="E310" s="2">
        <v>35</v>
      </c>
      <c r="F310" s="2">
        <v>637.87</v>
      </c>
    </row>
    <row r="311" spans="3:6" x14ac:dyDescent="0.25">
      <c r="C311" s="2" t="s">
        <v>7640</v>
      </c>
      <c r="D311" s="2" t="s">
        <v>82</v>
      </c>
      <c r="E311" s="2">
        <v>47</v>
      </c>
      <c r="F311" s="2">
        <v>956.63</v>
      </c>
    </row>
    <row r="312" spans="3:6" x14ac:dyDescent="0.25">
      <c r="C312" s="2" t="s">
        <v>7641</v>
      </c>
      <c r="D312" s="2" t="s">
        <v>82</v>
      </c>
      <c r="E312" s="2">
        <v>31</v>
      </c>
      <c r="F312" s="2">
        <v>392.29</v>
      </c>
    </row>
    <row r="313" spans="3:6" x14ac:dyDescent="0.25">
      <c r="C313" s="2" t="s">
        <v>7642</v>
      </c>
      <c r="D313" s="2" t="s">
        <v>82</v>
      </c>
      <c r="E313" s="2">
        <v>29</v>
      </c>
      <c r="F313" s="2">
        <v>554.41</v>
      </c>
    </row>
    <row r="314" spans="3:6" x14ac:dyDescent="0.25">
      <c r="C314" s="2" t="s">
        <v>7643</v>
      </c>
      <c r="D314" s="2" t="s">
        <v>82</v>
      </c>
      <c r="E314" s="2">
        <v>62</v>
      </c>
      <c r="F314" s="2">
        <v>1256.4</v>
      </c>
    </row>
    <row r="315" spans="3:6" x14ac:dyDescent="0.25">
      <c r="C315" s="2" t="s">
        <v>7644</v>
      </c>
      <c r="D315" s="2" t="s">
        <v>82</v>
      </c>
      <c r="E315" s="2">
        <v>15</v>
      </c>
      <c r="F315" s="2">
        <v>301.35</v>
      </c>
    </row>
    <row r="316" spans="3:6" x14ac:dyDescent="0.25">
      <c r="C316" s="2" t="s">
        <v>7645</v>
      </c>
      <c r="D316" s="2" t="s">
        <v>82</v>
      </c>
      <c r="E316" s="2">
        <v>15</v>
      </c>
      <c r="F316" s="2">
        <v>269.2</v>
      </c>
    </row>
    <row r="317" spans="3:6" x14ac:dyDescent="0.25">
      <c r="C317" s="2" t="s">
        <v>7646</v>
      </c>
      <c r="D317" s="2" t="s">
        <v>82</v>
      </c>
      <c r="E317" s="2">
        <v>12</v>
      </c>
      <c r="F317" s="2">
        <v>224.31</v>
      </c>
    </row>
    <row r="318" spans="3:6" x14ac:dyDescent="0.25">
      <c r="C318" s="2" t="s">
        <v>7647</v>
      </c>
      <c r="D318" s="2" t="s">
        <v>82</v>
      </c>
      <c r="E318" s="2">
        <v>7</v>
      </c>
      <c r="F318" s="2">
        <v>79.23</v>
      </c>
    </row>
    <row r="319" spans="3:6" x14ac:dyDescent="0.25">
      <c r="C319" s="2" t="s">
        <v>7648</v>
      </c>
      <c r="D319" s="2" t="s">
        <v>82</v>
      </c>
      <c r="E319" s="2">
        <v>7</v>
      </c>
      <c r="F319" s="2">
        <f>67.1+48.66</f>
        <v>115.75999999999999</v>
      </c>
    </row>
    <row r="320" spans="3:6" x14ac:dyDescent="0.25">
      <c r="C320" s="2" t="s">
        <v>7649</v>
      </c>
      <c r="D320" s="2" t="s">
        <v>82</v>
      </c>
      <c r="E320" s="2">
        <v>21</v>
      </c>
      <c r="F320" s="2">
        <f>319.8+20.1</f>
        <v>339.90000000000003</v>
      </c>
    </row>
    <row r="321" spans="3:6" x14ac:dyDescent="0.25">
      <c r="C321" s="2" t="s">
        <v>7650</v>
      </c>
      <c r="D321" s="2" t="s">
        <v>82</v>
      </c>
      <c r="E321" s="2">
        <v>68</v>
      </c>
      <c r="F321" s="2">
        <v>1394.61</v>
      </c>
    </row>
    <row r="322" spans="3:6" x14ac:dyDescent="0.25">
      <c r="C322" s="2" t="s">
        <v>7651</v>
      </c>
      <c r="D322" s="2" t="s">
        <v>82</v>
      </c>
      <c r="E322" s="2">
        <v>32</v>
      </c>
      <c r="F322" s="2">
        <v>643.1</v>
      </c>
    </row>
    <row r="323" spans="3:6" x14ac:dyDescent="0.25">
      <c r="C323" s="2" t="s">
        <v>7652</v>
      </c>
      <c r="D323" s="2" t="s">
        <v>82</v>
      </c>
      <c r="E323" s="2">
        <v>24</v>
      </c>
      <c r="F323" s="2">
        <v>422.619</v>
      </c>
    </row>
    <row r="324" spans="3:6" x14ac:dyDescent="0.25">
      <c r="C324" s="2" t="s">
        <v>7653</v>
      </c>
      <c r="D324" s="2" t="s">
        <v>82</v>
      </c>
      <c r="E324" s="2">
        <v>51</v>
      </c>
      <c r="F324" s="2">
        <v>1013.64</v>
      </c>
    </row>
    <row r="325" spans="3:6" x14ac:dyDescent="0.25">
      <c r="C325" s="2" t="s">
        <v>7654</v>
      </c>
      <c r="D325" s="2" t="s">
        <v>82</v>
      </c>
      <c r="E325" s="2">
        <v>121</v>
      </c>
      <c r="F325" s="2">
        <v>2433.65</v>
      </c>
    </row>
    <row r="326" spans="3:6" x14ac:dyDescent="0.25">
      <c r="C326" s="2" t="s">
        <v>7655</v>
      </c>
      <c r="D326" s="2" t="s">
        <v>82</v>
      </c>
      <c r="E326" s="2">
        <v>64</v>
      </c>
      <c r="F326" s="2">
        <v>1226.479</v>
      </c>
    </row>
    <row r="327" spans="3:6" x14ac:dyDescent="0.25">
      <c r="C327" s="2" t="s">
        <v>7656</v>
      </c>
      <c r="D327" s="2" t="s">
        <v>82</v>
      </c>
      <c r="E327" s="2">
        <v>21</v>
      </c>
      <c r="F327" s="2">
        <v>410.87</v>
      </c>
    </row>
    <row r="328" spans="3:6" x14ac:dyDescent="0.25">
      <c r="C328" s="2" t="s">
        <v>7657</v>
      </c>
      <c r="D328" s="2" t="s">
        <v>82</v>
      </c>
      <c r="E328" s="2">
        <v>19</v>
      </c>
      <c r="F328" s="2">
        <v>354.81</v>
      </c>
    </row>
    <row r="329" spans="3:6" x14ac:dyDescent="0.25">
      <c r="C329" s="2" t="s">
        <v>7658</v>
      </c>
      <c r="D329" s="2" t="s">
        <v>82</v>
      </c>
      <c r="E329" s="2">
        <v>17</v>
      </c>
      <c r="F329" s="2">
        <v>258.98</v>
      </c>
    </row>
    <row r="330" spans="3:6" x14ac:dyDescent="0.25">
      <c r="C330" s="2" t="s">
        <v>7659</v>
      </c>
      <c r="D330" s="2" t="s">
        <v>82</v>
      </c>
      <c r="E330" s="2">
        <v>74</v>
      </c>
      <c r="F330" s="2">
        <v>316.75</v>
      </c>
    </row>
    <row r="331" spans="3:6" x14ac:dyDescent="0.25">
      <c r="C331" s="2" t="s">
        <v>7660</v>
      </c>
      <c r="D331" s="2" t="s">
        <v>82</v>
      </c>
      <c r="E331" s="2">
        <v>94</v>
      </c>
      <c r="F331" s="2">
        <v>1936.18</v>
      </c>
    </row>
    <row r="332" spans="3:6" x14ac:dyDescent="0.25">
      <c r="C332" s="2" t="s">
        <v>7661</v>
      </c>
      <c r="D332" s="2" t="s">
        <v>82</v>
      </c>
      <c r="E332" s="2">
        <v>37</v>
      </c>
      <c r="F332" s="2">
        <v>764.85</v>
      </c>
    </row>
    <row r="333" spans="3:6" x14ac:dyDescent="0.25">
      <c r="C333" s="2" t="s">
        <v>7662</v>
      </c>
      <c r="D333" s="2" t="s">
        <v>82</v>
      </c>
      <c r="E333" s="2">
        <v>10</v>
      </c>
      <c r="F333" s="2">
        <v>214.36</v>
      </c>
    </row>
    <row r="334" spans="3:6" x14ac:dyDescent="0.25">
      <c r="C334" s="2" t="s">
        <v>7663</v>
      </c>
      <c r="D334" s="2" t="s">
        <v>82</v>
      </c>
      <c r="E334" s="2">
        <v>100</v>
      </c>
      <c r="F334" s="2">
        <v>2115.22</v>
      </c>
    </row>
    <row r="335" spans="3:6" x14ac:dyDescent="0.25">
      <c r="C335" s="2" t="s">
        <v>7664</v>
      </c>
      <c r="D335" s="2" t="s">
        <v>82</v>
      </c>
      <c r="E335" s="2">
        <v>9</v>
      </c>
      <c r="F335" s="2">
        <v>162.03</v>
      </c>
    </row>
    <row r="336" spans="3:6" x14ac:dyDescent="0.25">
      <c r="C336" s="2" t="s">
        <v>7665</v>
      </c>
      <c r="D336" s="2" t="s">
        <v>82</v>
      </c>
      <c r="E336" s="2">
        <v>14</v>
      </c>
      <c r="F336" s="2">
        <v>279.1</v>
      </c>
    </row>
    <row r="337" spans="3:6" x14ac:dyDescent="0.25">
      <c r="C337" s="2" t="s">
        <v>7666</v>
      </c>
      <c r="D337" s="2" t="s">
        <v>82</v>
      </c>
      <c r="E337" s="2">
        <v>39</v>
      </c>
      <c r="F337" s="2">
        <v>1385.19</v>
      </c>
    </row>
    <row r="338" spans="3:6" x14ac:dyDescent="0.25">
      <c r="C338" s="2" t="s">
        <v>7667</v>
      </c>
      <c r="D338" s="2" t="s">
        <v>82</v>
      </c>
      <c r="E338" s="2">
        <v>60</v>
      </c>
      <c r="F338" s="2">
        <v>1278.6</v>
      </c>
    </row>
    <row r="339" spans="3:6" x14ac:dyDescent="0.25">
      <c r="C339" s="2" t="s">
        <v>7668</v>
      </c>
      <c r="D339" s="2" t="s">
        <v>82</v>
      </c>
      <c r="E339" s="2">
        <v>81</v>
      </c>
      <c r="F339" s="2">
        <v>1676.99</v>
      </c>
    </row>
    <row r="340" spans="3:6" x14ac:dyDescent="0.25">
      <c r="C340" s="2" t="s">
        <v>7669</v>
      </c>
      <c r="D340" s="2" t="s">
        <v>82</v>
      </c>
      <c r="E340" s="2">
        <v>68</v>
      </c>
      <c r="F340" s="2">
        <v>1443.01</v>
      </c>
    </row>
    <row r="341" spans="3:6" x14ac:dyDescent="0.25">
      <c r="C341" s="2" t="s">
        <v>7670</v>
      </c>
      <c r="D341" s="2" t="s">
        <v>82</v>
      </c>
      <c r="E341" s="2">
        <v>34</v>
      </c>
      <c r="F341" s="2">
        <v>721.97</v>
      </c>
    </row>
    <row r="342" spans="3:6" x14ac:dyDescent="0.25">
      <c r="C342" s="2" t="s">
        <v>7671</v>
      </c>
      <c r="D342" s="2" t="s">
        <v>82</v>
      </c>
      <c r="E342" s="2">
        <v>21</v>
      </c>
      <c r="F342" s="2">
        <v>434.85</v>
      </c>
    </row>
    <row r="343" spans="3:6" x14ac:dyDescent="0.25">
      <c r="C343" s="2" t="s">
        <v>7672</v>
      </c>
      <c r="D343" s="2" t="s">
        <v>82</v>
      </c>
      <c r="E343" s="2">
        <v>18</v>
      </c>
      <c r="F343" s="2">
        <v>360</v>
      </c>
    </row>
    <row r="344" spans="3:6" x14ac:dyDescent="0.25">
      <c r="C344" s="2" t="s">
        <v>7673</v>
      </c>
      <c r="D344" s="2" t="s">
        <v>82</v>
      </c>
      <c r="E344" s="2">
        <v>141</v>
      </c>
      <c r="F344" s="2">
        <v>2797.089</v>
      </c>
    </row>
    <row r="345" spans="3:6" x14ac:dyDescent="0.25">
      <c r="C345" s="2" t="s">
        <v>7674</v>
      </c>
      <c r="D345" s="2" t="s">
        <v>82</v>
      </c>
      <c r="E345" s="2">
        <v>65</v>
      </c>
      <c r="F345" s="2">
        <v>1884.999</v>
      </c>
    </row>
    <row r="346" spans="3:6" x14ac:dyDescent="0.25">
      <c r="C346" s="2" t="s">
        <v>7675</v>
      </c>
      <c r="D346" s="2" t="s">
        <v>82</v>
      </c>
      <c r="E346" s="2">
        <v>11</v>
      </c>
      <c r="F346" s="2">
        <v>237.55</v>
      </c>
    </row>
    <row r="347" spans="3:6" x14ac:dyDescent="0.25">
      <c r="C347" s="2" t="s">
        <v>7676</v>
      </c>
      <c r="D347" s="2" t="s">
        <v>82</v>
      </c>
      <c r="E347" s="2">
        <v>141</v>
      </c>
      <c r="F347" s="2">
        <v>2888.44</v>
      </c>
    </row>
    <row r="348" spans="3:6" x14ac:dyDescent="0.25">
      <c r="C348" s="2" t="s">
        <v>7677</v>
      </c>
      <c r="D348" s="2" t="s">
        <v>82</v>
      </c>
      <c r="E348" s="2">
        <v>141</v>
      </c>
      <c r="F348" s="2">
        <v>2865.11</v>
      </c>
    </row>
    <row r="349" spans="3:6" x14ac:dyDescent="0.25">
      <c r="C349" s="2" t="s">
        <v>7678</v>
      </c>
      <c r="D349" s="2" t="s">
        <v>82</v>
      </c>
      <c r="E349" s="2">
        <v>40</v>
      </c>
      <c r="F349" s="2">
        <v>803.48</v>
      </c>
    </row>
    <row r="350" spans="3:6" x14ac:dyDescent="0.25">
      <c r="C350" s="2" t="s">
        <v>7679</v>
      </c>
      <c r="D350" s="2" t="s">
        <v>82</v>
      </c>
      <c r="E350" s="2">
        <v>36</v>
      </c>
      <c r="F350" s="2">
        <v>762.74</v>
      </c>
    </row>
    <row r="351" spans="3:6" x14ac:dyDescent="0.25">
      <c r="C351" s="2" t="s">
        <v>7680</v>
      </c>
      <c r="D351" s="2" t="s">
        <v>82</v>
      </c>
      <c r="E351" s="2">
        <v>24</v>
      </c>
      <c r="F351" s="2">
        <v>500.74</v>
      </c>
    </row>
    <row r="353" spans="1:7" x14ac:dyDescent="0.25">
      <c r="A353" s="1">
        <v>46145</v>
      </c>
      <c r="B353" s="2" t="s">
        <v>7</v>
      </c>
      <c r="C353" s="2" t="s">
        <v>7681</v>
      </c>
      <c r="D353" s="2" t="s">
        <v>9</v>
      </c>
      <c r="E353" s="2">
        <v>93</v>
      </c>
      <c r="F353" s="2">
        <v>1889</v>
      </c>
      <c r="G353" s="1">
        <v>46145</v>
      </c>
    </row>
    <row r="354" spans="3:6" x14ac:dyDescent="0.25">
      <c r="C354" s="2" t="s">
        <v>7682</v>
      </c>
      <c r="D354" s="2" t="s">
        <v>9</v>
      </c>
      <c r="E354" s="2">
        <v>95</v>
      </c>
      <c r="F354" s="2">
        <v>2024.57</v>
      </c>
    </row>
    <row r="356" spans="1:7" x14ac:dyDescent="0.25">
      <c r="A356" s="1">
        <v>46145</v>
      </c>
      <c r="B356" s="2" t="s">
        <v>7683</v>
      </c>
      <c r="C356" s="2" t="s">
        <v>7684</v>
      </c>
      <c r="D356" s="2" t="s">
        <v>9</v>
      </c>
      <c r="E356" s="2">
        <v>156</v>
      </c>
      <c r="F356" s="2">
        <v>3224.51</v>
      </c>
      <c r="G356" s="1">
        <v>46145</v>
      </c>
    </row>
    <row r="357" spans="3:6" x14ac:dyDescent="0.25">
      <c r="C357" s="2" t="s">
        <v>7685</v>
      </c>
      <c r="D357" s="2" t="s">
        <v>9</v>
      </c>
      <c r="E357" s="2">
        <v>156</v>
      </c>
      <c r="F357" s="2">
        <v>3162.731</v>
      </c>
    </row>
    <row r="358" spans="3:6" x14ac:dyDescent="0.25">
      <c r="C358" s="2" t="s">
        <v>7686</v>
      </c>
      <c r="D358" s="2" t="s">
        <v>9</v>
      </c>
      <c r="E358" s="2">
        <v>66</v>
      </c>
      <c r="F358" s="2">
        <v>1395.75</v>
      </c>
    </row>
    <row r="360" spans="1:7" x14ac:dyDescent="0.25">
      <c r="A360" s="1">
        <v>46145</v>
      </c>
      <c r="B360" s="2" t="s">
        <v>420</v>
      </c>
      <c r="C360" s="2" t="s">
        <v>7687</v>
      </c>
      <c r="D360" s="2" t="s">
        <v>59</v>
      </c>
      <c r="E360" s="2">
        <v>163</v>
      </c>
      <c r="F360" s="2">
        <v>3042.849</v>
      </c>
      <c r="G360" s="1">
        <v>46144</v>
      </c>
    </row>
    <row r="361" spans="3:6" x14ac:dyDescent="0.25">
      <c r="C361" s="2" t="s">
        <v>7688</v>
      </c>
      <c r="D361" s="2" t="s">
        <v>59</v>
      </c>
      <c r="E361" s="2">
        <v>244</v>
      </c>
      <c r="F361" s="2">
        <v>4769.743</v>
      </c>
    </row>
    <row r="362" spans="3:6" x14ac:dyDescent="0.25">
      <c r="C362" s="2" t="s">
        <v>7689</v>
      </c>
      <c r="D362" s="2" t="s">
        <v>59</v>
      </c>
      <c r="E362" s="2">
        <v>95</v>
      </c>
      <c r="F362" s="2">
        <v>2016.94</v>
      </c>
    </row>
    <row r="363" spans="3:6" x14ac:dyDescent="0.25">
      <c r="C363" s="2" t="s">
        <v>7690</v>
      </c>
      <c r="D363" s="2" t="s">
        <v>59</v>
      </c>
      <c r="E363" s="2">
        <v>268</v>
      </c>
      <c r="F363" s="2">
        <v>5140.53</v>
      </c>
    </row>
    <row r="364" spans="3:6" x14ac:dyDescent="0.25">
      <c r="C364" s="2" t="s">
        <v>7691</v>
      </c>
      <c r="D364" s="2" t="s">
        <v>59</v>
      </c>
      <c r="E364" s="2">
        <v>163</v>
      </c>
      <c r="F364" s="2">
        <v>3036.739</v>
      </c>
    </row>
    <row r="365" spans="3:6" x14ac:dyDescent="0.25">
      <c r="C365" s="2" t="s">
        <v>7692</v>
      </c>
      <c r="D365" s="2" t="s">
        <v>59</v>
      </c>
      <c r="E365" s="2">
        <v>268</v>
      </c>
      <c r="F365" s="2">
        <v>5021.249</v>
      </c>
    </row>
    <row r="366" spans="3:6" x14ac:dyDescent="0.25">
      <c r="C366" s="2" t="s">
        <v>7693</v>
      </c>
      <c r="D366" s="2" t="s">
        <v>59</v>
      </c>
      <c r="E366" s="2">
        <v>268</v>
      </c>
      <c r="F366" s="2">
        <v>5184.879</v>
      </c>
    </row>
    <row r="367" spans="3:6" x14ac:dyDescent="0.25">
      <c r="C367" s="2" t="s">
        <v>7694</v>
      </c>
      <c r="D367" s="2" t="s">
        <v>59</v>
      </c>
      <c r="E367" s="2">
        <v>105</v>
      </c>
      <c r="F367" s="2">
        <v>1970.613</v>
      </c>
    </row>
    <row r="369" spans="1:7" x14ac:dyDescent="0.25">
      <c r="A369" s="1">
        <v>46145</v>
      </c>
      <c r="B369" s="2" t="s">
        <v>347</v>
      </c>
      <c r="C369" s="2" t="s">
        <v>7695</v>
      </c>
      <c r="D369" s="2" t="s">
        <v>59</v>
      </c>
      <c r="E369" s="2">
        <v>149</v>
      </c>
      <c r="F369" s="2">
        <v>2723.97</v>
      </c>
      <c r="G369" s="1">
        <v>46144</v>
      </c>
    </row>
    <row r="370" spans="3:6" x14ac:dyDescent="0.25">
      <c r="C370" s="2" t="s">
        <v>7696</v>
      </c>
      <c r="D370" s="2" t="s">
        <v>59</v>
      </c>
      <c r="E370" s="2">
        <v>291</v>
      </c>
      <c r="F370" s="2">
        <v>5791.083</v>
      </c>
    </row>
    <row r="371" spans="3:6" x14ac:dyDescent="0.25">
      <c r="C371" s="2" t="s">
        <v>7697</v>
      </c>
      <c r="D371" s="2" t="s">
        <v>59</v>
      </c>
      <c r="E371" s="2">
        <v>129</v>
      </c>
      <c r="F371" s="2">
        <v>2640</v>
      </c>
    </row>
    <row r="372" spans="3:6" x14ac:dyDescent="0.25">
      <c r="C372" s="2" t="s">
        <v>7466</v>
      </c>
      <c r="D372" s="2" t="s">
        <v>59</v>
      </c>
      <c r="E372" s="2">
        <v>289</v>
      </c>
      <c r="F372" s="2">
        <v>6052</v>
      </c>
    </row>
    <row r="373" spans="3:6" x14ac:dyDescent="0.25">
      <c r="C373" s="2" t="s">
        <v>7467</v>
      </c>
      <c r="D373" s="2" t="s">
        <v>59</v>
      </c>
      <c r="E373" s="2">
        <v>243</v>
      </c>
      <c r="F373" s="2">
        <v>4940</v>
      </c>
    </row>
    <row r="374" spans="3:6" x14ac:dyDescent="0.25">
      <c r="C374" s="2" t="s">
        <v>7698</v>
      </c>
      <c r="D374" s="2" t="s">
        <v>59</v>
      </c>
      <c r="E374" s="2">
        <v>251</v>
      </c>
      <c r="F374" s="2">
        <v>4784.429</v>
      </c>
    </row>
    <row r="375" spans="3:6" x14ac:dyDescent="0.25">
      <c r="C375" s="2" t="s">
        <v>7699</v>
      </c>
      <c r="D375" s="2" t="s">
        <v>59</v>
      </c>
      <c r="E375" s="2">
        <v>102</v>
      </c>
      <c r="F375" s="2">
        <v>1934.789</v>
      </c>
    </row>
    <row r="376" spans="3:6" x14ac:dyDescent="0.25">
      <c r="C376" s="2" t="s">
        <v>7700</v>
      </c>
      <c r="D376" s="2" t="s">
        <v>59</v>
      </c>
      <c r="E376" s="2">
        <v>223</v>
      </c>
      <c r="F376" s="2">
        <v>4041.55</v>
      </c>
    </row>
    <row r="377" spans="3:6" x14ac:dyDescent="0.25">
      <c r="C377" s="2" t="s">
        <v>7701</v>
      </c>
      <c r="D377" s="2" t="s">
        <v>59</v>
      </c>
      <c r="E377" s="2">
        <v>298</v>
      </c>
      <c r="F377" s="2">
        <v>5538</v>
      </c>
    </row>
    <row r="378" spans="3:6" x14ac:dyDescent="0.25">
      <c r="C378" s="2" t="s">
        <v>7702</v>
      </c>
      <c r="D378" s="2" t="s">
        <v>59</v>
      </c>
      <c r="E378" s="2">
        <v>292</v>
      </c>
      <c r="F378" s="2">
        <v>5445.87</v>
      </c>
    </row>
    <row r="379" spans="3:6" x14ac:dyDescent="0.25">
      <c r="C379" s="2" t="s">
        <v>7703</v>
      </c>
      <c r="D379" s="2" t="s">
        <v>59</v>
      </c>
      <c r="E379" s="2">
        <v>204</v>
      </c>
      <c r="F379" s="2">
        <v>3998</v>
      </c>
    </row>
    <row r="380" spans="3:6" x14ac:dyDescent="0.25">
      <c r="C380" s="2" t="s">
        <v>7704</v>
      </c>
      <c r="D380" s="2" t="s">
        <v>59</v>
      </c>
      <c r="E380" s="2">
        <v>103</v>
      </c>
      <c r="F380" s="2">
        <v>1912.309</v>
      </c>
    </row>
    <row r="382" spans="1:7" x14ac:dyDescent="0.25">
      <c r="A382" s="1">
        <v>46146</v>
      </c>
      <c r="B382" s="2" t="s">
        <v>1012</v>
      </c>
      <c r="C382" s="2" t="s">
        <v>7705</v>
      </c>
      <c r="D382" s="2" t="s">
        <v>82</v>
      </c>
      <c r="E382" s="2">
        <v>121</v>
      </c>
      <c r="F382" s="2">
        <v>2553.47</v>
      </c>
      <c r="G382" s="1">
        <v>46145</v>
      </c>
    </row>
    <row r="383" spans="3:6" x14ac:dyDescent="0.25">
      <c r="C383" s="2" t="s">
        <v>7706</v>
      </c>
      <c r="D383" s="2" t="s">
        <v>82</v>
      </c>
      <c r="E383" s="2">
        <v>61</v>
      </c>
      <c r="F383" s="2">
        <v>1209.45</v>
      </c>
    </row>
    <row r="384" spans="3:6" x14ac:dyDescent="0.25">
      <c r="C384" s="2" t="s">
        <v>7707</v>
      </c>
      <c r="D384" s="2" t="s">
        <v>82</v>
      </c>
      <c r="E384" s="2">
        <v>60</v>
      </c>
      <c r="F384" s="2">
        <v>1230.75</v>
      </c>
    </row>
    <row r="385" spans="3:6" x14ac:dyDescent="0.25">
      <c r="C385" s="2" t="s">
        <v>7708</v>
      </c>
      <c r="D385" s="2" t="s">
        <v>82</v>
      </c>
      <c r="E385" s="2">
        <v>141</v>
      </c>
      <c r="F385" s="2">
        <v>2959.31</v>
      </c>
    </row>
    <row r="386" spans="3:6" x14ac:dyDescent="0.25">
      <c r="C386" s="2" t="s">
        <v>7709</v>
      </c>
      <c r="D386" s="2" t="s">
        <v>82</v>
      </c>
      <c r="E386" s="2">
        <v>141</v>
      </c>
      <c r="F386" s="2">
        <v>2835.378</v>
      </c>
    </row>
    <row r="387" spans="3:6" x14ac:dyDescent="0.25">
      <c r="C387" s="2" t="s">
        <v>7710</v>
      </c>
      <c r="D387" s="2" t="s">
        <v>82</v>
      </c>
      <c r="E387" s="2">
        <v>83</v>
      </c>
      <c r="F387" s="2">
        <v>2332.083</v>
      </c>
    </row>
    <row r="388" spans="3:6" x14ac:dyDescent="0.25">
      <c r="C388" s="2" t="s">
        <v>7711</v>
      </c>
      <c r="D388" s="2" t="s">
        <v>82</v>
      </c>
      <c r="E388" s="2">
        <v>80</v>
      </c>
      <c r="F388" s="2">
        <v>1662.11</v>
      </c>
    </row>
    <row r="389" spans="3:6" x14ac:dyDescent="0.25">
      <c r="C389" s="2" t="s">
        <v>7712</v>
      </c>
      <c r="D389" s="2" t="s">
        <v>82</v>
      </c>
      <c r="E389" s="2">
        <v>61</v>
      </c>
      <c r="F389" s="2">
        <v>1251.38</v>
      </c>
    </row>
    <row r="390" spans="3:6" x14ac:dyDescent="0.25">
      <c r="C390" s="2" t="s">
        <v>7713</v>
      </c>
      <c r="D390" s="2" t="s">
        <v>82</v>
      </c>
      <c r="E390" s="2">
        <v>80</v>
      </c>
      <c r="F390" s="2">
        <v>1669.39</v>
      </c>
    </row>
    <row r="391" spans="3:6" x14ac:dyDescent="0.25">
      <c r="C391" s="2" t="s">
        <v>7714</v>
      </c>
      <c r="D391" s="2" t="s">
        <v>82</v>
      </c>
      <c r="E391" s="2">
        <v>61</v>
      </c>
      <c r="F391" s="2">
        <v>1172.529</v>
      </c>
    </row>
    <row r="392" spans="3:6" x14ac:dyDescent="0.25">
      <c r="C392" s="2" t="s">
        <v>7715</v>
      </c>
      <c r="D392" s="2" t="s">
        <v>82</v>
      </c>
      <c r="E392" s="2">
        <v>74</v>
      </c>
      <c r="F392" s="2">
        <v>1530.97</v>
      </c>
    </row>
    <row r="393" spans="3:6" x14ac:dyDescent="0.25">
      <c r="C393" s="2" t="s">
        <v>7716</v>
      </c>
      <c r="D393" s="2" t="s">
        <v>82</v>
      </c>
      <c r="E393" s="2">
        <v>43</v>
      </c>
      <c r="F393" s="2">
        <v>894.42</v>
      </c>
    </row>
    <row r="394" spans="3:6" x14ac:dyDescent="0.25">
      <c r="C394" s="2" t="s">
        <v>7717</v>
      </c>
      <c r="D394" s="2" t="s">
        <v>82</v>
      </c>
      <c r="E394" s="2">
        <v>24</v>
      </c>
      <c r="F394" s="2">
        <v>438.9</v>
      </c>
    </row>
    <row r="395" spans="3:6" x14ac:dyDescent="0.25">
      <c r="C395" s="2" t="s">
        <v>7718</v>
      </c>
      <c r="D395" s="2" t="s">
        <v>82</v>
      </c>
      <c r="E395" s="2">
        <v>100</v>
      </c>
      <c r="F395" s="2">
        <v>1984.729</v>
      </c>
    </row>
    <row r="396" spans="3:6" x14ac:dyDescent="0.25">
      <c r="C396" s="2" t="s">
        <v>7719</v>
      </c>
      <c r="D396" s="2" t="s">
        <v>82</v>
      </c>
      <c r="E396" s="2">
        <v>56</v>
      </c>
      <c r="F396" s="2">
        <v>1049.33</v>
      </c>
    </row>
    <row r="397" spans="3:6" x14ac:dyDescent="0.25">
      <c r="C397" s="2" t="s">
        <v>7720</v>
      </c>
      <c r="D397" s="2" t="s">
        <v>82</v>
      </c>
      <c r="E397" s="2">
        <v>44</v>
      </c>
      <c r="F397" s="2">
        <v>786.59</v>
      </c>
    </row>
    <row r="398" spans="3:6" x14ac:dyDescent="0.25">
      <c r="C398" s="2" t="s">
        <v>7721</v>
      </c>
      <c r="D398" s="2" t="s">
        <v>82</v>
      </c>
      <c r="E398" s="2">
        <v>72</v>
      </c>
      <c r="F398" s="2">
        <v>1992.95</v>
      </c>
    </row>
    <row r="399" spans="3:6" x14ac:dyDescent="0.25">
      <c r="C399" s="2" t="s">
        <v>7722</v>
      </c>
      <c r="D399" s="2" t="s">
        <v>82</v>
      </c>
      <c r="E399" s="2">
        <v>105</v>
      </c>
      <c r="F399" s="2">
        <v>1539.147</v>
      </c>
    </row>
    <row r="400" spans="3:6" x14ac:dyDescent="0.25">
      <c r="C400" s="2" t="s">
        <v>7723</v>
      </c>
      <c r="D400" s="2" t="s">
        <v>82</v>
      </c>
      <c r="E400" s="2">
        <v>141</v>
      </c>
      <c r="F400" s="2">
        <v>2905.97</v>
      </c>
    </row>
    <row r="401" spans="3:6" x14ac:dyDescent="0.25">
      <c r="C401" s="2" t="s">
        <v>7724</v>
      </c>
      <c r="D401" s="2" t="s">
        <v>82</v>
      </c>
      <c r="E401" s="2">
        <v>65</v>
      </c>
      <c r="F401" s="2">
        <v>1322.74</v>
      </c>
    </row>
    <row r="402" spans="3:6" x14ac:dyDescent="0.25">
      <c r="C402" s="2" t="s">
        <v>7725</v>
      </c>
      <c r="D402" s="2" t="s">
        <v>82</v>
      </c>
      <c r="E402" s="2">
        <v>35</v>
      </c>
      <c r="F402" s="2">
        <v>709.59</v>
      </c>
    </row>
    <row r="403" spans="3:6" x14ac:dyDescent="0.25">
      <c r="C403" s="2" t="s">
        <v>7726</v>
      </c>
      <c r="D403" s="2" t="s">
        <v>82</v>
      </c>
      <c r="E403" s="2">
        <v>82</v>
      </c>
      <c r="F403" s="2">
        <v>1630.328</v>
      </c>
    </row>
    <row r="404" spans="3:6" x14ac:dyDescent="0.25">
      <c r="C404" s="2" t="s">
        <v>7727</v>
      </c>
      <c r="D404" s="2" t="s">
        <v>82</v>
      </c>
      <c r="E404" s="2">
        <v>18</v>
      </c>
      <c r="F404" s="2">
        <v>330.89</v>
      </c>
    </row>
    <row r="405" spans="3:6" x14ac:dyDescent="0.25">
      <c r="C405" s="2" t="s">
        <v>7728</v>
      </c>
      <c r="D405" s="2" t="s">
        <v>82</v>
      </c>
      <c r="E405" s="2">
        <v>27</v>
      </c>
      <c r="F405" s="2">
        <v>550.02</v>
      </c>
    </row>
    <row r="406" spans="3:6" x14ac:dyDescent="0.25">
      <c r="C406" s="2" t="s">
        <v>7729</v>
      </c>
      <c r="D406" s="2" t="s">
        <v>82</v>
      </c>
      <c r="E406" s="2">
        <v>21</v>
      </c>
      <c r="F406" s="2">
        <v>431.72</v>
      </c>
    </row>
    <row r="407" spans="3:6" x14ac:dyDescent="0.25">
      <c r="C407" s="2" t="s">
        <v>7730</v>
      </c>
      <c r="D407" s="2" t="s">
        <v>82</v>
      </c>
      <c r="E407" s="2">
        <v>20</v>
      </c>
      <c r="F407" s="2">
        <v>398.83</v>
      </c>
    </row>
    <row r="408" spans="3:6" x14ac:dyDescent="0.25">
      <c r="C408" s="2" t="s">
        <v>7731</v>
      </c>
      <c r="D408" s="2" t="s">
        <v>82</v>
      </c>
      <c r="E408" s="2">
        <v>8</v>
      </c>
      <c r="F408" s="2">
        <v>132.38</v>
      </c>
    </row>
    <row r="409" spans="3:6" x14ac:dyDescent="0.25">
      <c r="C409" s="2" t="s">
        <v>7732</v>
      </c>
      <c r="D409" s="2" t="s">
        <v>82</v>
      </c>
      <c r="E409" s="2">
        <v>24</v>
      </c>
      <c r="F409" s="2">
        <v>445.079</v>
      </c>
    </row>
    <row r="411" spans="1:7" x14ac:dyDescent="0.25">
      <c r="A411" s="1">
        <v>46146</v>
      </c>
      <c r="B411" s="2" t="s">
        <v>176</v>
      </c>
      <c r="C411" s="2" t="s">
        <v>7733</v>
      </c>
      <c r="D411" s="2" t="s">
        <v>178</v>
      </c>
      <c r="E411" s="2">
        <v>123</v>
      </c>
      <c r="F411" s="2">
        <v>2348.859</v>
      </c>
      <c r="G411" s="1">
        <v>46146</v>
      </c>
    </row>
    <row r="412" spans="3:6" x14ac:dyDescent="0.25">
      <c r="C412" s="2" t="s">
        <v>7734</v>
      </c>
      <c r="D412" s="2" t="s">
        <v>178</v>
      </c>
      <c r="E412" s="2">
        <v>123</v>
      </c>
      <c r="F412" s="2">
        <v>2403.699</v>
      </c>
    </row>
    <row r="413" spans="3:6" x14ac:dyDescent="0.25">
      <c r="C413" s="2" t="s">
        <v>7735</v>
      </c>
      <c r="D413" s="2" t="s">
        <v>178</v>
      </c>
      <c r="E413" s="2">
        <v>123</v>
      </c>
      <c r="F413" s="2">
        <v>2251.258</v>
      </c>
    </row>
    <row r="414" spans="3:6" x14ac:dyDescent="0.25">
      <c r="C414" s="2" t="s">
        <v>7736</v>
      </c>
      <c r="D414" s="2" t="s">
        <v>178</v>
      </c>
      <c r="E414" s="2">
        <v>37</v>
      </c>
      <c r="F414" s="2">
        <v>685.64</v>
      </c>
    </row>
    <row r="415" spans="3:6" x14ac:dyDescent="0.25">
      <c r="C415" s="2" t="s">
        <v>7737</v>
      </c>
      <c r="D415" s="2" t="s">
        <v>178</v>
      </c>
      <c r="E415" s="2">
        <v>86</v>
      </c>
      <c r="F415" s="2">
        <v>1634.29</v>
      </c>
    </row>
    <row r="416" spans="3:6" x14ac:dyDescent="0.25">
      <c r="C416" s="2" t="s">
        <v>7738</v>
      </c>
      <c r="D416" s="2" t="s">
        <v>178</v>
      </c>
      <c r="E416" s="2">
        <v>102</v>
      </c>
      <c r="F416" s="2">
        <v>2074.289</v>
      </c>
    </row>
    <row r="417" spans="3:6" x14ac:dyDescent="0.25">
      <c r="C417" s="2" t="s">
        <v>7739</v>
      </c>
      <c r="D417" s="2" t="s">
        <v>178</v>
      </c>
      <c r="E417" s="2">
        <v>204</v>
      </c>
      <c r="F417" s="2">
        <v>4046.139</v>
      </c>
    </row>
    <row r="418" spans="3:6" x14ac:dyDescent="0.25">
      <c r="C418" s="2" t="s">
        <v>7740</v>
      </c>
      <c r="D418" s="2" t="s">
        <v>178</v>
      </c>
      <c r="E418" s="2">
        <v>141</v>
      </c>
      <c r="F418" s="2">
        <v>2871.999</v>
      </c>
    </row>
    <row r="419" spans="3:6" x14ac:dyDescent="0.25">
      <c r="C419" s="2" t="s">
        <v>7741</v>
      </c>
      <c r="D419" s="2" t="s">
        <v>178</v>
      </c>
      <c r="E419" s="2">
        <v>90</v>
      </c>
      <c r="F419" s="2">
        <v>416.201</v>
      </c>
    </row>
    <row r="420" spans="3:6" x14ac:dyDescent="0.25">
      <c r="C420" s="2" t="s">
        <v>7742</v>
      </c>
      <c r="D420" s="2" t="s">
        <v>178</v>
      </c>
      <c r="E420" s="2">
        <v>141</v>
      </c>
      <c r="F420" s="2">
        <v>2761.45</v>
      </c>
    </row>
    <row r="421" spans="3:6" x14ac:dyDescent="0.25">
      <c r="C421" s="2" t="s">
        <v>7743</v>
      </c>
      <c r="D421" s="2" t="s">
        <v>178</v>
      </c>
      <c r="E421" s="2">
        <v>142</v>
      </c>
      <c r="F421" s="2">
        <v>2949.17</v>
      </c>
    </row>
    <row r="422" spans="3:6" x14ac:dyDescent="0.25">
      <c r="C422" s="2" t="s">
        <v>7744</v>
      </c>
      <c r="D422" s="2" t="s">
        <v>178</v>
      </c>
      <c r="E422" s="2">
        <v>105</v>
      </c>
      <c r="F422" s="2">
        <v>439.479</v>
      </c>
    </row>
    <row r="423" spans="3:6" x14ac:dyDescent="0.25">
      <c r="C423" s="2" t="s">
        <v>7745</v>
      </c>
      <c r="D423" s="2" t="s">
        <v>178</v>
      </c>
      <c r="E423" s="2">
        <v>76</v>
      </c>
      <c r="F423" s="2">
        <v>1447.49</v>
      </c>
    </row>
    <row r="424" spans="3:6" x14ac:dyDescent="0.25">
      <c r="C424" s="2" t="s">
        <v>7746</v>
      </c>
      <c r="D424" s="2" t="s">
        <v>178</v>
      </c>
      <c r="E424" s="2">
        <v>66</v>
      </c>
      <c r="F424" s="2">
        <v>1069.6</v>
      </c>
    </row>
    <row r="425" spans="3:6" x14ac:dyDescent="0.25">
      <c r="C425" s="2" t="s">
        <v>7747</v>
      </c>
      <c r="D425" s="2" t="s">
        <v>178</v>
      </c>
      <c r="E425" s="2">
        <v>44</v>
      </c>
      <c r="F425" s="2">
        <v>862.77</v>
      </c>
    </row>
    <row r="426" spans="3:6" x14ac:dyDescent="0.25">
      <c r="C426" s="2" t="s">
        <v>7748</v>
      </c>
      <c r="D426" s="2" t="s">
        <v>178</v>
      </c>
      <c r="E426" s="2">
        <v>36</v>
      </c>
      <c r="F426" s="2">
        <v>668.26</v>
      </c>
    </row>
    <row r="427" spans="3:6" x14ac:dyDescent="0.25">
      <c r="C427" s="2" t="s">
        <v>7749</v>
      </c>
      <c r="D427" s="2" t="s">
        <v>178</v>
      </c>
      <c r="E427" s="2">
        <v>22</v>
      </c>
      <c r="F427" s="2">
        <v>442.83</v>
      </c>
    </row>
    <row r="428" spans="3:6" x14ac:dyDescent="0.25">
      <c r="C428" s="2" t="s">
        <v>7750</v>
      </c>
      <c r="D428" s="2" t="s">
        <v>178</v>
      </c>
      <c r="E428" s="2">
        <v>134</v>
      </c>
      <c r="F428" s="2">
        <v>2696.57</v>
      </c>
    </row>
    <row r="429" spans="3:6" x14ac:dyDescent="0.25">
      <c r="C429" s="2" t="s">
        <v>7751</v>
      </c>
      <c r="D429" s="2" t="s">
        <v>178</v>
      </c>
      <c r="E429" s="2">
        <v>102</v>
      </c>
      <c r="F429" s="2">
        <v>1956.04</v>
      </c>
    </row>
    <row r="430" spans="3:6" x14ac:dyDescent="0.25">
      <c r="C430" s="2" t="s">
        <v>7752</v>
      </c>
      <c r="D430" s="2" t="s">
        <v>178</v>
      </c>
      <c r="E430" s="2">
        <v>141</v>
      </c>
      <c r="F430" s="2">
        <v>2912.68</v>
      </c>
    </row>
    <row r="431" spans="3:6" x14ac:dyDescent="0.25">
      <c r="C431" s="2" t="s">
        <v>7753</v>
      </c>
      <c r="D431" s="2" t="s">
        <v>178</v>
      </c>
      <c r="E431" s="2">
        <v>141</v>
      </c>
      <c r="F431" s="2">
        <v>2964.63</v>
      </c>
    </row>
    <row r="432" spans="3:6" x14ac:dyDescent="0.25">
      <c r="C432" s="2" t="s">
        <v>7754</v>
      </c>
      <c r="D432" s="2" t="s">
        <v>178</v>
      </c>
      <c r="E432" s="2">
        <v>55</v>
      </c>
      <c r="F432" s="2">
        <v>1112.029</v>
      </c>
    </row>
    <row r="433" spans="3:6" x14ac:dyDescent="0.25">
      <c r="C433" s="2" t="s">
        <v>7755</v>
      </c>
      <c r="D433" s="2" t="s">
        <v>178</v>
      </c>
      <c r="E433" s="2">
        <v>86</v>
      </c>
      <c r="F433" s="2">
        <v>1733.36</v>
      </c>
    </row>
    <row r="434" spans="3:6" x14ac:dyDescent="0.25">
      <c r="C434" s="2" t="s">
        <v>7756</v>
      </c>
      <c r="D434" s="2" t="s">
        <v>178</v>
      </c>
      <c r="E434" s="2">
        <v>141</v>
      </c>
      <c r="F434" s="2">
        <v>2752.41</v>
      </c>
    </row>
    <row r="435" spans="3:6" x14ac:dyDescent="0.25">
      <c r="C435" s="2" t="s">
        <v>7757</v>
      </c>
      <c r="D435" s="2" t="s">
        <v>178</v>
      </c>
      <c r="E435" s="2">
        <v>53</v>
      </c>
      <c r="F435" s="2">
        <v>1036.589</v>
      </c>
    </row>
    <row r="436" spans="3:6" x14ac:dyDescent="0.25">
      <c r="C436" s="2" t="s">
        <v>7758</v>
      </c>
      <c r="D436" s="2" t="s">
        <v>178</v>
      </c>
      <c r="E436" s="2">
        <v>49</v>
      </c>
      <c r="F436" s="2">
        <v>978.75</v>
      </c>
    </row>
    <row r="437" spans="3:6" x14ac:dyDescent="0.25">
      <c r="C437" s="2" t="s">
        <v>7759</v>
      </c>
      <c r="D437" s="2" t="s">
        <v>178</v>
      </c>
      <c r="E437" s="2">
        <v>140</v>
      </c>
      <c r="F437" s="2">
        <v>2884.499</v>
      </c>
    </row>
    <row r="438" spans="3:6" x14ac:dyDescent="0.25">
      <c r="C438" s="2" t="s">
        <v>7760</v>
      </c>
      <c r="D438" s="2" t="s">
        <v>178</v>
      </c>
      <c r="E438" s="2">
        <v>243</v>
      </c>
      <c r="F438" s="2">
        <v>5039.78</v>
      </c>
    </row>
    <row r="439" spans="3:6" x14ac:dyDescent="0.25">
      <c r="C439" s="2" t="s">
        <v>7761</v>
      </c>
      <c r="D439" s="2" t="s">
        <v>178</v>
      </c>
      <c r="E439" s="2">
        <v>141</v>
      </c>
      <c r="F439" s="2">
        <v>2907.38</v>
      </c>
    </row>
    <row r="440" spans="3:6" x14ac:dyDescent="0.25">
      <c r="C440" s="2" t="s">
        <v>7762</v>
      </c>
      <c r="D440" s="2" t="s">
        <v>178</v>
      </c>
      <c r="E440" s="2">
        <v>141</v>
      </c>
      <c r="F440" s="2">
        <v>2941.24</v>
      </c>
    </row>
    <row r="441" spans="3:6" x14ac:dyDescent="0.25">
      <c r="C441" s="2" t="s">
        <v>7763</v>
      </c>
      <c r="D441" s="2" t="s">
        <v>178</v>
      </c>
      <c r="E441" s="2">
        <v>98</v>
      </c>
      <c r="F441" s="2">
        <v>1958.77</v>
      </c>
    </row>
    <row r="442" spans="3:6" x14ac:dyDescent="0.25">
      <c r="C442" s="2" t="s">
        <v>7764</v>
      </c>
      <c r="D442" s="2" t="s">
        <v>178</v>
      </c>
      <c r="E442" s="2">
        <v>43</v>
      </c>
      <c r="F442" s="2">
        <v>857.06</v>
      </c>
    </row>
    <row r="443" spans="3:6" x14ac:dyDescent="0.25">
      <c r="C443" s="2" t="s">
        <v>7765</v>
      </c>
      <c r="D443" s="2" t="s">
        <v>178</v>
      </c>
      <c r="E443" s="2">
        <v>9</v>
      </c>
      <c r="F443" s="2">
        <v>68.69</v>
      </c>
    </row>
    <row r="444" spans="3:6" x14ac:dyDescent="0.25">
      <c r="C444" s="2" t="s">
        <v>7766</v>
      </c>
      <c r="D444" s="2" t="s">
        <v>178</v>
      </c>
      <c r="E444" s="2">
        <v>33</v>
      </c>
      <c r="F444" s="2">
        <v>665.52</v>
      </c>
    </row>
    <row r="445" spans="3:6" x14ac:dyDescent="0.25">
      <c r="C445" s="2" t="s">
        <v>7767</v>
      </c>
      <c r="D445" s="2" t="s">
        <v>178</v>
      </c>
      <c r="E445" s="2">
        <v>33</v>
      </c>
      <c r="F445" s="2">
        <v>631.9</v>
      </c>
    </row>
    <row r="446" spans="3:6" x14ac:dyDescent="0.25">
      <c r="C446" s="2" t="s">
        <v>7768</v>
      </c>
      <c r="D446" s="2" t="s">
        <v>178</v>
      </c>
      <c r="E446" s="2">
        <v>141</v>
      </c>
      <c r="F446" s="2">
        <v>2909.58</v>
      </c>
    </row>
    <row r="447" spans="3:6" x14ac:dyDescent="0.25">
      <c r="C447" s="2" t="s">
        <v>7769</v>
      </c>
      <c r="D447" s="2" t="s">
        <v>178</v>
      </c>
      <c r="E447" s="2">
        <v>82</v>
      </c>
      <c r="F447" s="2">
        <v>1623.2</v>
      </c>
    </row>
    <row r="448" spans="3:6" x14ac:dyDescent="0.25">
      <c r="C448" s="2" t="s">
        <v>7770</v>
      </c>
      <c r="D448" s="2" t="s">
        <v>178</v>
      </c>
      <c r="E448" s="2">
        <v>60</v>
      </c>
      <c r="F448" s="2">
        <v>1211.56</v>
      </c>
    </row>
    <row r="449" spans="3:6" x14ac:dyDescent="0.25">
      <c r="C449" s="2" t="s">
        <v>7771</v>
      </c>
      <c r="D449" s="2" t="s">
        <v>178</v>
      </c>
      <c r="E449" s="2">
        <v>79</v>
      </c>
      <c r="F449" s="2">
        <v>1601.449</v>
      </c>
    </row>
    <row r="450" spans="3:6" x14ac:dyDescent="0.25">
      <c r="C450" s="2" t="s">
        <v>7772</v>
      </c>
      <c r="D450" s="2" t="s">
        <v>178</v>
      </c>
      <c r="E450" s="2">
        <v>45</v>
      </c>
      <c r="F450" s="2">
        <v>797.49</v>
      </c>
    </row>
    <row r="451" spans="3:6" x14ac:dyDescent="0.25">
      <c r="C451" s="2" t="s">
        <v>7773</v>
      </c>
      <c r="D451" s="2" t="s">
        <v>178</v>
      </c>
      <c r="E451" s="2">
        <v>17</v>
      </c>
      <c r="F451" s="2">
        <v>316.41</v>
      </c>
    </row>
    <row r="452" spans="3:6" x14ac:dyDescent="0.25">
      <c r="C452" s="2" t="s">
        <v>7774</v>
      </c>
      <c r="D452" s="2" t="s">
        <v>178</v>
      </c>
      <c r="E452" s="2">
        <v>22</v>
      </c>
      <c r="F452" s="2">
        <v>453.4</v>
      </c>
    </row>
    <row r="453" spans="3:6" x14ac:dyDescent="0.25">
      <c r="C453" s="2" t="s">
        <v>7775</v>
      </c>
      <c r="D453" s="2" t="s">
        <v>178</v>
      </c>
      <c r="E453" s="2">
        <v>75</v>
      </c>
      <c r="F453" s="2">
        <v>1537.26</v>
      </c>
    </row>
    <row r="454" spans="3:6" x14ac:dyDescent="0.25">
      <c r="C454" s="2" t="s">
        <v>7776</v>
      </c>
      <c r="D454" s="2" t="s">
        <v>178</v>
      </c>
      <c r="E454" s="2">
        <v>36</v>
      </c>
      <c r="F454" s="2">
        <v>671.97</v>
      </c>
    </row>
    <row r="455" spans="3:6" x14ac:dyDescent="0.25">
      <c r="C455" s="2" t="s">
        <v>7777</v>
      </c>
      <c r="D455" s="2" t="s">
        <v>178</v>
      </c>
      <c r="E455" s="2">
        <v>8</v>
      </c>
      <c r="F455" s="2">
        <v>172.89</v>
      </c>
    </row>
    <row r="457" spans="1:7" x14ac:dyDescent="0.25">
      <c r="A457" s="1">
        <v>46146</v>
      </c>
      <c r="B457" s="2" t="s">
        <v>7</v>
      </c>
      <c r="C457" s="2" t="s">
        <v>7778</v>
      </c>
      <c r="D457" s="2" t="s">
        <v>9</v>
      </c>
      <c r="E457" s="2">
        <v>137</v>
      </c>
      <c r="F457" s="2">
        <v>2785.029</v>
      </c>
      <c r="G457" s="1">
        <v>46146</v>
      </c>
    </row>
    <row r="458" spans="3:6" x14ac:dyDescent="0.25">
      <c r="C458" s="2" t="s">
        <v>7779</v>
      </c>
      <c r="D458" s="2" t="s">
        <v>9</v>
      </c>
      <c r="E458" s="2">
        <v>50</v>
      </c>
      <c r="F458" s="2">
        <v>557.49</v>
      </c>
    </row>
    <row r="460" spans="1:7" x14ac:dyDescent="0.25">
      <c r="A460" s="1">
        <v>46146</v>
      </c>
      <c r="B460" s="2" t="s">
        <v>1626</v>
      </c>
      <c r="C460" s="2" t="s">
        <v>7780</v>
      </c>
      <c r="D460" s="2" t="s">
        <v>59</v>
      </c>
      <c r="E460" s="2">
        <v>149</v>
      </c>
      <c r="F460" s="2">
        <v>2772.86</v>
      </c>
      <c r="G460" s="1">
        <v>46145</v>
      </c>
    </row>
    <row r="461" spans="3:6" x14ac:dyDescent="0.25">
      <c r="C461" s="2" t="s">
        <v>7781</v>
      </c>
      <c r="D461" s="2" t="s">
        <v>59</v>
      </c>
      <c r="E461" s="2">
        <v>250</v>
      </c>
      <c r="F461" s="2">
        <v>5082.343</v>
      </c>
    </row>
    <row r="462" spans="3:6" x14ac:dyDescent="0.25">
      <c r="C462" s="2" t="s">
        <v>7782</v>
      </c>
      <c r="D462" s="2" t="s">
        <v>59</v>
      </c>
      <c r="E462" s="2">
        <v>289</v>
      </c>
      <c r="F462" s="2">
        <v>4920.809</v>
      </c>
    </row>
    <row r="463" spans="3:6" x14ac:dyDescent="0.25">
      <c r="C463" s="2" t="s">
        <v>7783</v>
      </c>
      <c r="D463" s="2" t="s">
        <v>59</v>
      </c>
      <c r="E463" s="2">
        <v>251</v>
      </c>
      <c r="F463" s="2">
        <v>4825.368</v>
      </c>
    </row>
    <row r="464" spans="3:6" x14ac:dyDescent="0.25">
      <c r="C464" s="2" t="s">
        <v>7784</v>
      </c>
      <c r="D464" s="2" t="s">
        <v>59</v>
      </c>
      <c r="E464" s="2">
        <v>149</v>
      </c>
      <c r="F464" s="2">
        <v>2794.21</v>
      </c>
    </row>
    <row r="465" spans="3:6" x14ac:dyDescent="0.25">
      <c r="C465" s="2" t="s">
        <v>7785</v>
      </c>
      <c r="D465" s="2" t="s">
        <v>59</v>
      </c>
      <c r="E465" s="2">
        <v>102</v>
      </c>
      <c r="F465" s="2">
        <v>2067.43</v>
      </c>
    </row>
    <row r="466" spans="3:6" x14ac:dyDescent="0.25">
      <c r="C466" s="2" t="s">
        <v>7786</v>
      </c>
      <c r="D466" s="2" t="s">
        <v>59</v>
      </c>
      <c r="E466" s="2">
        <v>251</v>
      </c>
      <c r="F466" s="2">
        <v>4820.639</v>
      </c>
    </row>
    <row r="468" spans="1:7" x14ac:dyDescent="0.25">
      <c r="A468" s="1">
        <v>46146</v>
      </c>
      <c r="B468" s="2" t="s">
        <v>68</v>
      </c>
      <c r="C468" s="2" t="s">
        <v>7787</v>
      </c>
      <c r="D468" s="2" t="s">
        <v>7788</v>
      </c>
      <c r="E468" s="2">
        <v>154</v>
      </c>
      <c r="F468" s="2">
        <v>2966</v>
      </c>
      <c r="G468" s="1">
        <v>46145</v>
      </c>
    </row>
    <row r="470" spans="1:7" x14ac:dyDescent="0.25">
      <c r="A470" s="1">
        <v>46147</v>
      </c>
      <c r="B470" s="2" t="s">
        <v>1400</v>
      </c>
      <c r="C470" s="2" t="s">
        <v>7789</v>
      </c>
      <c r="D470" s="2" t="s">
        <v>82</v>
      </c>
      <c r="E470" s="2">
        <v>30</v>
      </c>
      <c r="F470" s="2">
        <v>615.88</v>
      </c>
      <c r="G470" s="1">
        <v>46146</v>
      </c>
    </row>
    <row r="471" spans="3:6" x14ac:dyDescent="0.25">
      <c r="C471" s="2" t="s">
        <v>7790</v>
      </c>
      <c r="D471" s="2" t="s">
        <v>82</v>
      </c>
      <c r="E471" s="2">
        <v>91</v>
      </c>
      <c r="F471" s="2">
        <v>1914.03</v>
      </c>
    </row>
    <row r="472" spans="3:6" x14ac:dyDescent="0.25">
      <c r="C472" s="2" t="s">
        <v>7791</v>
      </c>
      <c r="D472" s="2" t="s">
        <v>82</v>
      </c>
      <c r="E472" s="2">
        <v>47</v>
      </c>
      <c r="F472" s="2">
        <v>948.35</v>
      </c>
    </row>
    <row r="473" spans="3:6" x14ac:dyDescent="0.25">
      <c r="C473" s="2" t="s">
        <v>7792</v>
      </c>
      <c r="D473" s="2" t="s">
        <v>82</v>
      </c>
      <c r="E473" s="2">
        <v>74</v>
      </c>
      <c r="F473" s="2">
        <v>1503.9</v>
      </c>
    </row>
    <row r="474" spans="3:6" x14ac:dyDescent="0.25">
      <c r="C474" s="2" t="s">
        <v>7793</v>
      </c>
      <c r="D474" s="2" t="s">
        <v>82</v>
      </c>
      <c r="E474" s="2">
        <v>141</v>
      </c>
      <c r="F474" s="2">
        <v>3046.97</v>
      </c>
    </row>
    <row r="475" spans="3:6" x14ac:dyDescent="0.25">
      <c r="C475" s="2" t="s">
        <v>7794</v>
      </c>
      <c r="D475" s="2" t="s">
        <v>82</v>
      </c>
      <c r="E475" s="2">
        <v>142</v>
      </c>
      <c r="F475" s="2">
        <v>2871.42</v>
      </c>
    </row>
    <row r="476" spans="3:6" x14ac:dyDescent="0.25">
      <c r="C476" s="2" t="s">
        <v>7795</v>
      </c>
      <c r="D476" s="2" t="s">
        <v>82</v>
      </c>
      <c r="E476" s="2">
        <v>52</v>
      </c>
      <c r="F476" s="2">
        <v>1041.61</v>
      </c>
    </row>
    <row r="477" spans="3:6" x14ac:dyDescent="0.25">
      <c r="C477" s="2" t="s">
        <v>7796</v>
      </c>
      <c r="D477" s="2" t="s">
        <v>82</v>
      </c>
      <c r="E477" s="2">
        <v>89</v>
      </c>
      <c r="F477" s="2">
        <v>1773.47</v>
      </c>
    </row>
    <row r="478" spans="3:6" x14ac:dyDescent="0.25">
      <c r="C478" s="2" t="s">
        <v>7797</v>
      </c>
      <c r="D478" s="2" t="s">
        <v>82</v>
      </c>
      <c r="E478" s="2">
        <v>141</v>
      </c>
      <c r="F478" s="2">
        <v>3002.61</v>
      </c>
    </row>
    <row r="479" spans="3:6" x14ac:dyDescent="0.25">
      <c r="C479" s="2" t="s">
        <v>7798</v>
      </c>
      <c r="D479" s="2" t="s">
        <v>82</v>
      </c>
      <c r="E479" s="2">
        <v>141</v>
      </c>
      <c r="F479" s="2">
        <v>2899.34</v>
      </c>
    </row>
    <row r="480" spans="3:6" x14ac:dyDescent="0.25">
      <c r="C480" s="2" t="s">
        <v>7799</v>
      </c>
      <c r="D480" s="2" t="s">
        <v>82</v>
      </c>
      <c r="E480" s="2">
        <v>141</v>
      </c>
      <c r="F480" s="2">
        <v>2879.439</v>
      </c>
    </row>
    <row r="481" spans="3:6" x14ac:dyDescent="0.25">
      <c r="C481" s="2" t="s">
        <v>7800</v>
      </c>
      <c r="D481" s="2" t="s">
        <v>82</v>
      </c>
      <c r="E481" s="2">
        <v>141</v>
      </c>
      <c r="F481" s="2">
        <v>2901.94</v>
      </c>
    </row>
    <row r="482" spans="3:6" x14ac:dyDescent="0.25">
      <c r="C482" s="2" t="s">
        <v>7801</v>
      </c>
      <c r="D482" s="2" t="s">
        <v>82</v>
      </c>
      <c r="E482" s="2">
        <v>33</v>
      </c>
      <c r="F482" s="2">
        <v>662.45</v>
      </c>
    </row>
    <row r="483" spans="3:6" x14ac:dyDescent="0.25">
      <c r="C483" s="2" t="s">
        <v>7802</v>
      </c>
      <c r="D483" s="2" t="s">
        <v>82</v>
      </c>
      <c r="E483" s="2">
        <v>51</v>
      </c>
      <c r="F483" s="2">
        <v>1093.14</v>
      </c>
    </row>
    <row r="484" spans="3:6" x14ac:dyDescent="0.25">
      <c r="C484" s="2" t="s">
        <v>7803</v>
      </c>
      <c r="D484" s="2" t="s">
        <v>82</v>
      </c>
      <c r="E484" s="2">
        <v>57</v>
      </c>
      <c r="F484" s="2">
        <v>1191.59</v>
      </c>
    </row>
    <row r="485" spans="3:6" x14ac:dyDescent="0.25">
      <c r="C485" s="2" t="s">
        <v>7804</v>
      </c>
      <c r="D485" s="2" t="s">
        <v>82</v>
      </c>
      <c r="E485" s="2">
        <v>100</v>
      </c>
      <c r="F485" s="2">
        <v>2029.299</v>
      </c>
    </row>
    <row r="486" spans="3:6" x14ac:dyDescent="0.25">
      <c r="C486" s="2" t="s">
        <v>7805</v>
      </c>
      <c r="D486" s="2" t="s">
        <v>82</v>
      </c>
      <c r="E486" s="2">
        <v>70</v>
      </c>
      <c r="F486" s="2">
        <v>1448.73</v>
      </c>
    </row>
    <row r="487" spans="3:6" x14ac:dyDescent="0.25">
      <c r="C487" s="2" t="s">
        <v>7806</v>
      </c>
      <c r="D487" s="2" t="s">
        <v>82</v>
      </c>
      <c r="E487" s="2">
        <v>30</v>
      </c>
      <c r="F487" s="2">
        <v>603.28</v>
      </c>
    </row>
    <row r="488" spans="3:6" x14ac:dyDescent="0.25">
      <c r="C488" s="2" t="s">
        <v>7807</v>
      </c>
      <c r="D488" s="2" t="s">
        <v>82</v>
      </c>
      <c r="E488" s="2">
        <v>80</v>
      </c>
      <c r="F488" s="2">
        <v>1674.05</v>
      </c>
    </row>
    <row r="489" spans="3:6" x14ac:dyDescent="0.25">
      <c r="C489" s="2" t="s">
        <v>7808</v>
      </c>
      <c r="D489" s="2" t="s">
        <v>82</v>
      </c>
      <c r="E489" s="2">
        <v>11</v>
      </c>
      <c r="F489" s="2">
        <v>200.6</v>
      </c>
    </row>
    <row r="490" spans="3:6" x14ac:dyDescent="0.25">
      <c r="C490" s="2" t="s">
        <v>7809</v>
      </c>
      <c r="D490" s="2" t="s">
        <v>82</v>
      </c>
      <c r="E490" s="2">
        <v>30</v>
      </c>
      <c r="F490" s="2">
        <v>578.43</v>
      </c>
    </row>
    <row r="491" spans="3:6" x14ac:dyDescent="0.25">
      <c r="C491" s="2" t="s">
        <v>7810</v>
      </c>
      <c r="D491" s="2" t="s">
        <v>82</v>
      </c>
      <c r="E491" s="2">
        <v>20</v>
      </c>
      <c r="F491" s="2">
        <v>379.95</v>
      </c>
    </row>
    <row r="492" spans="3:6" x14ac:dyDescent="0.25">
      <c r="C492" s="2" t="s">
        <v>7811</v>
      </c>
      <c r="D492" s="2" t="s">
        <v>82</v>
      </c>
      <c r="E492" s="2">
        <v>28</v>
      </c>
      <c r="F492" s="2">
        <v>577.06</v>
      </c>
    </row>
    <row r="493" spans="3:6" x14ac:dyDescent="0.25">
      <c r="C493" s="2" t="s">
        <v>7812</v>
      </c>
      <c r="D493" s="2" t="s">
        <v>82</v>
      </c>
      <c r="E493" s="2">
        <v>42</v>
      </c>
      <c r="F493" s="2">
        <v>852.08</v>
      </c>
    </row>
    <row r="494" spans="3:6" x14ac:dyDescent="0.25">
      <c r="C494" s="2" t="s">
        <v>7813</v>
      </c>
      <c r="D494" s="2" t="s">
        <v>82</v>
      </c>
      <c r="E494" s="2">
        <v>30</v>
      </c>
      <c r="F494" s="2">
        <v>615.8</v>
      </c>
    </row>
    <row r="495" spans="3:6" x14ac:dyDescent="0.25">
      <c r="C495" s="2" t="s">
        <v>7814</v>
      </c>
      <c r="D495" s="2" t="s">
        <v>82</v>
      </c>
      <c r="E495" s="2">
        <v>100</v>
      </c>
      <c r="F495" s="2">
        <v>2019.14</v>
      </c>
    </row>
    <row r="496" spans="3:6" x14ac:dyDescent="0.25">
      <c r="C496" s="2" t="s">
        <v>7815</v>
      </c>
      <c r="D496" s="2" t="s">
        <v>82</v>
      </c>
      <c r="E496" s="2">
        <v>20</v>
      </c>
      <c r="F496" s="2">
        <v>415.05</v>
      </c>
    </row>
    <row r="497" spans="3:6" x14ac:dyDescent="0.25">
      <c r="C497" s="2" t="s">
        <v>7816</v>
      </c>
      <c r="D497" s="2" t="s">
        <v>82</v>
      </c>
      <c r="E497" s="2">
        <v>80</v>
      </c>
      <c r="F497" s="2">
        <v>1586.805</v>
      </c>
    </row>
    <row r="499" spans="1:7" x14ac:dyDescent="0.25">
      <c r="A499" s="1">
        <v>46147</v>
      </c>
      <c r="B499" s="2" t="s">
        <v>1012</v>
      </c>
      <c r="C499" s="2" t="s">
        <v>7817</v>
      </c>
      <c r="D499" s="2" t="s">
        <v>73</v>
      </c>
      <c r="E499" s="2">
        <v>27</v>
      </c>
      <c r="F499" s="2">
        <v>451.5</v>
      </c>
      <c r="G499" s="1">
        <v>46145</v>
      </c>
    </row>
    <row r="500" spans="3:6" x14ac:dyDescent="0.25">
      <c r="C500" s="2" t="s">
        <v>7818</v>
      </c>
      <c r="D500" s="2" t="s">
        <v>73</v>
      </c>
      <c r="E500" s="2">
        <v>9</v>
      </c>
      <c r="F500" s="2">
        <v>235.97</v>
      </c>
    </row>
    <row r="501" spans="3:6" x14ac:dyDescent="0.25">
      <c r="C501" s="2" t="s">
        <v>7819</v>
      </c>
      <c r="D501" s="2" t="s">
        <v>73</v>
      </c>
      <c r="E501" s="2">
        <v>49</v>
      </c>
      <c r="F501" s="2">
        <v>854.17</v>
      </c>
    </row>
    <row r="502" spans="3:6" x14ac:dyDescent="0.25">
      <c r="C502" s="2" t="s">
        <v>7820</v>
      </c>
      <c r="D502" s="2" t="s">
        <v>73</v>
      </c>
      <c r="E502" s="2">
        <v>93</v>
      </c>
      <c r="F502" s="2">
        <v>1844.079</v>
      </c>
    </row>
    <row r="503" spans="3:6" x14ac:dyDescent="0.25">
      <c r="C503" s="2" t="s">
        <v>7821</v>
      </c>
      <c r="D503" s="2" t="s">
        <v>73</v>
      </c>
      <c r="E503" s="2">
        <v>90</v>
      </c>
      <c r="F503" s="2">
        <v>1832.4</v>
      </c>
    </row>
    <row r="504" spans="3:6" x14ac:dyDescent="0.25">
      <c r="C504" s="2" t="s">
        <v>7822</v>
      </c>
      <c r="D504" s="2" t="s">
        <v>73</v>
      </c>
      <c r="E504" s="2" t="s">
        <v>4167</v>
      </c>
      <c r="F504" s="2" t="s">
        <v>4167</v>
      </c>
    </row>
    <row r="506" spans="1:7" x14ac:dyDescent="0.25">
      <c r="A506" s="1">
        <v>46147</v>
      </c>
      <c r="B506" s="2" t="s">
        <v>7</v>
      </c>
      <c r="C506" s="2" t="s">
        <v>7823</v>
      </c>
      <c r="D506" s="2" t="s">
        <v>9</v>
      </c>
      <c r="E506" s="2">
        <v>99</v>
      </c>
      <c r="F506" s="2">
        <v>1839.61</v>
      </c>
      <c r="G506" s="1">
        <v>46147</v>
      </c>
    </row>
    <row r="507" spans="3:6" x14ac:dyDescent="0.25">
      <c r="C507" s="2" t="s">
        <v>7824</v>
      </c>
      <c r="D507" s="2" t="s">
        <v>9</v>
      </c>
      <c r="E507" s="2">
        <v>99</v>
      </c>
      <c r="F507" s="2">
        <v>1836.55</v>
      </c>
    </row>
    <row r="509" spans="1:7" x14ac:dyDescent="0.25">
      <c r="A509" s="1">
        <v>46147</v>
      </c>
      <c r="B509" s="2" t="s">
        <v>290</v>
      </c>
      <c r="C509" s="2" t="s">
        <v>7825</v>
      </c>
      <c r="D509" s="2" t="s">
        <v>292</v>
      </c>
      <c r="E509" s="2">
        <v>141</v>
      </c>
      <c r="F509" s="2">
        <v>2872.347</v>
      </c>
      <c r="G509" s="1">
        <v>46148</v>
      </c>
    </row>
    <row r="510" spans="3:6" x14ac:dyDescent="0.25">
      <c r="C510" s="2" t="s">
        <v>7826</v>
      </c>
      <c r="D510" s="2" t="s">
        <v>292</v>
      </c>
      <c r="E510" s="2">
        <v>141</v>
      </c>
      <c r="F510" s="2">
        <v>2824.339</v>
      </c>
    </row>
    <row r="511" spans="3:6" x14ac:dyDescent="0.25">
      <c r="C511" s="2" t="s">
        <v>7827</v>
      </c>
      <c r="D511" s="2" t="s">
        <v>292</v>
      </c>
      <c r="E511" s="2">
        <v>81</v>
      </c>
      <c r="F511" s="2">
        <v>1607.831</v>
      </c>
    </row>
    <row r="512" spans="3:6" x14ac:dyDescent="0.25">
      <c r="C512" s="2" t="s">
        <v>7828</v>
      </c>
      <c r="D512" s="2" t="s">
        <v>292</v>
      </c>
      <c r="E512" s="2">
        <v>82</v>
      </c>
      <c r="F512" s="2">
        <v>1658.11</v>
      </c>
    </row>
    <row r="513" spans="3:6" x14ac:dyDescent="0.25">
      <c r="C513" s="2" t="s">
        <v>7829</v>
      </c>
      <c r="D513" s="2" t="s">
        <v>292</v>
      </c>
      <c r="E513" s="2">
        <v>116</v>
      </c>
      <c r="F513" s="2">
        <v>2085.184</v>
      </c>
    </row>
    <row r="514" spans="3:6" x14ac:dyDescent="0.25">
      <c r="C514" s="2" t="s">
        <v>7830</v>
      </c>
      <c r="D514" s="2" t="s">
        <v>292</v>
      </c>
      <c r="E514" s="2">
        <v>100</v>
      </c>
      <c r="F514" s="2">
        <v>1986.58</v>
      </c>
    </row>
    <row r="515" spans="3:6" x14ac:dyDescent="0.25">
      <c r="C515" s="2" t="s">
        <v>7831</v>
      </c>
      <c r="D515" s="2" t="s">
        <v>292</v>
      </c>
      <c r="E515" s="2">
        <v>69</v>
      </c>
      <c r="F515" s="2">
        <v>1196.216</v>
      </c>
    </row>
    <row r="516" spans="3:6" x14ac:dyDescent="0.25">
      <c r="C516" s="2" t="s">
        <v>7832</v>
      </c>
      <c r="D516" s="2" t="s">
        <v>292</v>
      </c>
      <c r="E516" s="2">
        <v>141</v>
      </c>
      <c r="F516" s="2">
        <v>3247.39</v>
      </c>
    </row>
    <row r="517" spans="3:6" x14ac:dyDescent="0.25">
      <c r="C517" s="2" t="s">
        <v>7833</v>
      </c>
      <c r="D517" s="2" t="s">
        <v>292</v>
      </c>
      <c r="E517" s="2">
        <v>141</v>
      </c>
      <c r="F517" s="2">
        <v>2833.137</v>
      </c>
    </row>
    <row r="518" spans="3:6" x14ac:dyDescent="0.25">
      <c r="C518" s="2" t="s">
        <v>7834</v>
      </c>
      <c r="D518" s="2" t="s">
        <v>292</v>
      </c>
      <c r="E518" s="2">
        <v>123</v>
      </c>
      <c r="F518" s="2">
        <v>2549.177</v>
      </c>
    </row>
    <row r="519" spans="3:6" x14ac:dyDescent="0.25">
      <c r="C519" s="2" t="s">
        <v>7835</v>
      </c>
      <c r="D519" s="2" t="s">
        <v>292</v>
      </c>
      <c r="E519" s="2">
        <v>75</v>
      </c>
      <c r="F519" s="2">
        <v>404.18</v>
      </c>
    </row>
    <row r="520" spans="3:6" x14ac:dyDescent="0.25">
      <c r="C520" s="2" t="s">
        <v>7836</v>
      </c>
      <c r="D520" s="2" t="s">
        <v>292</v>
      </c>
      <c r="E520" s="2">
        <v>20</v>
      </c>
      <c r="F520" s="2">
        <v>103.05</v>
      </c>
    </row>
    <row r="521" spans="3:6" x14ac:dyDescent="0.25">
      <c r="C521" s="2" t="s">
        <v>7837</v>
      </c>
      <c r="D521" s="2" t="s">
        <v>292</v>
      </c>
      <c r="E521" s="2">
        <v>123</v>
      </c>
      <c r="F521" s="2">
        <v>2488.884</v>
      </c>
    </row>
    <row r="522" spans="3:6" x14ac:dyDescent="0.25">
      <c r="C522" s="2" t="s">
        <v>7838</v>
      </c>
      <c r="D522" s="2" t="s">
        <v>292</v>
      </c>
      <c r="E522" s="2">
        <v>123</v>
      </c>
      <c r="F522" s="2">
        <v>2527.93</v>
      </c>
    </row>
    <row r="523" spans="3:6" x14ac:dyDescent="0.25">
      <c r="C523" s="2" t="s">
        <v>7839</v>
      </c>
      <c r="D523" s="2" t="s">
        <v>292</v>
      </c>
      <c r="E523" s="2">
        <v>10</v>
      </c>
      <c r="F523" s="2">
        <v>225.2</v>
      </c>
    </row>
    <row r="524" spans="3:6" x14ac:dyDescent="0.25">
      <c r="C524" s="2" t="s">
        <v>7840</v>
      </c>
      <c r="D524" s="2" t="s">
        <v>292</v>
      </c>
      <c r="E524" s="2">
        <v>65</v>
      </c>
      <c r="F524" s="2">
        <v>1415.72</v>
      </c>
    </row>
    <row r="525" spans="3:6" x14ac:dyDescent="0.25">
      <c r="C525" s="2" t="s">
        <v>7841</v>
      </c>
      <c r="D525" s="2" t="s">
        <v>292</v>
      </c>
      <c r="E525" s="2">
        <v>31</v>
      </c>
      <c r="F525" s="2">
        <v>633.08</v>
      </c>
    </row>
    <row r="526" spans="3:6" x14ac:dyDescent="0.25">
      <c r="C526" s="2" t="s">
        <v>7842</v>
      </c>
      <c r="D526" s="2" t="s">
        <v>292</v>
      </c>
      <c r="E526" s="2">
        <v>54</v>
      </c>
      <c r="F526" s="2">
        <v>1111.15</v>
      </c>
    </row>
    <row r="527" spans="3:6" x14ac:dyDescent="0.25">
      <c r="C527" s="2" t="s">
        <v>7843</v>
      </c>
      <c r="D527" s="2" t="s">
        <v>292</v>
      </c>
      <c r="E527" s="2">
        <v>23</v>
      </c>
      <c r="F527" s="2">
        <v>432.66</v>
      </c>
    </row>
    <row r="528" spans="3:6" x14ac:dyDescent="0.25">
      <c r="C528" s="2" t="s">
        <v>7844</v>
      </c>
      <c r="D528" s="2" t="s">
        <v>292</v>
      </c>
      <c r="E528" s="2">
        <v>23</v>
      </c>
      <c r="F528" s="2">
        <v>438.18</v>
      </c>
    </row>
    <row r="529" spans="3:6" x14ac:dyDescent="0.25">
      <c r="C529" s="2" t="s">
        <v>7845</v>
      </c>
      <c r="D529" s="2" t="s">
        <v>292</v>
      </c>
      <c r="E529" s="2">
        <v>15</v>
      </c>
      <c r="F529" s="2">
        <v>229.22</v>
      </c>
    </row>
    <row r="530" spans="3:6" x14ac:dyDescent="0.25">
      <c r="C530" s="2" t="s">
        <v>7846</v>
      </c>
      <c r="D530" s="2" t="s">
        <v>292</v>
      </c>
      <c r="E530" s="2">
        <v>12</v>
      </c>
      <c r="F530" s="2">
        <v>182.439</v>
      </c>
    </row>
    <row r="531" spans="3:6" x14ac:dyDescent="0.25">
      <c r="C531" s="2" t="s">
        <v>7847</v>
      </c>
      <c r="D531" s="2" t="s">
        <v>292</v>
      </c>
      <c r="E531" s="2">
        <v>101</v>
      </c>
      <c r="F531" s="2">
        <v>1983.712</v>
      </c>
    </row>
    <row r="532" spans="3:6" x14ac:dyDescent="0.25">
      <c r="C532" s="2" t="s">
        <v>7848</v>
      </c>
      <c r="D532" s="2" t="s">
        <v>292</v>
      </c>
      <c r="E532" s="2">
        <v>21</v>
      </c>
      <c r="F532" s="2">
        <v>354.24</v>
      </c>
    </row>
    <row r="533" spans="3:6" x14ac:dyDescent="0.25">
      <c r="C533" s="2" t="s">
        <v>7849</v>
      </c>
      <c r="D533" s="2" t="s">
        <v>292</v>
      </c>
      <c r="E533" s="2">
        <v>141</v>
      </c>
      <c r="F533" s="2">
        <v>2791.58</v>
      </c>
    </row>
    <row r="534" spans="3:6" x14ac:dyDescent="0.25">
      <c r="C534" s="2" t="s">
        <v>7850</v>
      </c>
      <c r="D534" s="2" t="s">
        <v>292</v>
      </c>
      <c r="E534" s="2">
        <v>69</v>
      </c>
      <c r="F534" s="2">
        <v>988.936</v>
      </c>
    </row>
    <row r="535" spans="3:6" x14ac:dyDescent="0.25">
      <c r="C535" s="2" t="s">
        <v>7851</v>
      </c>
      <c r="D535" s="2" t="s">
        <v>292</v>
      </c>
      <c r="E535" s="2">
        <v>48</v>
      </c>
      <c r="F535" s="2">
        <v>967.58</v>
      </c>
    </row>
    <row r="536" spans="3:6" x14ac:dyDescent="0.25">
      <c r="C536" s="2" t="s">
        <v>7852</v>
      </c>
      <c r="D536" s="2" t="s">
        <v>292</v>
      </c>
      <c r="E536" s="2">
        <v>75</v>
      </c>
      <c r="F536" s="2">
        <v>375.83</v>
      </c>
    </row>
    <row r="537" spans="3:6" x14ac:dyDescent="0.25">
      <c r="C537" s="2" t="s">
        <v>7853</v>
      </c>
      <c r="D537" s="2" t="s">
        <v>292</v>
      </c>
      <c r="E537" s="2">
        <v>141</v>
      </c>
      <c r="F537" s="2">
        <v>2917.36</v>
      </c>
    </row>
    <row r="538" spans="3:6" x14ac:dyDescent="0.25">
      <c r="C538" s="2" t="s">
        <v>7854</v>
      </c>
      <c r="D538" s="2" t="s">
        <v>292</v>
      </c>
      <c r="E538" s="2">
        <v>59</v>
      </c>
      <c r="F538" s="2">
        <v>1106.498</v>
      </c>
    </row>
    <row r="539" spans="3:6" x14ac:dyDescent="0.25">
      <c r="C539" s="2" t="s">
        <v>7855</v>
      </c>
      <c r="D539" s="2" t="s">
        <v>292</v>
      </c>
      <c r="E539" s="2">
        <v>46</v>
      </c>
      <c r="F539" s="2">
        <v>955</v>
      </c>
    </row>
    <row r="540" spans="3:6" x14ac:dyDescent="0.25">
      <c r="C540" s="2" t="s">
        <v>7856</v>
      </c>
      <c r="D540" s="2" t="s">
        <v>292</v>
      </c>
      <c r="E540" s="2">
        <v>18</v>
      </c>
      <c r="F540" s="2">
        <v>370.77</v>
      </c>
    </row>
    <row r="541" spans="3:6" x14ac:dyDescent="0.25">
      <c r="C541" s="2" t="s">
        <v>7857</v>
      </c>
      <c r="D541" s="2" t="s">
        <v>292</v>
      </c>
      <c r="E541" s="2">
        <v>39</v>
      </c>
      <c r="F541" s="2">
        <v>809.35</v>
      </c>
    </row>
    <row r="542" spans="3:6" x14ac:dyDescent="0.25">
      <c r="C542" s="2" t="s">
        <v>7858</v>
      </c>
      <c r="D542" s="2" t="s">
        <v>292</v>
      </c>
      <c r="E542" s="2">
        <v>24</v>
      </c>
      <c r="F542" s="2">
        <v>505.05</v>
      </c>
    </row>
    <row r="543" spans="3:6" x14ac:dyDescent="0.25">
      <c r="C543" s="2" t="s">
        <v>7859</v>
      </c>
      <c r="D543" s="2" t="s">
        <v>292</v>
      </c>
      <c r="E543" s="2">
        <v>109</v>
      </c>
      <c r="F543" s="2">
        <v>2152.78</v>
      </c>
    </row>
    <row r="544" spans="3:6" x14ac:dyDescent="0.25">
      <c r="C544" s="2" t="s">
        <v>7860</v>
      </c>
      <c r="D544" s="2" t="s">
        <v>292</v>
      </c>
      <c r="E544" s="2">
        <v>84</v>
      </c>
      <c r="F544" s="2">
        <v>1680.08</v>
      </c>
    </row>
    <row r="545" spans="3:6" x14ac:dyDescent="0.25">
      <c r="C545" s="2" t="s">
        <v>7861</v>
      </c>
      <c r="D545" s="2" t="s">
        <v>292</v>
      </c>
      <c r="E545" s="2">
        <v>18</v>
      </c>
      <c r="F545" s="2">
        <v>296.32</v>
      </c>
    </row>
    <row r="546" spans="3:6" x14ac:dyDescent="0.25">
      <c r="C546" s="2" t="s">
        <v>7862</v>
      </c>
      <c r="D546" s="2" t="s">
        <v>292</v>
      </c>
      <c r="E546" s="2">
        <v>8</v>
      </c>
      <c r="F546" s="2">
        <v>141.129</v>
      </c>
    </row>
    <row r="547" spans="3:6" x14ac:dyDescent="0.25">
      <c r="C547" s="2" t="s">
        <v>7863</v>
      </c>
      <c r="D547" s="2" t="s">
        <v>292</v>
      </c>
      <c r="E547" s="2">
        <v>115</v>
      </c>
      <c r="F547" s="2">
        <v>2316.902</v>
      </c>
    </row>
    <row r="548" spans="3:6" x14ac:dyDescent="0.25">
      <c r="C548" s="2" t="s">
        <v>7864</v>
      </c>
      <c r="D548" s="2" t="s">
        <v>292</v>
      </c>
      <c r="E548" s="2">
        <v>20</v>
      </c>
      <c r="F548" s="2">
        <v>422.65</v>
      </c>
    </row>
    <row r="549" spans="3:6" x14ac:dyDescent="0.25">
      <c r="C549" s="2" t="s">
        <v>7865</v>
      </c>
      <c r="D549" s="2" t="s">
        <v>292</v>
      </c>
      <c r="E549" s="2">
        <v>91</v>
      </c>
      <c r="F549" s="2">
        <v>2040.38</v>
      </c>
    </row>
    <row r="550" spans="3:6" x14ac:dyDescent="0.25">
      <c r="C550" s="2" t="s">
        <v>7866</v>
      </c>
      <c r="D550" s="2" t="s">
        <v>292</v>
      </c>
      <c r="E550" s="2">
        <v>30</v>
      </c>
      <c r="F550" s="2">
        <v>614.84</v>
      </c>
    </row>
    <row r="551" spans="3:6" x14ac:dyDescent="0.25">
      <c r="C551" s="2" t="s">
        <v>7867</v>
      </c>
      <c r="D551" s="2" t="s">
        <v>292</v>
      </c>
      <c r="E551" s="2">
        <v>26</v>
      </c>
      <c r="F551" s="2">
        <v>527.09</v>
      </c>
    </row>
    <row r="552" spans="3:6" x14ac:dyDescent="0.25">
      <c r="C552" s="2" t="s">
        <v>7868</v>
      </c>
      <c r="D552" s="2" t="s">
        <v>292</v>
      </c>
      <c r="E552" s="2">
        <v>70</v>
      </c>
      <c r="F552" s="2">
        <v>1442.069</v>
      </c>
    </row>
    <row r="553" spans="3:6" x14ac:dyDescent="0.25">
      <c r="C553" s="2" t="s">
        <v>7869</v>
      </c>
      <c r="D553" s="2" t="s">
        <v>292</v>
      </c>
      <c r="E553" s="2">
        <v>89</v>
      </c>
      <c r="F553" s="2">
        <v>1796.119</v>
      </c>
    </row>
    <row r="554" spans="3:6" x14ac:dyDescent="0.25">
      <c r="C554" s="2" t="s">
        <v>7870</v>
      </c>
      <c r="D554" s="2" t="s">
        <v>292</v>
      </c>
      <c r="E554" s="2">
        <v>30</v>
      </c>
      <c r="F554" s="2">
        <v>154.75</v>
      </c>
    </row>
    <row r="555" spans="3:6" x14ac:dyDescent="0.25">
      <c r="C555" s="2" t="s">
        <v>7871</v>
      </c>
      <c r="D555" s="2" t="s">
        <v>292</v>
      </c>
      <c r="E555" s="2">
        <v>26</v>
      </c>
      <c r="F555" s="2">
        <v>489.949</v>
      </c>
    </row>
    <row r="556" spans="3:6" x14ac:dyDescent="0.25">
      <c r="C556" s="2" t="s">
        <v>7872</v>
      </c>
      <c r="D556" s="2" t="s">
        <v>292</v>
      </c>
      <c r="E556" s="2">
        <v>116</v>
      </c>
      <c r="F556" s="2">
        <v>2363.95</v>
      </c>
    </row>
    <row r="557" spans="3:6" x14ac:dyDescent="0.25">
      <c r="C557" s="2" t="s">
        <v>7873</v>
      </c>
      <c r="D557" s="2" t="s">
        <v>292</v>
      </c>
      <c r="E557" s="2">
        <v>9</v>
      </c>
      <c r="F557" s="2">
        <v>185.58</v>
      </c>
    </row>
    <row r="558" spans="3:6" x14ac:dyDescent="0.25">
      <c r="C558" s="2" t="s">
        <v>7874</v>
      </c>
      <c r="D558" s="2" t="s">
        <v>292</v>
      </c>
      <c r="E558" s="2">
        <v>141</v>
      </c>
      <c r="F558" s="2">
        <v>2837.18</v>
      </c>
    </row>
    <row r="560" spans="1:7" x14ac:dyDescent="0.25">
      <c r="A560" s="1">
        <v>46147</v>
      </c>
      <c r="B560" s="2" t="s">
        <v>7875</v>
      </c>
      <c r="C560" s="2" t="s">
        <v>7876</v>
      </c>
      <c r="D560" s="2" t="s">
        <v>59</v>
      </c>
      <c r="E560" s="2">
        <v>353</v>
      </c>
      <c r="F560" s="2">
        <v>6784.999</v>
      </c>
      <c r="G560" s="1">
        <v>46145</v>
      </c>
    </row>
    <row r="561" spans="3:6" x14ac:dyDescent="0.25">
      <c r="C561" s="2" t="s">
        <v>7877</v>
      </c>
      <c r="D561" s="2" t="s">
        <v>59</v>
      </c>
      <c r="E561" s="2">
        <v>102</v>
      </c>
      <c r="F561" s="2">
        <v>1867.689</v>
      </c>
    </row>
    <row r="562" spans="3:6" x14ac:dyDescent="0.25">
      <c r="C562" s="2" t="s">
        <v>7878</v>
      </c>
      <c r="D562" s="2" t="s">
        <v>59</v>
      </c>
      <c r="E562" s="2">
        <v>251</v>
      </c>
      <c r="F562" s="2">
        <v>4816.699</v>
      </c>
    </row>
    <row r="563" spans="3:6" x14ac:dyDescent="0.25">
      <c r="C563" s="2" t="s">
        <v>7879</v>
      </c>
      <c r="D563" s="2" t="s">
        <v>59</v>
      </c>
      <c r="E563" s="2">
        <v>204</v>
      </c>
      <c r="F563" s="2">
        <v>3937.78</v>
      </c>
    </row>
    <row r="564" spans="3:6" x14ac:dyDescent="0.25">
      <c r="C564" s="2" t="s">
        <v>7880</v>
      </c>
      <c r="D564" s="2" t="s">
        <v>59</v>
      </c>
      <c r="E564" s="2">
        <v>251</v>
      </c>
      <c r="F564" s="2">
        <v>4879.619</v>
      </c>
    </row>
    <row r="565" spans="3:6" x14ac:dyDescent="0.25">
      <c r="C565" s="2" t="s">
        <v>7881</v>
      </c>
      <c r="D565" s="2" t="s">
        <v>59</v>
      </c>
      <c r="E565" s="2">
        <v>137</v>
      </c>
      <c r="F565" s="2">
        <v>2525.449</v>
      </c>
    </row>
    <row r="566" spans="3:6" x14ac:dyDescent="0.25">
      <c r="C566" s="2" t="s">
        <v>7882</v>
      </c>
      <c r="D566" s="2" t="s">
        <v>59</v>
      </c>
      <c r="E566" s="2">
        <v>204</v>
      </c>
      <c r="F566" s="2">
        <v>4010.52</v>
      </c>
    </row>
    <row r="568" spans="1:7" x14ac:dyDescent="0.25">
      <c r="A568" s="1">
        <v>46148</v>
      </c>
      <c r="B568" s="2" t="s">
        <v>1400</v>
      </c>
      <c r="C568" s="2" t="s">
        <v>7883</v>
      </c>
      <c r="D568" s="2" t="s">
        <v>82</v>
      </c>
      <c r="E568" s="2">
        <v>121</v>
      </c>
      <c r="F568" s="2">
        <v>2518.91</v>
      </c>
      <c r="G568" s="1">
        <v>46147</v>
      </c>
    </row>
    <row r="569" spans="3:6" x14ac:dyDescent="0.25">
      <c r="C569" s="2" t="s">
        <v>7884</v>
      </c>
      <c r="D569" s="2" t="s">
        <v>82</v>
      </c>
      <c r="E569" s="2">
        <v>141</v>
      </c>
      <c r="F569" s="2">
        <v>2992.86</v>
      </c>
    </row>
    <row r="570" spans="3:6" x14ac:dyDescent="0.25">
      <c r="C570" s="2" t="s">
        <v>7885</v>
      </c>
      <c r="D570" s="2" t="s">
        <v>82</v>
      </c>
      <c r="E570" s="2">
        <v>141</v>
      </c>
      <c r="F570" s="2">
        <v>2935.61</v>
      </c>
    </row>
    <row r="571" spans="3:6" x14ac:dyDescent="0.25">
      <c r="C571" s="2" t="s">
        <v>7886</v>
      </c>
      <c r="D571" s="2" t="s">
        <v>82</v>
      </c>
      <c r="E571" s="2">
        <v>141</v>
      </c>
      <c r="F571" s="2">
        <v>2943.07</v>
      </c>
    </row>
    <row r="572" spans="3:6" x14ac:dyDescent="0.25">
      <c r="C572" s="2" t="s">
        <v>7887</v>
      </c>
      <c r="D572" s="2" t="s">
        <v>82</v>
      </c>
      <c r="E572" s="2">
        <v>141</v>
      </c>
      <c r="F572" s="2">
        <v>2915.26</v>
      </c>
    </row>
    <row r="573" spans="3:6" x14ac:dyDescent="0.25">
      <c r="C573" s="2" t="s">
        <v>7888</v>
      </c>
      <c r="D573" s="2" t="s">
        <v>82</v>
      </c>
      <c r="E573" s="2">
        <v>68</v>
      </c>
      <c r="F573" s="2">
        <v>1398.749</v>
      </c>
    </row>
    <row r="574" spans="3:6" x14ac:dyDescent="0.25">
      <c r="C574" s="2" t="s">
        <v>7889</v>
      </c>
      <c r="D574" s="2" t="s">
        <v>82</v>
      </c>
      <c r="E574" s="2">
        <v>33</v>
      </c>
      <c r="F574" s="2">
        <v>686.14</v>
      </c>
    </row>
    <row r="575" spans="3:6" x14ac:dyDescent="0.25">
      <c r="C575" s="2" t="s">
        <v>7890</v>
      </c>
      <c r="D575" s="2" t="s">
        <v>82</v>
      </c>
      <c r="E575" s="2">
        <v>85</v>
      </c>
      <c r="F575" s="2">
        <v>1746.84</v>
      </c>
    </row>
    <row r="576" spans="3:6" x14ac:dyDescent="0.25">
      <c r="C576" s="2" t="s">
        <v>7891</v>
      </c>
      <c r="D576" s="2" t="s">
        <v>82</v>
      </c>
      <c r="E576" s="2">
        <v>15</v>
      </c>
      <c r="F576" s="2">
        <v>318.49</v>
      </c>
    </row>
    <row r="577" spans="3:6" x14ac:dyDescent="0.25">
      <c r="C577" s="2" t="s">
        <v>7892</v>
      </c>
      <c r="D577" s="2" t="s">
        <v>82</v>
      </c>
      <c r="E577" s="2">
        <v>141</v>
      </c>
      <c r="F577" s="2">
        <v>2967.23</v>
      </c>
    </row>
    <row r="578" spans="3:6" x14ac:dyDescent="0.25">
      <c r="C578" s="2" t="s">
        <v>7893</v>
      </c>
      <c r="D578" s="2" t="s">
        <v>82</v>
      </c>
      <c r="E578" s="2">
        <v>101</v>
      </c>
      <c r="F578" s="2">
        <v>2077.72</v>
      </c>
    </row>
    <row r="579" spans="3:6" x14ac:dyDescent="0.25">
      <c r="C579" s="2" t="s">
        <v>7894</v>
      </c>
      <c r="D579" s="2" t="s">
        <v>82</v>
      </c>
      <c r="E579" s="2">
        <v>101</v>
      </c>
      <c r="F579" s="2">
        <v>2112.58</v>
      </c>
    </row>
    <row r="580" spans="3:6" x14ac:dyDescent="0.25">
      <c r="C580" s="2" t="s">
        <v>7895</v>
      </c>
      <c r="D580" s="2" t="s">
        <v>82</v>
      </c>
      <c r="E580" s="2">
        <v>101</v>
      </c>
      <c r="F580" s="2">
        <v>2179.79</v>
      </c>
    </row>
    <row r="581" spans="3:6" x14ac:dyDescent="0.25">
      <c r="C581" s="2" t="s">
        <v>7896</v>
      </c>
      <c r="D581" s="2" t="s">
        <v>82</v>
      </c>
      <c r="E581" s="2">
        <v>65</v>
      </c>
      <c r="F581" s="2">
        <v>1362.09</v>
      </c>
    </row>
    <row r="582" spans="3:6" x14ac:dyDescent="0.25">
      <c r="C582" s="2" t="s">
        <v>7897</v>
      </c>
      <c r="D582" s="2" t="s">
        <v>82</v>
      </c>
      <c r="E582" s="2">
        <v>76</v>
      </c>
      <c r="F582" s="2">
        <v>1599.41</v>
      </c>
    </row>
    <row r="583" spans="3:6" x14ac:dyDescent="0.25">
      <c r="C583" s="2" t="s">
        <v>7898</v>
      </c>
      <c r="D583" s="2" t="s">
        <v>82</v>
      </c>
      <c r="E583" s="2">
        <v>141</v>
      </c>
      <c r="F583" s="2">
        <v>2962.89</v>
      </c>
    </row>
    <row r="584" spans="3:6" x14ac:dyDescent="0.25">
      <c r="C584" s="2" t="s">
        <v>7899</v>
      </c>
      <c r="D584" s="2" t="s">
        <v>82</v>
      </c>
      <c r="E584" s="2">
        <v>66</v>
      </c>
      <c r="F584" s="2">
        <v>1385.88</v>
      </c>
    </row>
    <row r="585" spans="3:6" x14ac:dyDescent="0.25">
      <c r="C585" s="2" t="s">
        <v>7900</v>
      </c>
      <c r="D585" s="2" t="s">
        <v>82</v>
      </c>
      <c r="E585" s="2">
        <v>55</v>
      </c>
      <c r="F585" s="2">
        <v>1161.57</v>
      </c>
    </row>
    <row r="586" spans="3:6" x14ac:dyDescent="0.25">
      <c r="C586" s="2" t="s">
        <v>7901</v>
      </c>
      <c r="D586" s="2" t="s">
        <v>82</v>
      </c>
      <c r="E586" s="2">
        <v>141</v>
      </c>
      <c r="F586" s="2">
        <v>2813.98</v>
      </c>
    </row>
    <row r="587" spans="3:6" x14ac:dyDescent="0.25">
      <c r="C587" s="2" t="s">
        <v>7902</v>
      </c>
      <c r="D587" s="2" t="s">
        <v>82</v>
      </c>
      <c r="E587" s="2">
        <v>48</v>
      </c>
      <c r="F587" s="2">
        <v>949.61</v>
      </c>
    </row>
    <row r="588" spans="3:6" x14ac:dyDescent="0.25">
      <c r="C588" s="2" t="s">
        <v>7903</v>
      </c>
      <c r="D588" s="2" t="s">
        <v>82</v>
      </c>
      <c r="E588" s="2">
        <v>93</v>
      </c>
      <c r="F588" s="2">
        <v>1899.99</v>
      </c>
    </row>
    <row r="590" spans="1:7" x14ac:dyDescent="0.25">
      <c r="A590" s="1">
        <v>46148</v>
      </c>
      <c r="B590" s="2" t="s">
        <v>3948</v>
      </c>
      <c r="C590" s="2" t="s">
        <v>7904</v>
      </c>
      <c r="D590" s="2" t="s">
        <v>178</v>
      </c>
      <c r="E590" s="2">
        <v>102</v>
      </c>
      <c r="F590" s="2">
        <v>2075.68</v>
      </c>
      <c r="G590" s="1">
        <v>46147</v>
      </c>
    </row>
    <row r="591" spans="3:6" x14ac:dyDescent="0.25">
      <c r="C591" s="2" t="s">
        <v>7905</v>
      </c>
      <c r="D591" s="2" t="s">
        <v>178</v>
      </c>
      <c r="E591" s="2">
        <v>102</v>
      </c>
      <c r="F591" s="2">
        <v>2090.3</v>
      </c>
    </row>
    <row r="592" spans="3:6" x14ac:dyDescent="0.25">
      <c r="C592" s="2" t="s">
        <v>7906</v>
      </c>
      <c r="D592" s="2" t="s">
        <v>178</v>
      </c>
      <c r="E592" s="2">
        <v>102</v>
      </c>
      <c r="F592" s="2">
        <v>2051.289</v>
      </c>
    </row>
    <row r="593" spans="3:6" x14ac:dyDescent="0.25">
      <c r="C593" s="2" t="s">
        <v>7907</v>
      </c>
      <c r="D593" s="2" t="s">
        <v>178</v>
      </c>
      <c r="E593" s="2">
        <v>141</v>
      </c>
      <c r="F593" s="2">
        <v>2936.49</v>
      </c>
    </row>
    <row r="594" spans="3:6" x14ac:dyDescent="0.25">
      <c r="C594" s="2" t="s">
        <v>7908</v>
      </c>
      <c r="D594" s="2" t="s">
        <v>178</v>
      </c>
      <c r="E594" s="2">
        <v>141</v>
      </c>
      <c r="F594" s="2">
        <v>2833.32</v>
      </c>
    </row>
    <row r="595" spans="3:6" x14ac:dyDescent="0.25">
      <c r="C595" s="2" t="s">
        <v>7909</v>
      </c>
      <c r="D595" s="2" t="s">
        <v>178</v>
      </c>
      <c r="E595" s="2">
        <v>102</v>
      </c>
      <c r="F595" s="2">
        <v>2094.01</v>
      </c>
    </row>
    <row r="596" spans="3:6" x14ac:dyDescent="0.25">
      <c r="C596" s="2" t="s">
        <v>7910</v>
      </c>
      <c r="D596" s="2" t="s">
        <v>178</v>
      </c>
      <c r="E596" s="2">
        <v>134</v>
      </c>
      <c r="F596" s="2">
        <v>2715.17</v>
      </c>
    </row>
    <row r="597" spans="3:6" x14ac:dyDescent="0.25">
      <c r="C597" s="2" t="s">
        <v>7911</v>
      </c>
      <c r="D597" s="2" t="s">
        <v>178</v>
      </c>
      <c r="E597" s="2">
        <v>102</v>
      </c>
      <c r="F597" s="2">
        <v>2074.95</v>
      </c>
    </row>
    <row r="598" spans="3:6" x14ac:dyDescent="0.25">
      <c r="C598" s="2" t="s">
        <v>7912</v>
      </c>
      <c r="D598" s="2" t="s">
        <v>178</v>
      </c>
      <c r="E598" s="2">
        <v>82</v>
      </c>
      <c r="F598" s="2">
        <v>349.479</v>
      </c>
    </row>
    <row r="599" spans="3:6" x14ac:dyDescent="0.25">
      <c r="C599" s="2" t="s">
        <v>7913</v>
      </c>
      <c r="D599" s="2" t="s">
        <v>178</v>
      </c>
      <c r="E599" s="2">
        <v>123</v>
      </c>
      <c r="F599" s="2">
        <v>2516.94</v>
      </c>
    </row>
    <row r="600" spans="3:6" x14ac:dyDescent="0.25">
      <c r="C600" s="2" t="s">
        <v>7914</v>
      </c>
      <c r="D600" s="2" t="s">
        <v>178</v>
      </c>
      <c r="E600" s="2">
        <v>123</v>
      </c>
      <c r="F600" s="2">
        <v>2467.16</v>
      </c>
    </row>
    <row r="601" spans="3:6" x14ac:dyDescent="0.25">
      <c r="C601" s="2" t="s">
        <v>7915</v>
      </c>
      <c r="D601" s="2" t="s">
        <v>178</v>
      </c>
      <c r="E601" s="2">
        <v>124</v>
      </c>
      <c r="F601" s="2">
        <v>2510.61</v>
      </c>
    </row>
    <row r="602" spans="3:6" x14ac:dyDescent="0.25">
      <c r="C602" s="2" t="s">
        <v>7916</v>
      </c>
      <c r="D602" s="2" t="s">
        <v>178</v>
      </c>
      <c r="E602" s="2">
        <v>123</v>
      </c>
      <c r="F602" s="2">
        <v>2475.18</v>
      </c>
    </row>
    <row r="603" spans="3:6" x14ac:dyDescent="0.25">
      <c r="C603" s="2" t="s">
        <v>7917</v>
      </c>
      <c r="D603" s="2" t="s">
        <v>178</v>
      </c>
      <c r="E603" s="2">
        <v>93</v>
      </c>
      <c r="F603" s="2">
        <v>1753.268</v>
      </c>
    </row>
    <row r="604" spans="3:6" x14ac:dyDescent="0.25">
      <c r="C604" s="2" t="s">
        <v>7918</v>
      </c>
      <c r="D604" s="2" t="s">
        <v>178</v>
      </c>
      <c r="E604" s="2">
        <v>48</v>
      </c>
      <c r="F604" s="2">
        <v>922.33</v>
      </c>
    </row>
    <row r="605" spans="3:6" x14ac:dyDescent="0.25">
      <c r="C605" s="2" t="s">
        <v>7919</v>
      </c>
      <c r="D605" s="2" t="s">
        <v>178</v>
      </c>
      <c r="E605" s="2">
        <v>141</v>
      </c>
      <c r="F605" s="2">
        <v>2773.549</v>
      </c>
    </row>
    <row r="606" spans="3:6" x14ac:dyDescent="0.25">
      <c r="C606" s="2" t="s">
        <v>7920</v>
      </c>
      <c r="D606" s="2" t="s">
        <v>178</v>
      </c>
      <c r="E606" s="2">
        <v>141</v>
      </c>
      <c r="F606" s="2">
        <v>2829.59</v>
      </c>
    </row>
    <row r="607" spans="3:6" x14ac:dyDescent="0.25">
      <c r="C607" s="2" t="s">
        <v>7921</v>
      </c>
      <c r="D607" s="2" t="s">
        <v>178</v>
      </c>
      <c r="E607" s="2">
        <v>141</v>
      </c>
      <c r="F607" s="2">
        <v>2877.58</v>
      </c>
    </row>
    <row r="608" spans="3:6" x14ac:dyDescent="0.25">
      <c r="C608" s="2" t="s">
        <v>7922</v>
      </c>
      <c r="D608" s="2" t="s">
        <v>178</v>
      </c>
      <c r="E608" s="2">
        <v>141</v>
      </c>
      <c r="F608" s="2">
        <v>2832.9</v>
      </c>
    </row>
    <row r="609" spans="3:6" x14ac:dyDescent="0.25">
      <c r="C609" s="2" t="s">
        <v>7923</v>
      </c>
      <c r="D609" s="2" t="s">
        <v>178</v>
      </c>
      <c r="E609" s="2">
        <v>282</v>
      </c>
      <c r="F609" s="2">
        <v>5702.829</v>
      </c>
    </row>
    <row r="610" spans="3:6" x14ac:dyDescent="0.25">
      <c r="C610" s="2" t="s">
        <v>7924</v>
      </c>
      <c r="D610" s="2" t="s">
        <v>178</v>
      </c>
      <c r="E610" s="2">
        <v>141</v>
      </c>
      <c r="F610" s="2">
        <v>2906.09</v>
      </c>
    </row>
    <row r="611" spans="3:6" x14ac:dyDescent="0.25">
      <c r="C611" s="2" t="s">
        <v>7925</v>
      </c>
      <c r="D611" s="2" t="s">
        <v>178</v>
      </c>
      <c r="E611" s="2">
        <v>102</v>
      </c>
      <c r="F611" s="2">
        <v>2096.9</v>
      </c>
    </row>
    <row r="612" spans="3:6" x14ac:dyDescent="0.25">
      <c r="C612" s="2" t="s">
        <v>7926</v>
      </c>
      <c r="D612" s="2" t="s">
        <v>178</v>
      </c>
      <c r="E612" s="2">
        <v>20</v>
      </c>
      <c r="F612" s="2">
        <v>394.83</v>
      </c>
    </row>
    <row r="613" spans="3:6" x14ac:dyDescent="0.25">
      <c r="C613" s="2" t="s">
        <v>7927</v>
      </c>
      <c r="D613" s="2" t="s">
        <v>178</v>
      </c>
      <c r="E613" s="2">
        <v>82</v>
      </c>
      <c r="F613" s="2">
        <v>1566.27</v>
      </c>
    </row>
    <row r="614" spans="3:6" x14ac:dyDescent="0.25">
      <c r="C614" s="2" t="s">
        <v>7928</v>
      </c>
      <c r="D614" s="2" t="s">
        <v>178</v>
      </c>
      <c r="E614" s="2">
        <v>141</v>
      </c>
      <c r="F614" s="2">
        <v>2922.96</v>
      </c>
    </row>
    <row r="615" spans="3:6" x14ac:dyDescent="0.25">
      <c r="C615" s="2" t="s">
        <v>7929</v>
      </c>
      <c r="D615" s="2" t="s">
        <v>178</v>
      </c>
      <c r="E615" s="2">
        <v>30</v>
      </c>
      <c r="F615" s="2">
        <v>575.53</v>
      </c>
    </row>
    <row r="616" spans="3:6" x14ac:dyDescent="0.25">
      <c r="C616" s="2" t="s">
        <v>7930</v>
      </c>
      <c r="D616" s="2" t="s">
        <v>178</v>
      </c>
      <c r="E616" s="2">
        <v>45</v>
      </c>
      <c r="F616" s="2">
        <v>934.89</v>
      </c>
    </row>
    <row r="617" spans="3:6" x14ac:dyDescent="0.25">
      <c r="C617" s="2" t="s">
        <v>7931</v>
      </c>
      <c r="D617" s="2" t="s">
        <v>178</v>
      </c>
      <c r="E617" s="2">
        <v>141</v>
      </c>
      <c r="F617" s="2">
        <v>2891.499</v>
      </c>
    </row>
    <row r="618" spans="3:6" x14ac:dyDescent="0.25">
      <c r="C618" s="2" t="s">
        <v>7932</v>
      </c>
      <c r="D618" s="2" t="s">
        <v>178</v>
      </c>
      <c r="E618" s="2">
        <v>63</v>
      </c>
      <c r="F618" s="2">
        <v>1285.169</v>
      </c>
    </row>
    <row r="619" spans="3:6" x14ac:dyDescent="0.25">
      <c r="C619" s="2" t="s">
        <v>7933</v>
      </c>
      <c r="D619" s="2" t="s">
        <v>178</v>
      </c>
      <c r="E619" s="2">
        <v>63</v>
      </c>
      <c r="F619" s="2">
        <v>1213.2</v>
      </c>
    </row>
    <row r="620" spans="3:6" x14ac:dyDescent="0.25">
      <c r="C620" s="2" t="s">
        <v>7934</v>
      </c>
      <c r="D620" s="2" t="s">
        <v>178</v>
      </c>
      <c r="E620" s="2">
        <v>15</v>
      </c>
      <c r="F620" s="2">
        <v>298.07</v>
      </c>
    </row>
    <row r="621" spans="3:6" x14ac:dyDescent="0.25">
      <c r="C621" s="2" t="s">
        <v>7935</v>
      </c>
      <c r="D621" s="2" t="s">
        <v>178</v>
      </c>
      <c r="E621" s="2">
        <v>35</v>
      </c>
      <c r="F621" s="2">
        <v>701.98</v>
      </c>
    </row>
    <row r="622" spans="3:6" x14ac:dyDescent="0.25">
      <c r="C622" s="2" t="s">
        <v>7936</v>
      </c>
      <c r="D622" s="2" t="s">
        <v>178</v>
      </c>
      <c r="E622" s="2">
        <v>80</v>
      </c>
      <c r="F622" s="2">
        <v>1656.11</v>
      </c>
    </row>
    <row r="623" spans="3:6" x14ac:dyDescent="0.25">
      <c r="C623" s="2" t="s">
        <v>7937</v>
      </c>
      <c r="D623" s="2" t="s">
        <v>178</v>
      </c>
      <c r="E623" s="2">
        <v>24</v>
      </c>
      <c r="F623" s="2">
        <v>479.66</v>
      </c>
    </row>
    <row r="624" spans="3:6" x14ac:dyDescent="0.25">
      <c r="C624" s="2" t="s">
        <v>7938</v>
      </c>
      <c r="D624" s="2" t="s">
        <v>178</v>
      </c>
      <c r="E624" s="2">
        <v>48</v>
      </c>
      <c r="F624" s="2">
        <v>947.05</v>
      </c>
    </row>
    <row r="625" spans="3:6" x14ac:dyDescent="0.25">
      <c r="C625" s="2" t="s">
        <v>7939</v>
      </c>
      <c r="D625" s="2" t="s">
        <v>178</v>
      </c>
      <c r="E625" s="2">
        <v>93</v>
      </c>
      <c r="F625" s="2">
        <v>1915.08</v>
      </c>
    </row>
    <row r="626" spans="3:6" x14ac:dyDescent="0.25">
      <c r="C626" s="2" t="s">
        <v>7940</v>
      </c>
      <c r="D626" s="2" t="s">
        <v>178</v>
      </c>
      <c r="E626" s="2">
        <v>39</v>
      </c>
      <c r="F626" s="2">
        <v>790</v>
      </c>
    </row>
    <row r="627" spans="3:6" x14ac:dyDescent="0.25">
      <c r="C627" s="2" t="s">
        <v>7941</v>
      </c>
      <c r="D627" s="2" t="s">
        <v>178</v>
      </c>
      <c r="E627" s="2">
        <v>59</v>
      </c>
      <c r="F627" s="2">
        <v>1116.7</v>
      </c>
    </row>
    <row r="628" spans="3:6" x14ac:dyDescent="0.25">
      <c r="C628" s="2" t="s">
        <v>7942</v>
      </c>
      <c r="D628" s="2" t="s">
        <v>178</v>
      </c>
      <c r="E628" s="2">
        <v>43</v>
      </c>
      <c r="F628" s="2">
        <v>885.98</v>
      </c>
    </row>
    <row r="629" spans="3:6" x14ac:dyDescent="0.25">
      <c r="C629" s="2" t="s">
        <v>7943</v>
      </c>
      <c r="D629" s="2" t="s">
        <v>178</v>
      </c>
      <c r="E629" s="2">
        <v>43</v>
      </c>
      <c r="F629" s="2">
        <v>728.409</v>
      </c>
    </row>
    <row r="630" spans="3:6" x14ac:dyDescent="0.25">
      <c r="C630" s="2" t="s">
        <v>7944</v>
      </c>
      <c r="D630" s="2" t="s">
        <v>178</v>
      </c>
      <c r="E630" s="2">
        <v>72</v>
      </c>
      <c r="F630" s="2">
        <v>1372.64</v>
      </c>
    </row>
    <row r="631" spans="3:6" x14ac:dyDescent="0.25">
      <c r="C631" s="2" t="s">
        <v>7945</v>
      </c>
      <c r="D631" s="2" t="s">
        <v>178</v>
      </c>
      <c r="E631" s="2">
        <v>25</v>
      </c>
      <c r="F631" s="2">
        <v>513.14</v>
      </c>
    </row>
    <row r="633" spans="1:7" x14ac:dyDescent="0.25">
      <c r="A633" s="1">
        <v>46148</v>
      </c>
      <c r="B633" s="2" t="s">
        <v>229</v>
      </c>
      <c r="C633" s="2" t="s">
        <v>7946</v>
      </c>
      <c r="D633" s="2" t="s">
        <v>292</v>
      </c>
      <c r="E633" s="2">
        <v>42</v>
      </c>
      <c r="F633" s="2">
        <v>795.834</v>
      </c>
      <c r="G633" s="1">
        <v>46147</v>
      </c>
    </row>
    <row r="634" spans="3:6" x14ac:dyDescent="0.25">
      <c r="C634" s="2" t="s">
        <v>7947</v>
      </c>
      <c r="D634" s="2" t="s">
        <v>292</v>
      </c>
      <c r="E634" s="2">
        <v>56</v>
      </c>
      <c r="F634" s="2">
        <v>1149.35</v>
      </c>
    </row>
    <row r="635" spans="3:6" x14ac:dyDescent="0.25">
      <c r="C635" s="2" t="s">
        <v>7948</v>
      </c>
      <c r="D635" s="2" t="s">
        <v>292</v>
      </c>
      <c r="E635" s="2">
        <v>75</v>
      </c>
      <c r="F635" s="2">
        <v>409.39</v>
      </c>
    </row>
    <row r="636" spans="3:6" x14ac:dyDescent="0.25">
      <c r="C636" s="2" t="s">
        <v>7949</v>
      </c>
      <c r="D636" s="2" t="s">
        <v>292</v>
      </c>
      <c r="E636" s="2">
        <v>44</v>
      </c>
      <c r="F636" s="2">
        <v>911.21</v>
      </c>
    </row>
    <row r="637" spans="3:6" x14ac:dyDescent="0.25">
      <c r="C637" s="2" t="s">
        <v>7950</v>
      </c>
      <c r="D637" s="2" t="s">
        <v>292</v>
      </c>
      <c r="E637" s="2">
        <v>143</v>
      </c>
      <c r="F637" s="2">
        <v>2931.729</v>
      </c>
    </row>
    <row r="638" spans="3:6" x14ac:dyDescent="0.25">
      <c r="C638" s="2" t="s">
        <v>7951</v>
      </c>
      <c r="D638" s="2" t="s">
        <v>292</v>
      </c>
      <c r="E638" s="2">
        <v>30</v>
      </c>
      <c r="F638" s="2">
        <v>616.18</v>
      </c>
    </row>
    <row r="639" spans="3:6" x14ac:dyDescent="0.25">
      <c r="C639" s="2" t="s">
        <v>7952</v>
      </c>
      <c r="D639" s="2" t="s">
        <v>292</v>
      </c>
      <c r="E639" s="2">
        <v>69</v>
      </c>
      <c r="F639" s="2">
        <v>1200.75</v>
      </c>
    </row>
    <row r="640" spans="3:6" x14ac:dyDescent="0.25">
      <c r="C640" s="2" t="s">
        <v>7953</v>
      </c>
      <c r="D640" s="2" t="s">
        <v>292</v>
      </c>
      <c r="E640" s="2">
        <v>75</v>
      </c>
      <c r="F640" s="2">
        <v>381.12</v>
      </c>
    </row>
    <row r="641" spans="3:6" x14ac:dyDescent="0.25">
      <c r="C641" s="2" t="s">
        <v>7954</v>
      </c>
      <c r="D641" s="2" t="s">
        <v>292</v>
      </c>
      <c r="E641" s="2">
        <v>65</v>
      </c>
      <c r="F641" s="2">
        <v>1438.23</v>
      </c>
    </row>
    <row r="642" spans="3:6" x14ac:dyDescent="0.25">
      <c r="C642" s="2" t="s">
        <v>7955</v>
      </c>
      <c r="D642" s="2" t="s">
        <v>292</v>
      </c>
      <c r="E642" s="2">
        <v>47</v>
      </c>
      <c r="F642" s="2">
        <v>964.354</v>
      </c>
    </row>
    <row r="643" spans="3:6" x14ac:dyDescent="0.25">
      <c r="C643" s="2" t="s">
        <v>7956</v>
      </c>
      <c r="D643" s="2" t="s">
        <v>292</v>
      </c>
      <c r="E643" s="2">
        <v>141</v>
      </c>
      <c r="F643" s="2">
        <v>2855.19</v>
      </c>
    </row>
    <row r="644" spans="3:6" x14ac:dyDescent="0.25">
      <c r="C644" s="2" t="s">
        <v>7957</v>
      </c>
      <c r="D644" s="2" t="s">
        <v>292</v>
      </c>
      <c r="E644" s="2">
        <v>105</v>
      </c>
      <c r="F644" s="2">
        <v>2163.4</v>
      </c>
    </row>
    <row r="645" spans="3:6" x14ac:dyDescent="0.25">
      <c r="C645" s="2" t="s">
        <v>7958</v>
      </c>
      <c r="D645" s="2" t="s">
        <v>292</v>
      </c>
      <c r="E645" s="2">
        <v>111</v>
      </c>
      <c r="F645" s="2">
        <v>2251.659</v>
      </c>
    </row>
    <row r="646" spans="3:6" x14ac:dyDescent="0.25">
      <c r="C646" s="2" t="s">
        <v>7959</v>
      </c>
      <c r="D646" s="2" t="s">
        <v>292</v>
      </c>
      <c r="E646" s="2">
        <v>50</v>
      </c>
      <c r="F646" s="2">
        <v>1006.24</v>
      </c>
    </row>
    <row r="647" spans="3:6" x14ac:dyDescent="0.25">
      <c r="C647" s="2" t="s">
        <v>7960</v>
      </c>
      <c r="D647" s="2" t="s">
        <v>292</v>
      </c>
      <c r="E647" s="2">
        <v>141</v>
      </c>
      <c r="F647" s="2">
        <v>2908.076</v>
      </c>
    </row>
    <row r="648" spans="3:6" x14ac:dyDescent="0.25">
      <c r="C648" s="2" t="s">
        <v>7961</v>
      </c>
      <c r="D648" s="2" t="s">
        <v>292</v>
      </c>
      <c r="E648" s="2">
        <v>141</v>
      </c>
      <c r="F648" s="2">
        <v>2816.58</v>
      </c>
    </row>
    <row r="649" spans="3:6" x14ac:dyDescent="0.25">
      <c r="C649" s="2" t="s">
        <v>7962</v>
      </c>
      <c r="D649" s="2" t="s">
        <v>292</v>
      </c>
      <c r="E649" s="2">
        <v>102</v>
      </c>
      <c r="F649" s="2">
        <v>2077.03</v>
      </c>
    </row>
    <row r="650" spans="3:6" x14ac:dyDescent="0.25">
      <c r="C650" s="2" t="s">
        <v>7963</v>
      </c>
      <c r="D650" s="2" t="s">
        <v>292</v>
      </c>
      <c r="E650" s="2">
        <v>97</v>
      </c>
      <c r="F650" s="2">
        <v>1916.48</v>
      </c>
    </row>
    <row r="651" spans="3:6" x14ac:dyDescent="0.25">
      <c r="C651" s="2" t="s">
        <v>7964</v>
      </c>
      <c r="D651" s="2" t="s">
        <v>292</v>
      </c>
      <c r="E651" s="2">
        <v>44</v>
      </c>
      <c r="F651" s="2">
        <v>972.11</v>
      </c>
    </row>
    <row r="652" spans="3:6" x14ac:dyDescent="0.25">
      <c r="C652" s="2" t="s">
        <v>7965</v>
      </c>
      <c r="D652" s="2" t="s">
        <v>292</v>
      </c>
      <c r="E652" s="2">
        <v>35</v>
      </c>
      <c r="F652" s="2">
        <v>748.07</v>
      </c>
    </row>
    <row r="653" spans="3:6" x14ac:dyDescent="0.25">
      <c r="C653" s="2" t="s">
        <v>7966</v>
      </c>
      <c r="D653" s="2" t="s">
        <v>292</v>
      </c>
      <c r="E653" s="2">
        <v>28</v>
      </c>
      <c r="F653" s="2">
        <v>521.68</v>
      </c>
    </row>
    <row r="654" spans="3:6" x14ac:dyDescent="0.25">
      <c r="C654" s="2" t="s">
        <v>7967</v>
      </c>
      <c r="D654" s="2" t="s">
        <v>292</v>
      </c>
      <c r="E654" s="2">
        <v>10</v>
      </c>
      <c r="F654" s="2">
        <v>248.2</v>
      </c>
    </row>
    <row r="655" spans="3:6" x14ac:dyDescent="0.25">
      <c r="C655" s="2" t="s">
        <v>7968</v>
      </c>
      <c r="D655" s="2" t="s">
        <v>292</v>
      </c>
      <c r="E655" s="2">
        <v>30</v>
      </c>
      <c r="F655" s="2">
        <v>151.89</v>
      </c>
    </row>
    <row r="656" spans="3:6" x14ac:dyDescent="0.25">
      <c r="C656" s="2" t="s">
        <v>7969</v>
      </c>
      <c r="D656" s="2" t="s">
        <v>292</v>
      </c>
      <c r="E656" s="2">
        <v>52</v>
      </c>
      <c r="F656" s="2">
        <v>1045.506</v>
      </c>
    </row>
    <row r="657" spans="3:6" x14ac:dyDescent="0.25">
      <c r="C657" s="2" t="s">
        <v>7970</v>
      </c>
      <c r="D657" s="2" t="s">
        <v>292</v>
      </c>
      <c r="E657" s="2">
        <v>57</v>
      </c>
      <c r="F657" s="2">
        <v>1164.49</v>
      </c>
    </row>
    <row r="658" spans="3:6" x14ac:dyDescent="0.25">
      <c r="C658" s="2" t="s">
        <v>7971</v>
      </c>
      <c r="D658" s="2" t="s">
        <v>292</v>
      </c>
      <c r="E658" s="2">
        <v>101</v>
      </c>
      <c r="F658" s="2">
        <v>2058.599</v>
      </c>
    </row>
    <row r="659" spans="3:6" x14ac:dyDescent="0.25">
      <c r="C659" s="2" t="s">
        <v>7972</v>
      </c>
      <c r="D659" s="2" t="s">
        <v>292</v>
      </c>
      <c r="E659" s="2">
        <v>141</v>
      </c>
      <c r="F659" s="2">
        <v>2865.036</v>
      </c>
    </row>
    <row r="660" spans="3:6" x14ac:dyDescent="0.25">
      <c r="C660" s="2" t="s">
        <v>7973</v>
      </c>
      <c r="D660" s="2" t="s">
        <v>292</v>
      </c>
      <c r="E660" s="2">
        <v>32</v>
      </c>
      <c r="F660" s="2">
        <v>637.691</v>
      </c>
    </row>
    <row r="661" spans="3:6" x14ac:dyDescent="0.25">
      <c r="C661" s="2" t="s">
        <v>7974</v>
      </c>
      <c r="D661" s="2" t="s">
        <v>292</v>
      </c>
      <c r="E661" s="2">
        <v>115</v>
      </c>
      <c r="F661" s="2">
        <v>1861.457</v>
      </c>
    </row>
    <row r="662" spans="3:6" x14ac:dyDescent="0.25">
      <c r="C662" s="2" t="s">
        <v>7975</v>
      </c>
      <c r="D662" s="2" t="s">
        <v>292</v>
      </c>
      <c r="E662" s="2">
        <v>141</v>
      </c>
      <c r="F662" s="2">
        <v>3163.709</v>
      </c>
    </row>
    <row r="663" spans="3:6" x14ac:dyDescent="0.25">
      <c r="C663" s="2" t="s">
        <v>7976</v>
      </c>
      <c r="D663" s="2" t="s">
        <v>292</v>
      </c>
      <c r="E663" s="2">
        <v>123</v>
      </c>
      <c r="F663" s="2">
        <v>2639.41</v>
      </c>
    </row>
    <row r="664" spans="3:6" x14ac:dyDescent="0.25">
      <c r="C664" s="2" t="s">
        <v>7977</v>
      </c>
      <c r="D664" s="2" t="s">
        <v>292</v>
      </c>
      <c r="E664" s="2">
        <v>20</v>
      </c>
      <c r="F664" s="2">
        <v>110</v>
      </c>
    </row>
    <row r="665" spans="3:6" x14ac:dyDescent="0.25">
      <c r="C665" s="2" t="s">
        <v>7978</v>
      </c>
      <c r="D665" s="2" t="s">
        <v>292</v>
      </c>
      <c r="E665" s="2">
        <v>102</v>
      </c>
      <c r="F665" s="2">
        <v>2109.37</v>
      </c>
    </row>
    <row r="666" spans="3:6" x14ac:dyDescent="0.25">
      <c r="C666" s="2" t="s">
        <v>7979</v>
      </c>
      <c r="D666" s="2" t="s">
        <v>292</v>
      </c>
      <c r="E666" s="2">
        <v>143</v>
      </c>
      <c r="F666" s="2">
        <v>2834.54</v>
      </c>
    </row>
    <row r="667" spans="3:6" x14ac:dyDescent="0.25">
      <c r="C667" s="2" t="s">
        <v>7980</v>
      </c>
      <c r="D667" s="2" t="s">
        <v>292</v>
      </c>
      <c r="E667" s="2">
        <v>40</v>
      </c>
      <c r="F667" s="2">
        <v>796.65</v>
      </c>
    </row>
    <row r="668" spans="3:6" x14ac:dyDescent="0.25">
      <c r="C668" s="2" t="s">
        <v>7981</v>
      </c>
      <c r="D668" s="2" t="s">
        <v>292</v>
      </c>
      <c r="E668" s="2">
        <v>37</v>
      </c>
      <c r="F668" s="2">
        <v>790.01</v>
      </c>
    </row>
    <row r="669" spans="3:6" x14ac:dyDescent="0.25">
      <c r="C669" s="2" t="s">
        <v>7982</v>
      </c>
      <c r="D669" s="2" t="s">
        <v>292</v>
      </c>
      <c r="E669" s="2">
        <v>47</v>
      </c>
      <c r="F669" s="2">
        <v>947.64</v>
      </c>
    </row>
    <row r="670" spans="3:6" x14ac:dyDescent="0.25">
      <c r="C670" s="2" t="s">
        <v>7983</v>
      </c>
      <c r="D670" s="2" t="s">
        <v>292</v>
      </c>
      <c r="E670" s="2">
        <v>10</v>
      </c>
      <c r="F670" s="2">
        <v>207.29</v>
      </c>
    </row>
    <row r="671" spans="3:6" x14ac:dyDescent="0.25">
      <c r="C671" s="2" t="s">
        <v>7984</v>
      </c>
      <c r="D671" s="2" t="s">
        <v>292</v>
      </c>
      <c r="E671" s="2">
        <v>38</v>
      </c>
      <c r="F671" s="2">
        <v>754.709</v>
      </c>
    </row>
    <row r="672" spans="3:6" x14ac:dyDescent="0.25">
      <c r="C672" s="2" t="s">
        <v>7985</v>
      </c>
      <c r="D672" s="2" t="s">
        <v>292</v>
      </c>
      <c r="E672" s="2">
        <v>9</v>
      </c>
      <c r="F672" s="2">
        <v>168.07</v>
      </c>
    </row>
    <row r="673" spans="3:6" x14ac:dyDescent="0.25">
      <c r="C673" s="2" t="s">
        <v>7986</v>
      </c>
      <c r="D673" s="2" t="s">
        <v>292</v>
      </c>
      <c r="E673" s="2">
        <v>11</v>
      </c>
      <c r="F673" s="2">
        <v>164.18</v>
      </c>
    </row>
    <row r="674" spans="3:6" x14ac:dyDescent="0.25">
      <c r="C674" s="2" t="s">
        <v>7987</v>
      </c>
      <c r="D674" s="2" t="s">
        <v>292</v>
      </c>
      <c r="E674" s="2">
        <v>81</v>
      </c>
      <c r="F674" s="2">
        <v>1740.16</v>
      </c>
    </row>
    <row r="675" spans="3:6" x14ac:dyDescent="0.25">
      <c r="C675" s="2" t="s">
        <v>7988</v>
      </c>
      <c r="D675" s="2" t="s">
        <v>292</v>
      </c>
      <c r="E675" s="2">
        <v>91</v>
      </c>
      <c r="F675" s="2">
        <v>1815.451</v>
      </c>
    </row>
    <row r="676" spans="3:6" x14ac:dyDescent="0.25">
      <c r="C676" s="2" t="s">
        <v>7989</v>
      </c>
      <c r="D676" s="2" t="s">
        <v>292</v>
      </c>
      <c r="E676" s="2">
        <v>12</v>
      </c>
      <c r="F676" s="2">
        <v>234.65</v>
      </c>
    </row>
    <row r="677" spans="3:6" x14ac:dyDescent="0.25">
      <c r="C677" s="2" t="s">
        <v>7990</v>
      </c>
      <c r="D677" s="2" t="s">
        <v>292</v>
      </c>
      <c r="E677" s="2">
        <v>12</v>
      </c>
      <c r="F677" s="2">
        <v>215.81</v>
      </c>
    </row>
    <row r="678" spans="3:6" x14ac:dyDescent="0.25">
      <c r="C678" s="2" t="s">
        <v>7991</v>
      </c>
      <c r="D678" s="2" t="s">
        <v>292</v>
      </c>
      <c r="E678" s="2">
        <v>83</v>
      </c>
      <c r="F678" s="2">
        <v>1701.66</v>
      </c>
    </row>
    <row r="679" spans="3:6" x14ac:dyDescent="0.25">
      <c r="C679" s="2" t="s">
        <v>7992</v>
      </c>
      <c r="D679" s="2" t="s">
        <v>292</v>
      </c>
      <c r="E679" s="2">
        <v>67</v>
      </c>
      <c r="F679" s="2">
        <v>1418.28</v>
      </c>
    </row>
    <row r="680" spans="3:6" x14ac:dyDescent="0.25">
      <c r="C680" s="2" t="s">
        <v>7993</v>
      </c>
      <c r="D680" s="2" t="s">
        <v>292</v>
      </c>
      <c r="E680" s="2">
        <v>17</v>
      </c>
      <c r="F680" s="2">
        <v>340.77</v>
      </c>
    </row>
    <row r="681" spans="3:6" x14ac:dyDescent="0.25">
      <c r="C681" s="2" t="s">
        <v>7994</v>
      </c>
      <c r="D681" s="2" t="s">
        <v>292</v>
      </c>
      <c r="E681" s="2">
        <v>20</v>
      </c>
      <c r="F681" s="2">
        <v>441.03</v>
      </c>
    </row>
    <row r="682" spans="3:6" x14ac:dyDescent="0.25">
      <c r="C682" s="2" t="s">
        <v>7995</v>
      </c>
      <c r="D682" s="2" t="s">
        <v>292</v>
      </c>
      <c r="E682" s="2">
        <v>141</v>
      </c>
      <c r="F682" s="2">
        <v>2961.77</v>
      </c>
    </row>
    <row r="683" spans="3:6" x14ac:dyDescent="0.25">
      <c r="C683" s="2" t="s">
        <v>7996</v>
      </c>
      <c r="D683" s="2" t="s">
        <v>292</v>
      </c>
      <c r="E683" s="2">
        <v>25</v>
      </c>
      <c r="F683" s="2">
        <v>52.407</v>
      </c>
    </row>
    <row r="684" spans="3:6" x14ac:dyDescent="0.25">
      <c r="C684" s="2" t="s">
        <v>7997</v>
      </c>
      <c r="D684" s="2" t="s">
        <v>292</v>
      </c>
      <c r="E684" s="2">
        <v>66</v>
      </c>
      <c r="F684" s="2">
        <v>1323.24</v>
      </c>
    </row>
    <row r="686" spans="1:7" x14ac:dyDescent="0.25">
      <c r="A686" s="1">
        <v>46148</v>
      </c>
      <c r="B686" s="2" t="s">
        <v>7</v>
      </c>
      <c r="C686" s="2" t="s">
        <v>7998</v>
      </c>
      <c r="D686" s="2" t="s">
        <v>9</v>
      </c>
      <c r="E686" s="2">
        <v>99</v>
      </c>
      <c r="F686" s="2">
        <v>1998.78</v>
      </c>
      <c r="G686" s="1">
        <v>46147</v>
      </c>
    </row>
    <row r="687" spans="3:6" x14ac:dyDescent="0.25">
      <c r="C687" s="2" t="s">
        <v>7999</v>
      </c>
      <c r="D687" s="2" t="s">
        <v>9</v>
      </c>
      <c r="E687" s="2">
        <v>99</v>
      </c>
      <c r="F687" s="2">
        <v>2045.629</v>
      </c>
    </row>
    <row r="689" spans="1:7" x14ac:dyDescent="0.25">
      <c r="A689" s="1">
        <v>46148</v>
      </c>
      <c r="B689" s="2" t="s">
        <v>7875</v>
      </c>
      <c r="C689" s="2" t="s">
        <v>8000</v>
      </c>
      <c r="D689" s="2" t="s">
        <v>59</v>
      </c>
      <c r="E689" s="2">
        <v>245</v>
      </c>
      <c r="F689" s="2">
        <v>4556.209</v>
      </c>
      <c r="G689" s="1">
        <v>46146</v>
      </c>
    </row>
    <row r="690" spans="3:6" x14ac:dyDescent="0.25">
      <c r="C690" s="2" t="s">
        <v>8001</v>
      </c>
      <c r="D690" s="2" t="s">
        <v>59</v>
      </c>
      <c r="E690" s="2">
        <v>88</v>
      </c>
      <c r="F690" s="2">
        <v>1704.569</v>
      </c>
    </row>
    <row r="691" spans="3:6" x14ac:dyDescent="0.25">
      <c r="C691" s="2" t="s">
        <v>8002</v>
      </c>
      <c r="D691" s="2" t="s">
        <v>59</v>
      </c>
      <c r="E691" s="2">
        <v>102</v>
      </c>
      <c r="F691" s="2">
        <v>1969.819</v>
      </c>
    </row>
    <row r="692" spans="3:6" x14ac:dyDescent="0.25">
      <c r="C692" s="2" t="s">
        <v>8003</v>
      </c>
      <c r="D692" s="2" t="s">
        <v>59</v>
      </c>
      <c r="E692" s="2">
        <v>266</v>
      </c>
      <c r="F692" s="2">
        <v>5059.912</v>
      </c>
    </row>
    <row r="693" spans="3:6" x14ac:dyDescent="0.25">
      <c r="C693" s="2" t="s">
        <v>8004</v>
      </c>
      <c r="D693" s="2" t="s">
        <v>59</v>
      </c>
      <c r="E693" s="2">
        <v>156</v>
      </c>
      <c r="F693" s="2">
        <v>3348.692</v>
      </c>
    </row>
    <row r="694" spans="3:6" x14ac:dyDescent="0.25">
      <c r="C694" s="2" t="s">
        <v>8005</v>
      </c>
      <c r="D694" s="2" t="s">
        <v>59</v>
      </c>
      <c r="E694" s="2">
        <v>102</v>
      </c>
      <c r="F694" s="2">
        <v>2012.63</v>
      </c>
    </row>
    <row r="695" spans="3:6" x14ac:dyDescent="0.25">
      <c r="C695" s="2" t="s">
        <v>8006</v>
      </c>
      <c r="D695" s="2" t="s">
        <v>59</v>
      </c>
      <c r="E695" s="2">
        <v>149</v>
      </c>
      <c r="F695" s="2">
        <v>2883.97</v>
      </c>
    </row>
    <row r="696" spans="3:6" x14ac:dyDescent="0.25">
      <c r="C696" s="2" t="s">
        <v>8007</v>
      </c>
      <c r="D696" s="2" t="s">
        <v>59</v>
      </c>
      <c r="E696" s="2">
        <v>251</v>
      </c>
      <c r="F696" s="2">
        <v>4867.071</v>
      </c>
    </row>
    <row r="698" spans="1:7" x14ac:dyDescent="0.25">
      <c r="A698" s="1">
        <v>46148</v>
      </c>
      <c r="B698" s="2" t="s">
        <v>664</v>
      </c>
      <c r="C698" s="2" t="s">
        <v>8008</v>
      </c>
      <c r="D698" s="2" t="s">
        <v>136</v>
      </c>
      <c r="E698" s="2">
        <v>133</v>
      </c>
      <c r="F698" s="2">
        <v>2669.37</v>
      </c>
      <c r="G698" s="1">
        <v>46147</v>
      </c>
    </row>
    <row r="700" spans="1:7" x14ac:dyDescent="0.25">
      <c r="A700" s="1">
        <v>46149</v>
      </c>
      <c r="B700" s="2" t="s">
        <v>433</v>
      </c>
      <c r="C700" s="2" t="s">
        <v>8009</v>
      </c>
      <c r="D700" s="2" t="s">
        <v>73</v>
      </c>
      <c r="E700" s="2">
        <v>93</v>
      </c>
      <c r="F700" s="2">
        <v>1815.39</v>
      </c>
      <c r="G700" s="1">
        <v>46147</v>
      </c>
    </row>
    <row r="701" spans="3:6" x14ac:dyDescent="0.25">
      <c r="C701" s="2" t="s">
        <v>8010</v>
      </c>
      <c r="D701" s="2" t="s">
        <v>73</v>
      </c>
      <c r="E701" s="2">
        <v>93</v>
      </c>
      <c r="F701" s="2">
        <v>1855.79</v>
      </c>
    </row>
    <row r="702" spans="3:6" x14ac:dyDescent="0.25">
      <c r="C702" s="2" t="s">
        <v>8011</v>
      </c>
      <c r="D702" s="2" t="s">
        <v>73</v>
      </c>
      <c r="E702" s="2">
        <v>56</v>
      </c>
      <c r="F702" s="2">
        <v>1095.299</v>
      </c>
    </row>
    <row r="703" spans="3:6" x14ac:dyDescent="0.25">
      <c r="C703" s="2" t="s">
        <v>8012</v>
      </c>
      <c r="D703" s="2" t="s">
        <v>73</v>
      </c>
      <c r="E703" s="2">
        <v>80</v>
      </c>
      <c r="F703" s="2">
        <v>1470.349</v>
      </c>
    </row>
    <row r="704" spans="3:6" x14ac:dyDescent="0.25">
      <c r="C704" s="2" t="s">
        <v>8013</v>
      </c>
      <c r="D704" s="2" t="s">
        <v>73</v>
      </c>
      <c r="E704" s="2">
        <v>21</v>
      </c>
      <c r="F704" s="2">
        <v>360.87</v>
      </c>
    </row>
    <row r="705" spans="3:6" x14ac:dyDescent="0.25">
      <c r="C705" s="2" t="s">
        <v>8014</v>
      </c>
      <c r="D705" s="2" t="s">
        <v>73</v>
      </c>
      <c r="E705" s="2">
        <v>42</v>
      </c>
      <c r="F705" s="2">
        <v>715.45</v>
      </c>
    </row>
    <row r="706" spans="3:6" x14ac:dyDescent="0.25">
      <c r="C706" s="2" t="s">
        <v>8015</v>
      </c>
      <c r="D706" s="2" t="s">
        <v>73</v>
      </c>
      <c r="E706" s="2">
        <v>93</v>
      </c>
      <c r="F706" s="2">
        <v>1825.319</v>
      </c>
    </row>
    <row r="708" spans="1:7" x14ac:dyDescent="0.25">
      <c r="A708" s="1">
        <v>46149</v>
      </c>
      <c r="B708" s="2" t="s">
        <v>7</v>
      </c>
      <c r="C708" s="2" t="s">
        <v>8016</v>
      </c>
      <c r="D708" s="2" t="s">
        <v>9</v>
      </c>
      <c r="E708" s="2">
        <v>99</v>
      </c>
      <c r="F708" s="2">
        <v>1987.733</v>
      </c>
      <c r="G708" s="1">
        <v>46148</v>
      </c>
    </row>
    <row r="709" spans="3:6" x14ac:dyDescent="0.25">
      <c r="C709" s="2" t="s">
        <v>8017</v>
      </c>
      <c r="D709" s="2" t="s">
        <v>9</v>
      </c>
      <c r="E709" s="2">
        <v>90</v>
      </c>
      <c r="F709" s="2">
        <v>1863.139</v>
      </c>
    </row>
    <row r="711" spans="1:7" x14ac:dyDescent="0.25">
      <c r="A711" s="1">
        <v>46149</v>
      </c>
      <c r="B711" s="2" t="s">
        <v>2084</v>
      </c>
      <c r="C711" s="2" t="s">
        <v>8018</v>
      </c>
      <c r="D711" s="2" t="s">
        <v>4096</v>
      </c>
      <c r="E711" s="2">
        <v>72</v>
      </c>
      <c r="F711" s="2">
        <v>1430.33</v>
      </c>
      <c r="G711" s="1">
        <v>46148</v>
      </c>
    </row>
    <row r="712" spans="3:6" x14ac:dyDescent="0.25">
      <c r="C712" s="2" t="s">
        <v>8019</v>
      </c>
      <c r="D712" s="2" t="s">
        <v>4096</v>
      </c>
      <c r="E712" s="2">
        <v>28</v>
      </c>
      <c r="F712" s="2">
        <v>559.26</v>
      </c>
    </row>
    <row r="714" spans="1:7" x14ac:dyDescent="0.25">
      <c r="A714" s="1">
        <v>46149</v>
      </c>
      <c r="B714" s="2" t="s">
        <v>7875</v>
      </c>
      <c r="C714" s="2" t="s">
        <v>8020</v>
      </c>
      <c r="D714" s="2" t="s">
        <v>59</v>
      </c>
      <c r="E714" s="2">
        <v>102</v>
      </c>
      <c r="F714" s="2">
        <v>2073.37</v>
      </c>
      <c r="G714" s="1">
        <v>46148</v>
      </c>
    </row>
    <row r="715" spans="3:6" x14ac:dyDescent="0.25">
      <c r="C715" s="2" t="s">
        <v>8021</v>
      </c>
      <c r="D715" s="2" t="s">
        <v>59</v>
      </c>
      <c r="E715" s="2">
        <v>102</v>
      </c>
      <c r="F715" s="2">
        <v>1979.13</v>
      </c>
    </row>
    <row r="716" spans="3:6" x14ac:dyDescent="0.25">
      <c r="C716" s="2" t="s">
        <v>8022</v>
      </c>
      <c r="D716" s="2" t="s">
        <v>59</v>
      </c>
      <c r="E716" s="2">
        <v>149</v>
      </c>
      <c r="F716" s="2">
        <v>2787.42</v>
      </c>
    </row>
    <row r="717" spans="3:6" x14ac:dyDescent="0.25">
      <c r="C717" s="2" t="s">
        <v>8023</v>
      </c>
      <c r="D717" s="2" t="s">
        <v>59</v>
      </c>
      <c r="E717" s="2">
        <v>149</v>
      </c>
      <c r="F717" s="2">
        <v>2771.259</v>
      </c>
    </row>
    <row r="718" spans="3:6" x14ac:dyDescent="0.25">
      <c r="C718" s="2" t="s">
        <v>8024</v>
      </c>
      <c r="D718" s="2" t="s">
        <v>59</v>
      </c>
      <c r="E718" s="2">
        <v>144</v>
      </c>
      <c r="F718" s="2">
        <v>2799.38</v>
      </c>
    </row>
    <row r="720" spans="1:7" x14ac:dyDescent="0.25">
      <c r="A720" s="1">
        <v>46149</v>
      </c>
      <c r="B720" s="2" t="s">
        <v>2428</v>
      </c>
      <c r="C720" s="2" t="s">
        <v>8025</v>
      </c>
      <c r="D720" s="2" t="s">
        <v>59</v>
      </c>
      <c r="E720" s="2">
        <v>105</v>
      </c>
      <c r="F720" s="2">
        <v>2034.19</v>
      </c>
      <c r="G720" s="1">
        <v>46147</v>
      </c>
    </row>
    <row r="721" spans="3:6" x14ac:dyDescent="0.25">
      <c r="C721" s="2" t="s">
        <v>8026</v>
      </c>
      <c r="D721" s="2" t="s">
        <v>59</v>
      </c>
      <c r="E721" s="2">
        <v>123</v>
      </c>
      <c r="F721" s="2">
        <v>2484.893</v>
      </c>
    </row>
    <row r="722" spans="3:6" x14ac:dyDescent="0.25">
      <c r="C722" s="2" t="s">
        <v>8027</v>
      </c>
      <c r="D722" s="2" t="s">
        <v>59</v>
      </c>
      <c r="E722" s="2">
        <v>294</v>
      </c>
      <c r="F722" s="2">
        <v>5755.401</v>
      </c>
    </row>
    <row r="723" spans="3:6" x14ac:dyDescent="0.25">
      <c r="C723" s="2" t="s">
        <v>8028</v>
      </c>
      <c r="D723" s="2" t="s">
        <v>59</v>
      </c>
      <c r="E723" s="2">
        <v>268</v>
      </c>
      <c r="F723" s="2">
        <v>5170.579</v>
      </c>
    </row>
    <row r="724" spans="3:6" x14ac:dyDescent="0.25">
      <c r="C724" s="2" t="s">
        <v>8029</v>
      </c>
      <c r="D724" s="2" t="s">
        <v>59</v>
      </c>
      <c r="E724" s="2">
        <v>105</v>
      </c>
      <c r="F724" s="2">
        <v>2060.99</v>
      </c>
    </row>
    <row r="725" spans="3:6" x14ac:dyDescent="0.25">
      <c r="C725" s="2" t="s">
        <v>8030</v>
      </c>
      <c r="D725" s="2" t="s">
        <v>59</v>
      </c>
      <c r="E725" s="2">
        <v>163</v>
      </c>
      <c r="F725" s="2">
        <v>3192.16</v>
      </c>
    </row>
    <row r="726" spans="3:6" x14ac:dyDescent="0.25">
      <c r="C726" s="2" t="s">
        <v>8031</v>
      </c>
      <c r="D726" s="2" t="s">
        <v>59</v>
      </c>
      <c r="E726" s="2">
        <v>210</v>
      </c>
      <c r="F726" s="2">
        <v>4179.099</v>
      </c>
    </row>
    <row r="727" spans="3:6" x14ac:dyDescent="0.25">
      <c r="C727" s="2" t="s">
        <v>8032</v>
      </c>
      <c r="D727" s="2" t="s">
        <v>59</v>
      </c>
      <c r="E727" s="2">
        <v>163</v>
      </c>
      <c r="F727" s="2">
        <v>3020.429</v>
      </c>
    </row>
    <row r="728" spans="3:6" x14ac:dyDescent="0.25">
      <c r="C728" s="2" t="s">
        <v>8033</v>
      </c>
      <c r="D728" s="2" t="s">
        <v>59</v>
      </c>
      <c r="E728" s="2">
        <v>106</v>
      </c>
      <c r="F728" s="2">
        <v>2007.47</v>
      </c>
    </row>
    <row r="730" spans="1:7" x14ac:dyDescent="0.25">
      <c r="A730" s="1">
        <v>46150</v>
      </c>
      <c r="B730" s="2" t="s">
        <v>71</v>
      </c>
      <c r="C730" s="2" t="s">
        <v>8034</v>
      </c>
      <c r="D730" s="2" t="s">
        <v>73</v>
      </c>
      <c r="E730" s="2">
        <v>39</v>
      </c>
      <c r="F730" s="2">
        <v>724.11</v>
      </c>
      <c r="G730" s="1">
        <v>46149</v>
      </c>
    </row>
    <row r="731" spans="3:6" x14ac:dyDescent="0.25">
      <c r="C731" s="2" t="s">
        <v>8035</v>
      </c>
      <c r="D731" s="2" t="s">
        <v>73</v>
      </c>
      <c r="E731" s="2">
        <v>23</v>
      </c>
      <c r="F731" s="2">
        <v>458.83</v>
      </c>
    </row>
    <row r="732" spans="3:6" x14ac:dyDescent="0.25">
      <c r="C732" s="2" t="s">
        <v>8036</v>
      </c>
      <c r="D732" s="2" t="s">
        <v>73</v>
      </c>
      <c r="E732" s="2">
        <v>16</v>
      </c>
      <c r="F732" s="2">
        <v>264.81</v>
      </c>
    </row>
    <row r="733" spans="3:6" x14ac:dyDescent="0.25">
      <c r="C733" s="2" t="s">
        <v>8037</v>
      </c>
      <c r="D733" s="2" t="s">
        <v>73</v>
      </c>
      <c r="E733" s="2">
        <v>90</v>
      </c>
      <c r="F733" s="2">
        <v>1763.52</v>
      </c>
    </row>
    <row r="734" spans="3:6" x14ac:dyDescent="0.25">
      <c r="C734" s="2" t="s">
        <v>8038</v>
      </c>
      <c r="D734" s="2" t="s">
        <v>73</v>
      </c>
      <c r="E734" s="2">
        <v>94</v>
      </c>
      <c r="F734" s="2">
        <v>1893.39</v>
      </c>
    </row>
    <row r="736" spans="1:7" x14ac:dyDescent="0.25">
      <c r="A736" s="1">
        <v>46150</v>
      </c>
      <c r="B736" s="2" t="s">
        <v>229</v>
      </c>
      <c r="C736" s="2" t="s">
        <v>8039</v>
      </c>
      <c r="D736" s="2" t="s">
        <v>82</v>
      </c>
      <c r="E736" s="2">
        <v>123</v>
      </c>
      <c r="F736" s="2">
        <v>2555.33</v>
      </c>
      <c r="G736" s="1">
        <v>46149</v>
      </c>
    </row>
    <row r="737" spans="3:6" x14ac:dyDescent="0.25">
      <c r="C737" s="2" t="s">
        <v>8040</v>
      </c>
      <c r="D737" s="2" t="s">
        <v>82</v>
      </c>
      <c r="E737" s="2">
        <v>123</v>
      </c>
      <c r="F737" s="2">
        <v>2497</v>
      </c>
    </row>
    <row r="738" spans="3:6" x14ac:dyDescent="0.25">
      <c r="C738" s="2" t="s">
        <v>8041</v>
      </c>
      <c r="D738" s="2" t="s">
        <v>82</v>
      </c>
      <c r="E738" s="2">
        <v>102</v>
      </c>
      <c r="F738" s="2">
        <v>2115.9</v>
      </c>
    </row>
    <row r="739" spans="3:6" x14ac:dyDescent="0.25">
      <c r="C739" s="2" t="s">
        <v>8042</v>
      </c>
      <c r="D739" s="2" t="s">
        <v>82</v>
      </c>
      <c r="E739" s="2">
        <v>102</v>
      </c>
      <c r="F739" s="2">
        <v>2191.7</v>
      </c>
    </row>
    <row r="740" spans="3:6" x14ac:dyDescent="0.25">
      <c r="C740" s="2" t="s">
        <v>8043</v>
      </c>
      <c r="D740" s="2" t="s">
        <v>82</v>
      </c>
      <c r="E740" s="2">
        <v>75</v>
      </c>
      <c r="F740" s="2">
        <v>1587.02</v>
      </c>
    </row>
    <row r="741" spans="3:6" x14ac:dyDescent="0.25">
      <c r="C741" s="2" t="s">
        <v>8044</v>
      </c>
      <c r="D741" s="2" t="s">
        <v>82</v>
      </c>
      <c r="E741" s="2">
        <v>102</v>
      </c>
      <c r="F741" s="2">
        <v>2142.51</v>
      </c>
    </row>
    <row r="742" spans="3:6" x14ac:dyDescent="0.25">
      <c r="C742" s="2" t="s">
        <v>8045</v>
      </c>
      <c r="D742" s="2" t="s">
        <v>82</v>
      </c>
      <c r="E742" s="2">
        <v>65</v>
      </c>
      <c r="F742" s="2">
        <v>1398.67</v>
      </c>
    </row>
    <row r="743" spans="3:6" x14ac:dyDescent="0.25">
      <c r="C743" s="2" t="s">
        <v>8046</v>
      </c>
      <c r="D743" s="2" t="s">
        <v>82</v>
      </c>
      <c r="E743" s="2">
        <v>37</v>
      </c>
      <c r="F743" s="2">
        <v>758.77</v>
      </c>
    </row>
    <row r="744" spans="3:6" x14ac:dyDescent="0.25">
      <c r="C744" s="2" t="s">
        <v>8047</v>
      </c>
      <c r="D744" s="2" t="s">
        <v>82</v>
      </c>
      <c r="E744" s="2">
        <v>15</v>
      </c>
      <c r="F744" s="2">
        <v>310.01</v>
      </c>
    </row>
    <row r="745" spans="3:6" x14ac:dyDescent="0.25">
      <c r="C745" s="2" t="s">
        <v>8048</v>
      </c>
      <c r="D745" s="2" t="s">
        <v>82</v>
      </c>
      <c r="E745" s="2">
        <v>108</v>
      </c>
      <c r="F745" s="2">
        <v>2292.81</v>
      </c>
    </row>
    <row r="746" spans="3:6" x14ac:dyDescent="0.25">
      <c r="C746" s="2" t="s">
        <v>8049</v>
      </c>
      <c r="D746" s="2" t="s">
        <v>82</v>
      </c>
      <c r="E746" s="2">
        <v>134</v>
      </c>
      <c r="F746" s="2">
        <v>2719.339</v>
      </c>
    </row>
    <row r="747" spans="3:6" x14ac:dyDescent="0.25">
      <c r="C747" s="2" t="s">
        <v>8050</v>
      </c>
      <c r="D747" s="2" t="s">
        <v>82</v>
      </c>
      <c r="E747" s="2">
        <v>64</v>
      </c>
      <c r="F747" s="2">
        <v>1296.89</v>
      </c>
    </row>
    <row r="748" spans="3:6" x14ac:dyDescent="0.25">
      <c r="C748" s="2" t="s">
        <v>8051</v>
      </c>
      <c r="D748" s="2" t="s">
        <v>82</v>
      </c>
      <c r="E748" s="2">
        <v>59</v>
      </c>
      <c r="F748" s="2">
        <v>1177.02</v>
      </c>
    </row>
    <row r="749" spans="3:6" x14ac:dyDescent="0.25">
      <c r="C749" s="2" t="s">
        <v>8052</v>
      </c>
      <c r="D749" s="2" t="s">
        <v>82</v>
      </c>
      <c r="E749" s="2">
        <v>141</v>
      </c>
      <c r="F749" s="2">
        <v>2966.49</v>
      </c>
    </row>
    <row r="750" spans="3:6" x14ac:dyDescent="0.25">
      <c r="C750" s="2" t="s">
        <v>8053</v>
      </c>
      <c r="D750" s="2" t="s">
        <v>82</v>
      </c>
      <c r="E750" s="2">
        <v>141</v>
      </c>
      <c r="F750" s="2">
        <v>2963.07</v>
      </c>
    </row>
    <row r="751" spans="3:6" x14ac:dyDescent="0.25">
      <c r="C751" s="2" t="s">
        <v>8054</v>
      </c>
      <c r="D751" s="2" t="s">
        <v>82</v>
      </c>
      <c r="E751" s="2">
        <v>60</v>
      </c>
      <c r="F751" s="2">
        <v>1161.55</v>
      </c>
    </row>
    <row r="752" spans="3:6" x14ac:dyDescent="0.25">
      <c r="C752" s="2" t="s">
        <v>8055</v>
      </c>
      <c r="D752" s="2" t="s">
        <v>82</v>
      </c>
      <c r="E752" s="2">
        <v>60</v>
      </c>
      <c r="F752" s="2">
        <v>1179.719</v>
      </c>
    </row>
    <row r="753" spans="3:6" x14ac:dyDescent="0.25">
      <c r="C753" s="2" t="s">
        <v>8056</v>
      </c>
      <c r="D753" s="2" t="s">
        <v>82</v>
      </c>
      <c r="E753" s="2">
        <v>21</v>
      </c>
      <c r="F753" s="2">
        <v>411.34</v>
      </c>
    </row>
    <row r="754" spans="3:6" x14ac:dyDescent="0.25">
      <c r="C754" s="2" t="s">
        <v>8057</v>
      </c>
      <c r="D754" s="2" t="s">
        <v>82</v>
      </c>
      <c r="E754" s="2">
        <f>105+69</f>
        <v>174</v>
      </c>
      <c r="F754" s="2">
        <f>451.46+306.42</f>
        <v>757.88</v>
      </c>
    </row>
    <row r="755" spans="3:6" x14ac:dyDescent="0.25">
      <c r="C755" s="2" t="s">
        <v>8058</v>
      </c>
      <c r="D755" s="2" t="s">
        <v>82</v>
      </c>
      <c r="E755" s="2">
        <v>103</v>
      </c>
      <c r="F755" s="2">
        <v>2176.97</v>
      </c>
    </row>
    <row r="756" spans="3:6" x14ac:dyDescent="0.25">
      <c r="C756" s="2" t="s">
        <v>8059</v>
      </c>
      <c r="D756" s="2" t="s">
        <v>82</v>
      </c>
      <c r="E756" s="2">
        <v>28</v>
      </c>
      <c r="F756" s="2">
        <v>533.09</v>
      </c>
    </row>
    <row r="757" spans="3:6" x14ac:dyDescent="0.25">
      <c r="C757" s="2" t="s">
        <v>8060</v>
      </c>
      <c r="D757" s="2" t="s">
        <v>82</v>
      </c>
      <c r="E757" s="2">
        <v>10</v>
      </c>
      <c r="F757" s="2">
        <v>202.3</v>
      </c>
    </row>
    <row r="758" spans="3:6" x14ac:dyDescent="0.25">
      <c r="C758" s="2" t="s">
        <v>8061</v>
      </c>
      <c r="D758" s="2" t="s">
        <v>82</v>
      </c>
      <c r="E758" s="2">
        <v>114</v>
      </c>
      <c r="F758" s="2">
        <v>1490.965</v>
      </c>
    </row>
    <row r="759" spans="3:6" x14ac:dyDescent="0.25">
      <c r="C759" s="2" t="s">
        <v>8062</v>
      </c>
      <c r="D759" s="2" t="s">
        <v>82</v>
      </c>
      <c r="E759" s="2">
        <v>116</v>
      </c>
      <c r="F759" s="2">
        <v>2273.765</v>
      </c>
    </row>
    <row r="760" spans="3:6" x14ac:dyDescent="0.25">
      <c r="C760" s="2" t="s">
        <v>8063</v>
      </c>
      <c r="D760" s="2" t="s">
        <v>82</v>
      </c>
      <c r="E760" s="2">
        <v>141</v>
      </c>
      <c r="F760" s="2">
        <v>2988.58</v>
      </c>
    </row>
    <row r="761" spans="3:6" x14ac:dyDescent="0.25">
      <c r="C761" s="2" t="s">
        <v>8064</v>
      </c>
      <c r="D761" s="2" t="s">
        <v>82</v>
      </c>
      <c r="E761" s="2">
        <v>32</v>
      </c>
      <c r="F761" s="2">
        <v>602.98</v>
      </c>
    </row>
    <row r="762" spans="3:6" x14ac:dyDescent="0.25">
      <c r="C762" s="2" t="s">
        <v>8065</v>
      </c>
      <c r="D762" s="2" t="s">
        <v>82</v>
      </c>
      <c r="E762" s="2">
        <v>27</v>
      </c>
      <c r="F762" s="2">
        <v>596.97</v>
      </c>
    </row>
    <row r="763" spans="3:6" x14ac:dyDescent="0.25">
      <c r="C763" s="2" t="s">
        <v>8066</v>
      </c>
      <c r="D763" s="2" t="s">
        <v>82</v>
      </c>
      <c r="E763" s="2">
        <v>68</v>
      </c>
      <c r="F763" s="2">
        <v>1415.75</v>
      </c>
    </row>
    <row r="764" spans="3:6" x14ac:dyDescent="0.25">
      <c r="C764" s="2" t="s">
        <v>8067</v>
      </c>
      <c r="D764" s="2" t="s">
        <v>82</v>
      </c>
      <c r="E764" s="2">
        <v>14</v>
      </c>
      <c r="F764" s="2">
        <v>295.86</v>
      </c>
    </row>
    <row r="765" spans="3:6" x14ac:dyDescent="0.25">
      <c r="C765" s="2" t="s">
        <v>8068</v>
      </c>
      <c r="D765" s="2" t="s">
        <v>82</v>
      </c>
      <c r="E765" s="2">
        <v>141</v>
      </c>
      <c r="F765" s="2">
        <v>2936.1</v>
      </c>
    </row>
    <row r="766" spans="3:6" x14ac:dyDescent="0.25">
      <c r="C766" s="2" t="s">
        <v>8069</v>
      </c>
      <c r="D766" s="2" t="s">
        <v>82</v>
      </c>
      <c r="E766" s="2">
        <v>56</v>
      </c>
      <c r="F766" s="2">
        <v>1183.46</v>
      </c>
    </row>
    <row r="767" spans="3:6" x14ac:dyDescent="0.25">
      <c r="C767" s="2" t="s">
        <v>8070</v>
      </c>
      <c r="D767" s="2" t="s">
        <v>82</v>
      </c>
      <c r="E767" s="2">
        <v>85</v>
      </c>
      <c r="F767" s="2">
        <v>1648.799</v>
      </c>
    </row>
    <row r="768" spans="3:6" x14ac:dyDescent="0.25">
      <c r="C768" s="2" t="s">
        <v>8071</v>
      </c>
      <c r="D768" s="2" t="s">
        <v>82</v>
      </c>
      <c r="E768" s="2">
        <v>33</v>
      </c>
      <c r="F768" s="2">
        <v>682.419</v>
      </c>
    </row>
    <row r="769" spans="3:6" x14ac:dyDescent="0.25">
      <c r="C769" s="2" t="s">
        <v>8072</v>
      </c>
      <c r="D769" s="2" t="s">
        <v>82</v>
      </c>
      <c r="E769" s="2">
        <v>27</v>
      </c>
      <c r="F769" s="2">
        <v>560.069</v>
      </c>
    </row>
    <row r="770" spans="3:6" x14ac:dyDescent="0.25">
      <c r="C770" s="2" t="s">
        <v>8073</v>
      </c>
      <c r="D770" s="2" t="s">
        <v>82</v>
      </c>
      <c r="E770" s="2">
        <v>40</v>
      </c>
      <c r="F770" s="2">
        <v>755.532</v>
      </c>
    </row>
    <row r="771" spans="3:6" x14ac:dyDescent="0.25">
      <c r="C771" s="2" t="s">
        <v>8074</v>
      </c>
      <c r="D771" s="2" t="s">
        <v>82</v>
      </c>
      <c r="E771" s="2">
        <v>26</v>
      </c>
      <c r="F771" s="2">
        <v>494</v>
      </c>
    </row>
    <row r="772" spans="3:6" x14ac:dyDescent="0.25">
      <c r="C772" s="2" t="s">
        <v>8075</v>
      </c>
      <c r="D772" s="2" t="s">
        <v>82</v>
      </c>
      <c r="E772" s="2">
        <v>15</v>
      </c>
      <c r="F772" s="2">
        <v>278.78</v>
      </c>
    </row>
    <row r="773" spans="3:6" x14ac:dyDescent="0.25">
      <c r="C773" s="2" t="s">
        <v>8076</v>
      </c>
      <c r="D773" s="2" t="s">
        <v>82</v>
      </c>
      <c r="E773" s="2">
        <v>103</v>
      </c>
      <c r="F773" s="2">
        <v>2202.14</v>
      </c>
    </row>
    <row r="774" spans="3:6" x14ac:dyDescent="0.25">
      <c r="C774" s="2" t="s">
        <v>8077</v>
      </c>
      <c r="D774" s="2" t="s">
        <v>82</v>
      </c>
      <c r="E774" s="2">
        <v>38</v>
      </c>
      <c r="F774" s="2">
        <v>752.55</v>
      </c>
    </row>
    <row r="775" spans="3:6" x14ac:dyDescent="0.25">
      <c r="C775" s="2" t="s">
        <v>8078</v>
      </c>
      <c r="D775" s="2" t="s">
        <v>82</v>
      </c>
      <c r="E775" s="2">
        <v>72</v>
      </c>
      <c r="F775" s="2">
        <v>1412.75</v>
      </c>
    </row>
    <row r="776" spans="3:6" x14ac:dyDescent="0.25">
      <c r="C776" s="2" t="s">
        <v>8079</v>
      </c>
      <c r="D776" s="2" t="s">
        <v>82</v>
      </c>
      <c r="E776" s="2">
        <v>30</v>
      </c>
      <c r="F776" s="2">
        <v>636.24</v>
      </c>
    </row>
    <row r="778" spans="2:7" x14ac:dyDescent="0.25">
      <c r="B778" s="2" t="s">
        <v>8080</v>
      </c>
      <c r="C778" s="2" t="s">
        <v>8081</v>
      </c>
      <c r="D778" s="2" t="s">
        <v>82</v>
      </c>
      <c r="E778" s="2" t="s">
        <v>4167</v>
      </c>
      <c r="F778" s="2" t="s">
        <v>4167</v>
      </c>
      <c r="G778" s="1">
        <v>46149</v>
      </c>
    </row>
    <row r="779" spans="3:6" x14ac:dyDescent="0.25">
      <c r="C779" s="2" t="s">
        <v>8082</v>
      </c>
      <c r="D779" s="2" t="s">
        <v>82</v>
      </c>
      <c r="E779" s="2" t="s">
        <v>4167</v>
      </c>
      <c r="F779" s="2" t="s">
        <v>4167</v>
      </c>
    </row>
    <row r="781" spans="1:7" x14ac:dyDescent="0.25">
      <c r="A781" s="1">
        <v>46150</v>
      </c>
      <c r="B781" s="2" t="s">
        <v>897</v>
      </c>
      <c r="C781" s="2" t="s">
        <v>8083</v>
      </c>
      <c r="D781" s="2" t="s">
        <v>292</v>
      </c>
      <c r="E781" s="2">
        <v>143</v>
      </c>
      <c r="F781" s="2">
        <v>2957.95</v>
      </c>
      <c r="G781" s="1">
        <v>46149</v>
      </c>
    </row>
    <row r="782" spans="3:6" x14ac:dyDescent="0.25">
      <c r="C782" s="2" t="s">
        <v>8084</v>
      </c>
      <c r="D782" s="2" t="s">
        <v>292</v>
      </c>
      <c r="E782" s="2">
        <v>143</v>
      </c>
      <c r="F782" s="2">
        <v>3036.73</v>
      </c>
    </row>
    <row r="783" spans="3:6" x14ac:dyDescent="0.25">
      <c r="C783" s="2" t="s">
        <v>8085</v>
      </c>
      <c r="D783" s="2" t="s">
        <v>292</v>
      </c>
      <c r="E783" s="2">
        <v>102</v>
      </c>
      <c r="F783" s="2">
        <v>2158.85</v>
      </c>
    </row>
    <row r="784" spans="3:6" x14ac:dyDescent="0.25">
      <c r="C784" s="2" t="s">
        <v>8086</v>
      </c>
      <c r="D784" s="2" t="s">
        <v>292</v>
      </c>
      <c r="E784" s="2">
        <v>102</v>
      </c>
      <c r="F784" s="2">
        <v>2080.3</v>
      </c>
    </row>
    <row r="785" spans="3:6" x14ac:dyDescent="0.25">
      <c r="C785" s="2" t="s">
        <v>8087</v>
      </c>
      <c r="D785" s="2" t="s">
        <v>292</v>
      </c>
      <c r="E785" s="2">
        <v>100</v>
      </c>
      <c r="F785" s="2">
        <v>2039.219</v>
      </c>
    </row>
    <row r="786" spans="3:6" x14ac:dyDescent="0.25">
      <c r="C786" s="2" t="s">
        <v>8088</v>
      </c>
      <c r="D786" s="2" t="s">
        <v>292</v>
      </c>
      <c r="E786" s="2">
        <v>102</v>
      </c>
      <c r="F786" s="2">
        <v>2091.3</v>
      </c>
    </row>
    <row r="787" spans="3:6" x14ac:dyDescent="0.25">
      <c r="C787" s="2" t="s">
        <v>8089</v>
      </c>
      <c r="D787" s="2" t="s">
        <v>292</v>
      </c>
      <c r="E787" s="2">
        <v>102</v>
      </c>
      <c r="F787" s="2">
        <v>2049.09</v>
      </c>
    </row>
    <row r="788" spans="3:6" x14ac:dyDescent="0.25">
      <c r="C788" s="2" t="s">
        <v>8090</v>
      </c>
      <c r="D788" s="2" t="s">
        <v>292</v>
      </c>
      <c r="E788" s="2">
        <v>69</v>
      </c>
      <c r="F788" s="2">
        <v>1428.322</v>
      </c>
    </row>
    <row r="789" spans="3:6" x14ac:dyDescent="0.25">
      <c r="C789" s="2" t="s">
        <v>8091</v>
      </c>
      <c r="D789" s="2" t="s">
        <v>292</v>
      </c>
      <c r="E789" s="2">
        <v>15</v>
      </c>
      <c r="F789" s="2">
        <v>288.65</v>
      </c>
    </row>
    <row r="790" spans="3:6" x14ac:dyDescent="0.25">
      <c r="C790" s="2" t="s">
        <v>8092</v>
      </c>
      <c r="D790" s="2" t="s">
        <v>292</v>
      </c>
      <c r="E790" s="2">
        <v>30</v>
      </c>
      <c r="F790" s="2">
        <v>627.97</v>
      </c>
    </row>
    <row r="791" spans="3:6" x14ac:dyDescent="0.25">
      <c r="C791" s="2" t="s">
        <v>8093</v>
      </c>
      <c r="D791" s="2" t="s">
        <v>292</v>
      </c>
      <c r="E791" s="2">
        <v>9</v>
      </c>
      <c r="F791" s="2">
        <v>160.03</v>
      </c>
    </row>
    <row r="792" spans="3:6" x14ac:dyDescent="0.25">
      <c r="C792" s="2" t="s">
        <v>8094</v>
      </c>
      <c r="D792" s="2" t="s">
        <v>292</v>
      </c>
      <c r="E792" s="2">
        <v>77</v>
      </c>
      <c r="F792" s="2">
        <v>1591.44</v>
      </c>
    </row>
    <row r="793" spans="3:6" x14ac:dyDescent="0.25">
      <c r="C793" s="2" t="s">
        <v>8095</v>
      </c>
      <c r="D793" s="2" t="s">
        <v>292</v>
      </c>
      <c r="E793" s="2">
        <v>38</v>
      </c>
      <c r="F793" s="2">
        <v>514.312</v>
      </c>
    </row>
    <row r="794" spans="3:6" x14ac:dyDescent="0.25">
      <c r="C794" s="2" t="s">
        <v>8096</v>
      </c>
      <c r="D794" s="2" t="s">
        <v>292</v>
      </c>
      <c r="E794" s="2">
        <v>123</v>
      </c>
      <c r="F794" s="2">
        <v>2440.58</v>
      </c>
    </row>
    <row r="795" spans="3:6" x14ac:dyDescent="0.25">
      <c r="C795" s="2" t="s">
        <v>8097</v>
      </c>
      <c r="D795" s="2" t="s">
        <v>292</v>
      </c>
      <c r="E795" s="2">
        <v>123</v>
      </c>
      <c r="F795" s="2">
        <v>2378.45</v>
      </c>
    </row>
    <row r="796" spans="3:6" x14ac:dyDescent="0.25">
      <c r="C796" s="2" t="s">
        <v>8098</v>
      </c>
      <c r="D796" s="2" t="s">
        <v>292</v>
      </c>
      <c r="E796" s="2">
        <v>20</v>
      </c>
      <c r="F796" s="2">
        <v>101.62</v>
      </c>
    </row>
    <row r="797" spans="3:6" x14ac:dyDescent="0.25">
      <c r="C797" s="2" t="s">
        <v>8099</v>
      </c>
      <c r="D797" s="2" t="s">
        <v>292</v>
      </c>
      <c r="E797" s="2">
        <v>113</v>
      </c>
      <c r="F797" s="2">
        <v>2350.61</v>
      </c>
    </row>
    <row r="798" spans="3:6" x14ac:dyDescent="0.25">
      <c r="C798" s="2" t="s">
        <v>8100</v>
      </c>
      <c r="D798" s="2" t="s">
        <v>292</v>
      </c>
      <c r="E798" s="2">
        <v>9</v>
      </c>
      <c r="F798" s="2">
        <v>117.29</v>
      </c>
    </row>
    <row r="799" spans="3:6" x14ac:dyDescent="0.25">
      <c r="C799" s="2" t="s">
        <v>8101</v>
      </c>
      <c r="D799" s="2" t="s">
        <v>292</v>
      </c>
      <c r="E799" s="2">
        <v>20</v>
      </c>
      <c r="F799" s="2">
        <v>414.53</v>
      </c>
    </row>
    <row r="800" spans="3:6" x14ac:dyDescent="0.25">
      <c r="C800" s="2" t="s">
        <v>8102</v>
      </c>
      <c r="D800" s="2" t="s">
        <v>292</v>
      </c>
      <c r="E800" s="2">
        <v>30</v>
      </c>
      <c r="F800" s="2">
        <v>158.48</v>
      </c>
    </row>
    <row r="801" spans="3:6" x14ac:dyDescent="0.25">
      <c r="C801" s="2" t="s">
        <v>8103</v>
      </c>
      <c r="D801" s="2" t="s">
        <v>292</v>
      </c>
      <c r="E801" s="2">
        <v>25</v>
      </c>
      <c r="F801" s="2">
        <v>496.39</v>
      </c>
    </row>
    <row r="802" spans="3:6" x14ac:dyDescent="0.25">
      <c r="C802" s="2" t="s">
        <v>8104</v>
      </c>
      <c r="D802" s="2" t="s">
        <v>292</v>
      </c>
      <c r="E802" s="2">
        <v>100</v>
      </c>
      <c r="F802" s="2">
        <v>2046.921</v>
      </c>
    </row>
    <row r="803" spans="3:6" x14ac:dyDescent="0.25">
      <c r="C803" s="2" t="s">
        <v>8105</v>
      </c>
      <c r="D803" s="2" t="s">
        <v>292</v>
      </c>
      <c r="E803" s="2">
        <v>80</v>
      </c>
      <c r="F803" s="2">
        <v>1630.029</v>
      </c>
    </row>
    <row r="804" spans="3:6" x14ac:dyDescent="0.25">
      <c r="C804" s="2" t="s">
        <v>8106</v>
      </c>
      <c r="D804" s="2" t="s">
        <v>292</v>
      </c>
      <c r="E804" s="2">
        <v>18</v>
      </c>
      <c r="F804" s="2">
        <v>421.08</v>
      </c>
    </row>
    <row r="805" spans="3:6" x14ac:dyDescent="0.25">
      <c r="C805" s="2" t="s">
        <v>8107</v>
      </c>
      <c r="D805" s="2" t="s">
        <v>292</v>
      </c>
      <c r="E805" s="2">
        <v>43</v>
      </c>
      <c r="F805" s="2">
        <v>881.13</v>
      </c>
    </row>
    <row r="806" spans="3:6" x14ac:dyDescent="0.25">
      <c r="C806" s="2" t="s">
        <v>8108</v>
      </c>
      <c r="D806" s="2" t="s">
        <v>292</v>
      </c>
      <c r="E806" s="2">
        <v>73</v>
      </c>
      <c r="F806" s="2">
        <v>1515.007</v>
      </c>
    </row>
    <row r="807" spans="3:6" x14ac:dyDescent="0.25">
      <c r="C807" s="2" t="s">
        <v>8109</v>
      </c>
      <c r="D807" s="2" t="s">
        <v>292</v>
      </c>
      <c r="E807" s="2">
        <v>14</v>
      </c>
      <c r="F807" s="2">
        <v>300.3</v>
      </c>
    </row>
    <row r="808" spans="3:6" x14ac:dyDescent="0.25">
      <c r="C808" s="2" t="s">
        <v>8110</v>
      </c>
      <c r="D808" s="2" t="s">
        <v>292</v>
      </c>
      <c r="E808" s="2">
        <v>54</v>
      </c>
      <c r="F808" s="2">
        <v>1125.96</v>
      </c>
    </row>
    <row r="809" spans="3:6" x14ac:dyDescent="0.25">
      <c r="C809" s="2" t="s">
        <v>8111</v>
      </c>
      <c r="D809" s="2" t="s">
        <v>292</v>
      </c>
      <c r="E809" s="2">
        <v>63</v>
      </c>
      <c r="F809" s="2">
        <v>1310.45</v>
      </c>
    </row>
    <row r="810" spans="3:6" x14ac:dyDescent="0.25">
      <c r="C810" s="2" t="s">
        <v>8112</v>
      </c>
      <c r="D810" s="2" t="s">
        <v>292</v>
      </c>
      <c r="E810" s="2">
        <v>19</v>
      </c>
      <c r="F810" s="2">
        <v>391.25</v>
      </c>
    </row>
    <row r="811" spans="3:6" x14ac:dyDescent="0.25">
      <c r="C811" s="2" t="s">
        <v>8113</v>
      </c>
      <c r="D811" s="2" t="s">
        <v>292</v>
      </c>
      <c r="E811" s="2">
        <v>51</v>
      </c>
      <c r="F811" s="2">
        <v>1054.842</v>
      </c>
    </row>
    <row r="812" spans="3:6" x14ac:dyDescent="0.25">
      <c r="C812" s="2" t="s">
        <v>8114</v>
      </c>
      <c r="D812" s="2" t="s">
        <v>292</v>
      </c>
      <c r="E812" s="2">
        <v>28</v>
      </c>
      <c r="F812" s="2">
        <v>575.26</v>
      </c>
    </row>
    <row r="813" spans="3:6" x14ac:dyDescent="0.25">
      <c r="C813" s="2" t="s">
        <v>8115</v>
      </c>
      <c r="D813" s="2" t="s">
        <v>292</v>
      </c>
      <c r="E813" s="2">
        <v>47</v>
      </c>
      <c r="F813" s="2">
        <v>1101.34</v>
      </c>
    </row>
    <row r="814" spans="3:6" x14ac:dyDescent="0.25">
      <c r="C814" s="2" t="s">
        <v>8116</v>
      </c>
      <c r="D814" s="2" t="s">
        <v>292</v>
      </c>
      <c r="E814" s="2">
        <v>66</v>
      </c>
      <c r="F814" s="2">
        <v>1342.049</v>
      </c>
    </row>
    <row r="815" spans="3:6" x14ac:dyDescent="0.25">
      <c r="C815" s="2" t="s">
        <v>8117</v>
      </c>
      <c r="D815" s="2" t="s">
        <v>292</v>
      </c>
      <c r="E815" s="2">
        <v>115</v>
      </c>
      <c r="F815" s="2">
        <v>1379.517</v>
      </c>
    </row>
    <row r="816" spans="3:6" x14ac:dyDescent="0.25">
      <c r="C816" s="2" t="s">
        <v>8118</v>
      </c>
      <c r="D816" s="2" t="s">
        <v>292</v>
      </c>
      <c r="E816" s="2">
        <v>27</v>
      </c>
      <c r="F816" s="2">
        <v>489.309</v>
      </c>
    </row>
    <row r="817" spans="3:6" x14ac:dyDescent="0.25">
      <c r="C817" s="2" t="s">
        <v>8119</v>
      </c>
      <c r="D817" s="2" t="s">
        <v>292</v>
      </c>
      <c r="E817" s="2">
        <v>75</v>
      </c>
      <c r="F817" s="2">
        <v>387.436</v>
      </c>
    </row>
    <row r="818" spans="3:6" x14ac:dyDescent="0.25">
      <c r="C818" s="2" t="s">
        <v>8120</v>
      </c>
      <c r="D818" s="2" t="s">
        <v>292</v>
      </c>
      <c r="E818" s="2">
        <v>75</v>
      </c>
      <c r="F818" s="2">
        <v>388.31</v>
      </c>
    </row>
    <row r="819" spans="3:6" x14ac:dyDescent="0.25">
      <c r="C819" s="2" t="s">
        <v>8121</v>
      </c>
      <c r="D819" s="2" t="s">
        <v>292</v>
      </c>
      <c r="E819" s="2">
        <v>142</v>
      </c>
      <c r="F819" s="2">
        <v>2632.718</v>
      </c>
    </row>
    <row r="820" spans="3:6" x14ac:dyDescent="0.25">
      <c r="C820" s="2" t="s">
        <v>8122</v>
      </c>
      <c r="D820" s="2" t="s">
        <v>292</v>
      </c>
      <c r="E820" s="2">
        <v>141</v>
      </c>
      <c r="F820" s="2">
        <v>2910.64</v>
      </c>
    </row>
    <row r="821" spans="3:6" x14ac:dyDescent="0.25">
      <c r="C821" s="2" t="s">
        <v>8123</v>
      </c>
      <c r="D821" s="2" t="s">
        <v>292</v>
      </c>
      <c r="E821" s="2">
        <v>141</v>
      </c>
      <c r="F821" s="2">
        <v>2893.08</v>
      </c>
    </row>
    <row r="822" spans="3:6" x14ac:dyDescent="0.25">
      <c r="C822" s="2" t="s">
        <v>8124</v>
      </c>
      <c r="D822" s="2" t="s">
        <v>292</v>
      </c>
      <c r="E822" s="2">
        <v>133</v>
      </c>
      <c r="F822" s="2">
        <v>2545.478</v>
      </c>
    </row>
    <row r="823" spans="3:6" x14ac:dyDescent="0.25">
      <c r="C823" s="2" t="s">
        <v>8125</v>
      </c>
      <c r="D823" s="2" t="s">
        <v>292</v>
      </c>
      <c r="E823" s="2">
        <v>141</v>
      </c>
      <c r="F823" s="2">
        <v>2933.93</v>
      </c>
    </row>
    <row r="824" spans="3:6" x14ac:dyDescent="0.25">
      <c r="C824" s="2" t="s">
        <v>8126</v>
      </c>
      <c r="D824" s="2" t="s">
        <v>292</v>
      </c>
      <c r="E824" s="2">
        <v>62</v>
      </c>
      <c r="F824" s="2" t="s">
        <v>4167</v>
      </c>
    </row>
    <row r="825" spans="3:6" x14ac:dyDescent="0.25">
      <c r="C825" s="2" t="s">
        <v>8127</v>
      </c>
      <c r="D825" s="2" t="s">
        <v>292</v>
      </c>
      <c r="E825" s="2">
        <v>72</v>
      </c>
      <c r="F825" s="2">
        <v>1524.389</v>
      </c>
    </row>
    <row r="826" spans="3:6" x14ac:dyDescent="0.25">
      <c r="C826" s="2" t="s">
        <v>8128</v>
      </c>
      <c r="D826" s="2" t="s">
        <v>292</v>
      </c>
      <c r="E826" s="2">
        <v>49</v>
      </c>
      <c r="F826" s="2">
        <v>1009.689</v>
      </c>
    </row>
    <row r="827" spans="3:6" x14ac:dyDescent="0.25">
      <c r="C827" s="2" t="s">
        <v>8129</v>
      </c>
      <c r="D827" s="2" t="s">
        <v>292</v>
      </c>
      <c r="E827" s="2">
        <v>40</v>
      </c>
      <c r="F827" s="2">
        <v>546.041</v>
      </c>
    </row>
    <row r="828" spans="3:6" x14ac:dyDescent="0.25">
      <c r="C828" s="2" t="s">
        <v>8130</v>
      </c>
      <c r="D828" s="2" t="s">
        <v>292</v>
      </c>
      <c r="E828" s="2">
        <v>39</v>
      </c>
      <c r="F828" s="2">
        <v>805.43</v>
      </c>
    </row>
    <row r="829" spans="3:6" x14ac:dyDescent="0.25">
      <c r="C829" s="2" t="s">
        <v>8131</v>
      </c>
      <c r="D829" s="2" t="s">
        <v>292</v>
      </c>
      <c r="E829" s="2">
        <v>30</v>
      </c>
      <c r="F829" s="2">
        <v>358.647</v>
      </c>
    </row>
    <row r="830" spans="3:6" x14ac:dyDescent="0.25">
      <c r="C830" s="2" t="s">
        <v>8132</v>
      </c>
      <c r="D830" s="2" t="s">
        <v>292</v>
      </c>
      <c r="E830" s="2">
        <v>7</v>
      </c>
      <c r="F830" s="2">
        <v>84.4</v>
      </c>
    </row>
    <row r="831" spans="3:6" x14ac:dyDescent="0.25">
      <c r="C831" s="2" t="s">
        <v>8133</v>
      </c>
      <c r="D831" s="2" t="s">
        <v>292</v>
      </c>
      <c r="E831" s="2">
        <v>25</v>
      </c>
      <c r="F831" s="2">
        <v>557.87</v>
      </c>
    </row>
    <row r="832" spans="3:6" x14ac:dyDescent="0.25">
      <c r="C832" s="2" t="s">
        <v>8134</v>
      </c>
      <c r="D832" s="2" t="s">
        <v>292</v>
      </c>
      <c r="E832" s="2">
        <v>65</v>
      </c>
      <c r="F832" s="2">
        <v>1311.71</v>
      </c>
    </row>
    <row r="833" spans="3:6" x14ac:dyDescent="0.25">
      <c r="C833" s="2" t="s">
        <v>8135</v>
      </c>
      <c r="D833" s="2" t="s">
        <v>292</v>
      </c>
      <c r="E833" s="2">
        <v>10</v>
      </c>
      <c r="F833" s="2">
        <v>195.22</v>
      </c>
    </row>
    <row r="835" spans="1:7" x14ac:dyDescent="0.25">
      <c r="A835" s="1">
        <v>46150</v>
      </c>
      <c r="B835" s="2" t="s">
        <v>290</v>
      </c>
      <c r="C835" s="2" t="s">
        <v>8136</v>
      </c>
      <c r="D835" s="2" t="s">
        <v>178</v>
      </c>
      <c r="E835" s="2">
        <v>30</v>
      </c>
      <c r="F835" s="2">
        <v>126.369</v>
      </c>
      <c r="G835" s="1">
        <v>46149</v>
      </c>
    </row>
    <row r="836" spans="3:6" x14ac:dyDescent="0.25">
      <c r="C836" s="2" t="s">
        <v>8137</v>
      </c>
      <c r="D836" s="2" t="s">
        <v>178</v>
      </c>
      <c r="E836" s="2">
        <v>75</v>
      </c>
      <c r="F836" s="2">
        <v>316.689</v>
      </c>
    </row>
    <row r="837" spans="3:6" x14ac:dyDescent="0.25">
      <c r="C837" s="2" t="s">
        <v>8138</v>
      </c>
      <c r="D837" s="2" t="s">
        <v>178</v>
      </c>
      <c r="E837" s="2">
        <v>75</v>
      </c>
      <c r="F837" s="2">
        <v>318.22</v>
      </c>
    </row>
    <row r="838" spans="3:6" x14ac:dyDescent="0.25">
      <c r="C838" s="2" t="s">
        <v>8139</v>
      </c>
      <c r="D838" s="2" t="s">
        <v>178</v>
      </c>
      <c r="E838" s="2">
        <v>15</v>
      </c>
      <c r="F838" s="2">
        <v>69.67</v>
      </c>
    </row>
    <row r="839" spans="3:6" x14ac:dyDescent="0.25">
      <c r="C839" s="2" t="s">
        <v>8140</v>
      </c>
      <c r="D839" s="2" t="s">
        <v>178</v>
      </c>
      <c r="E839" s="2">
        <v>123</v>
      </c>
      <c r="F839" s="2">
        <v>2487.37</v>
      </c>
    </row>
    <row r="840" spans="3:6" x14ac:dyDescent="0.25">
      <c r="C840" s="2" t="s">
        <v>8141</v>
      </c>
      <c r="D840" s="2" t="s">
        <v>178</v>
      </c>
      <c r="E840" s="2">
        <v>123</v>
      </c>
      <c r="F840" s="2">
        <v>2485.559</v>
      </c>
    </row>
    <row r="841" spans="3:6" x14ac:dyDescent="0.25">
      <c r="C841" s="2" t="s">
        <v>8142</v>
      </c>
      <c r="D841" s="2" t="s">
        <v>178</v>
      </c>
      <c r="E841" s="2">
        <v>123</v>
      </c>
      <c r="F841" s="2">
        <v>2555.93</v>
      </c>
    </row>
    <row r="842" spans="3:6" x14ac:dyDescent="0.25">
      <c r="C842" s="2" t="s">
        <v>8143</v>
      </c>
      <c r="D842" s="2" t="s">
        <v>178</v>
      </c>
      <c r="E842" s="2">
        <v>123</v>
      </c>
      <c r="F842" s="2">
        <v>2530.16</v>
      </c>
    </row>
    <row r="843" spans="3:6" x14ac:dyDescent="0.25">
      <c r="C843" s="2" t="s">
        <v>8144</v>
      </c>
      <c r="D843" s="2" t="s">
        <v>178</v>
      </c>
      <c r="E843" s="2">
        <v>204</v>
      </c>
      <c r="F843" s="2">
        <v>4178.84</v>
      </c>
    </row>
    <row r="844" spans="3:6" x14ac:dyDescent="0.25">
      <c r="C844" s="2" t="s">
        <v>8145</v>
      </c>
      <c r="D844" s="2" t="s">
        <v>178</v>
      </c>
      <c r="E844" s="2">
        <v>141</v>
      </c>
      <c r="F844" s="2">
        <v>2899.3</v>
      </c>
    </row>
    <row r="845" spans="3:6" x14ac:dyDescent="0.25">
      <c r="C845" s="2" t="s">
        <v>8146</v>
      </c>
      <c r="D845" s="2" t="s">
        <v>178</v>
      </c>
      <c r="E845" s="2">
        <v>141</v>
      </c>
      <c r="F845" s="2">
        <v>2841.82</v>
      </c>
    </row>
    <row r="846" spans="3:6" x14ac:dyDescent="0.25">
      <c r="C846" s="2" t="s">
        <v>7909</v>
      </c>
      <c r="D846" s="2" t="s">
        <v>178</v>
      </c>
      <c r="E846" s="2">
        <v>102</v>
      </c>
      <c r="F846" s="2">
        <v>2094.01</v>
      </c>
    </row>
    <row r="847" spans="3:6" x14ac:dyDescent="0.25">
      <c r="C847" s="2" t="s">
        <v>8147</v>
      </c>
      <c r="D847" s="2" t="s">
        <v>178</v>
      </c>
      <c r="E847" s="2">
        <v>141</v>
      </c>
      <c r="F847" s="2">
        <v>2835.86</v>
      </c>
    </row>
    <row r="848" spans="3:6" x14ac:dyDescent="0.25">
      <c r="C848" s="2" t="s">
        <v>8148</v>
      </c>
      <c r="D848" s="2" t="s">
        <v>178</v>
      </c>
      <c r="E848" s="2">
        <v>282</v>
      </c>
      <c r="F848" s="2">
        <v>5935.69</v>
      </c>
    </row>
    <row r="849" spans="3:6" x14ac:dyDescent="0.25">
      <c r="C849" s="2" t="s">
        <v>8149</v>
      </c>
      <c r="D849" s="2" t="s">
        <v>178</v>
      </c>
      <c r="E849" s="2">
        <v>141</v>
      </c>
      <c r="F849" s="2">
        <v>2977.11</v>
      </c>
    </row>
    <row r="850" spans="3:6" x14ac:dyDescent="0.25">
      <c r="C850" s="2" t="s">
        <v>8150</v>
      </c>
      <c r="D850" s="2" t="s">
        <v>178</v>
      </c>
      <c r="E850" s="2">
        <v>141</v>
      </c>
      <c r="F850" s="2">
        <v>2705.56</v>
      </c>
    </row>
    <row r="851" spans="3:6" x14ac:dyDescent="0.25">
      <c r="C851" s="2" t="s">
        <v>8151</v>
      </c>
      <c r="D851" s="2" t="s">
        <v>178</v>
      </c>
      <c r="E851" s="2">
        <v>102</v>
      </c>
      <c r="F851" s="2">
        <v>1903.519</v>
      </c>
    </row>
    <row r="852" spans="3:6" x14ac:dyDescent="0.25">
      <c r="C852" s="2" t="s">
        <v>8152</v>
      </c>
      <c r="D852" s="2" t="s">
        <v>178</v>
      </c>
      <c r="E852" s="2">
        <v>134</v>
      </c>
      <c r="F852" s="2">
        <v>2455.998</v>
      </c>
    </row>
    <row r="853" spans="3:6" x14ac:dyDescent="0.25">
      <c r="C853" s="2" t="s">
        <v>8153</v>
      </c>
      <c r="D853" s="2" t="s">
        <v>178</v>
      </c>
      <c r="E853" s="2">
        <v>102</v>
      </c>
      <c r="F853" s="2">
        <v>2166.27</v>
      </c>
    </row>
    <row r="854" spans="3:6" x14ac:dyDescent="0.25">
      <c r="C854" s="2" t="s">
        <v>8154</v>
      </c>
      <c r="D854" s="2" t="s">
        <v>178</v>
      </c>
      <c r="E854" s="2">
        <v>30</v>
      </c>
      <c r="F854" s="2">
        <v>591.31</v>
      </c>
    </row>
    <row r="855" spans="3:6" x14ac:dyDescent="0.25">
      <c r="C855" s="2" t="s">
        <v>8155</v>
      </c>
      <c r="D855" s="2" t="s">
        <v>178</v>
      </c>
      <c r="E855" s="2">
        <v>72</v>
      </c>
      <c r="F855" s="2">
        <v>1387.58</v>
      </c>
    </row>
    <row r="856" spans="3:6" x14ac:dyDescent="0.25">
      <c r="C856" s="2" t="s">
        <v>8156</v>
      </c>
      <c r="D856" s="2" t="s">
        <v>178</v>
      </c>
      <c r="E856" s="2">
        <v>282</v>
      </c>
      <c r="F856" s="2">
        <v>5764.909</v>
      </c>
    </row>
    <row r="857" spans="3:6" x14ac:dyDescent="0.25">
      <c r="C857" s="2" t="s">
        <v>8157</v>
      </c>
      <c r="D857" s="2" t="s">
        <v>178</v>
      </c>
      <c r="E857" s="2">
        <v>243</v>
      </c>
      <c r="F857" s="2">
        <v>5199.28</v>
      </c>
    </row>
    <row r="858" spans="3:6" x14ac:dyDescent="0.25">
      <c r="C858" s="2" t="s">
        <v>8158</v>
      </c>
      <c r="D858" s="2" t="s">
        <v>178</v>
      </c>
      <c r="E858" s="2">
        <v>141</v>
      </c>
      <c r="F858" s="2">
        <v>2913.89</v>
      </c>
    </row>
    <row r="859" spans="3:6" x14ac:dyDescent="0.25">
      <c r="C859" s="2" t="s">
        <v>8159</v>
      </c>
      <c r="D859" s="2" t="s">
        <v>178</v>
      </c>
      <c r="E859" s="2">
        <v>141</v>
      </c>
      <c r="F859" s="2">
        <v>2950.24</v>
      </c>
    </row>
    <row r="860" spans="3:6" x14ac:dyDescent="0.25">
      <c r="C860" s="2" t="s">
        <v>8160</v>
      </c>
      <c r="D860" s="2" t="s">
        <v>178</v>
      </c>
      <c r="E860" s="2">
        <v>47</v>
      </c>
      <c r="F860" s="2">
        <v>820.14</v>
      </c>
    </row>
    <row r="861" spans="3:6" x14ac:dyDescent="0.25">
      <c r="C861" s="2" t="s">
        <v>8161</v>
      </c>
      <c r="D861" s="2" t="s">
        <v>178</v>
      </c>
      <c r="E861" s="2">
        <v>30</v>
      </c>
      <c r="F861" s="2">
        <v>572.73</v>
      </c>
    </row>
    <row r="862" spans="3:6" x14ac:dyDescent="0.25">
      <c r="C862" s="2" t="s">
        <v>8162</v>
      </c>
      <c r="D862" s="2" t="s">
        <v>178</v>
      </c>
      <c r="E862" s="2">
        <v>61</v>
      </c>
      <c r="F862" s="2">
        <v>1128.388</v>
      </c>
    </row>
    <row r="863" spans="3:6" x14ac:dyDescent="0.25">
      <c r="C863" s="2" t="s">
        <v>8163</v>
      </c>
      <c r="D863" s="2" t="s">
        <v>178</v>
      </c>
      <c r="E863" s="2">
        <v>80</v>
      </c>
      <c r="F863" s="2">
        <v>1522.589</v>
      </c>
    </row>
    <row r="864" spans="3:6" x14ac:dyDescent="0.25">
      <c r="C864" s="2" t="s">
        <v>8164</v>
      </c>
      <c r="D864" s="2" t="s">
        <v>178</v>
      </c>
      <c r="E864" s="2">
        <v>141</v>
      </c>
      <c r="F864" s="2">
        <v>2920.719</v>
      </c>
    </row>
    <row r="865" spans="3:6" x14ac:dyDescent="0.25">
      <c r="C865" s="2" t="s">
        <v>8165</v>
      </c>
      <c r="D865" s="2" t="s">
        <v>178</v>
      </c>
      <c r="E865" s="2">
        <v>116</v>
      </c>
      <c r="F865" s="2">
        <v>2267.16</v>
      </c>
    </row>
    <row r="866" spans="3:6" x14ac:dyDescent="0.25">
      <c r="C866" s="2" t="s">
        <v>8166</v>
      </c>
      <c r="D866" s="2" t="s">
        <v>178</v>
      </c>
      <c r="E866" s="2">
        <v>25</v>
      </c>
      <c r="F866" s="2">
        <v>430.18</v>
      </c>
    </row>
    <row r="867" spans="3:6" x14ac:dyDescent="0.25">
      <c r="C867" s="2" t="s">
        <v>8167</v>
      </c>
      <c r="D867" s="2" t="s">
        <v>178</v>
      </c>
      <c r="E867" s="2">
        <v>141</v>
      </c>
      <c r="F867" s="2">
        <v>2992.47</v>
      </c>
    </row>
    <row r="868" spans="3:6" x14ac:dyDescent="0.25">
      <c r="C868" s="2" t="s">
        <v>8168</v>
      </c>
      <c r="D868" s="2" t="s">
        <v>178</v>
      </c>
      <c r="E868" s="2">
        <v>81</v>
      </c>
      <c r="F868" s="2">
        <v>1646.66</v>
      </c>
    </row>
    <row r="869" spans="3:6" x14ac:dyDescent="0.25">
      <c r="C869" s="2" t="s">
        <v>8169</v>
      </c>
      <c r="D869" s="2" t="s">
        <v>178</v>
      </c>
      <c r="E869" s="2">
        <v>60</v>
      </c>
      <c r="F869" s="2">
        <v>1233.88</v>
      </c>
    </row>
    <row r="870" spans="3:6" x14ac:dyDescent="0.25">
      <c r="C870" s="2" t="s">
        <v>8170</v>
      </c>
      <c r="D870" s="2" t="s">
        <v>59</v>
      </c>
      <c r="E870" s="2">
        <v>141</v>
      </c>
      <c r="F870" s="2">
        <v>2761.839</v>
      </c>
    </row>
    <row r="872" spans="1:7" x14ac:dyDescent="0.25">
      <c r="A872" s="1">
        <v>46150</v>
      </c>
      <c r="B872" s="2" t="s">
        <v>989</v>
      </c>
      <c r="C872" s="2" t="s">
        <v>8171</v>
      </c>
      <c r="D872" s="2" t="s">
        <v>9</v>
      </c>
      <c r="E872" s="2">
        <v>156</v>
      </c>
      <c r="F872" s="2">
        <v>3128.73</v>
      </c>
      <c r="G872" s="1">
        <v>46150</v>
      </c>
    </row>
    <row r="873" spans="3:6" x14ac:dyDescent="0.25">
      <c r="C873" s="2" t="s">
        <v>8172</v>
      </c>
      <c r="D873" s="2" t="s">
        <v>9</v>
      </c>
      <c r="E873" s="2">
        <v>156</v>
      </c>
      <c r="F873" s="2">
        <v>3210.59</v>
      </c>
    </row>
    <row r="874" spans="3:6" x14ac:dyDescent="0.25">
      <c r="C874" s="2" t="s">
        <v>8173</v>
      </c>
      <c r="D874" s="2" t="s">
        <v>9</v>
      </c>
      <c r="E874" s="2">
        <v>57</v>
      </c>
      <c r="F874" s="2">
        <v>1199.07</v>
      </c>
    </row>
    <row r="876" spans="1:7" x14ac:dyDescent="0.25">
      <c r="A876" s="1">
        <v>46150</v>
      </c>
      <c r="B876" s="2" t="s">
        <v>7</v>
      </c>
      <c r="C876" s="2" t="s">
        <v>8174</v>
      </c>
      <c r="D876" s="2" t="s">
        <v>9</v>
      </c>
      <c r="E876" s="2">
        <v>99</v>
      </c>
      <c r="F876" s="2">
        <v>1787.479</v>
      </c>
      <c r="G876" s="1">
        <v>46149</v>
      </c>
    </row>
    <row r="877" spans="3:6" x14ac:dyDescent="0.25">
      <c r="C877" s="2" t="s">
        <v>8175</v>
      </c>
      <c r="D877" s="2" t="s">
        <v>9</v>
      </c>
      <c r="E877" s="2">
        <v>99</v>
      </c>
      <c r="F877" s="2">
        <v>1981.844</v>
      </c>
    </row>
    <row r="879" spans="1:7" x14ac:dyDescent="0.25">
      <c r="A879" s="1">
        <v>46150</v>
      </c>
      <c r="B879" s="2" t="s">
        <v>347</v>
      </c>
      <c r="C879" s="2" t="s">
        <v>8176</v>
      </c>
      <c r="D879" s="2" t="s">
        <v>59</v>
      </c>
      <c r="E879" s="2">
        <v>251</v>
      </c>
      <c r="F879" s="2">
        <v>4963.09</v>
      </c>
      <c r="G879" s="1">
        <v>46148</v>
      </c>
    </row>
    <row r="880" spans="3:6" x14ac:dyDescent="0.25">
      <c r="C880" s="2" t="s">
        <v>8177</v>
      </c>
      <c r="D880" s="2" t="s">
        <v>59</v>
      </c>
      <c r="E880" s="2">
        <v>251</v>
      </c>
      <c r="F880" s="2">
        <v>4783.629</v>
      </c>
    </row>
    <row r="881" spans="3:6" x14ac:dyDescent="0.25">
      <c r="C881" s="2" t="s">
        <v>8178</v>
      </c>
      <c r="D881" s="2" t="s">
        <v>59</v>
      </c>
      <c r="E881" s="2">
        <v>149</v>
      </c>
      <c r="F881" s="2">
        <v>2769.39</v>
      </c>
    </row>
    <row r="882" spans="3:6" x14ac:dyDescent="0.25">
      <c r="C882" s="2" t="s">
        <v>8179</v>
      </c>
      <c r="D882" s="2" t="s">
        <v>59</v>
      </c>
      <c r="E882" s="2">
        <v>258</v>
      </c>
      <c r="F882" s="2">
        <v>5309.094</v>
      </c>
    </row>
    <row r="883" spans="3:6" x14ac:dyDescent="0.25">
      <c r="C883" s="2" t="s">
        <v>8180</v>
      </c>
      <c r="D883" s="2" t="s">
        <v>59</v>
      </c>
      <c r="E883" s="2">
        <v>149</v>
      </c>
      <c r="F883" s="2">
        <v>2889.05</v>
      </c>
    </row>
    <row r="884" spans="3:6" x14ac:dyDescent="0.25">
      <c r="C884" s="2" t="s">
        <v>8181</v>
      </c>
      <c r="D884" s="2" t="s">
        <v>59</v>
      </c>
      <c r="E884" s="2">
        <v>251</v>
      </c>
      <c r="F884" s="2">
        <v>4911.67</v>
      </c>
    </row>
    <row r="885" spans="3:6" x14ac:dyDescent="0.25">
      <c r="C885" s="2" t="s">
        <v>8170</v>
      </c>
      <c r="D885" s="2" t="s">
        <v>59</v>
      </c>
      <c r="E885" s="2">
        <v>141</v>
      </c>
      <c r="F885" s="2">
        <v>2761.839</v>
      </c>
    </row>
    <row r="887" spans="1:7" x14ac:dyDescent="0.25">
      <c r="A887" s="1">
        <v>46150</v>
      </c>
      <c r="B887" s="2" t="s">
        <v>666</v>
      </c>
      <c r="C887" s="2" t="s">
        <v>8182</v>
      </c>
      <c r="D887" s="2" t="s">
        <v>59</v>
      </c>
      <c r="E887" s="2">
        <v>138</v>
      </c>
      <c r="F887" s="2">
        <v>2792.749</v>
      </c>
      <c r="G887" s="1">
        <v>46148</v>
      </c>
    </row>
    <row r="888" spans="3:6" x14ac:dyDescent="0.25">
      <c r="C888" s="2" t="s">
        <v>8183</v>
      </c>
      <c r="D888" s="2" t="s">
        <v>59</v>
      </c>
      <c r="E888" s="2">
        <v>149</v>
      </c>
      <c r="F888" s="2">
        <v>2774.08</v>
      </c>
    </row>
    <row r="889" spans="3:6" x14ac:dyDescent="0.25">
      <c r="C889" s="2" t="s">
        <v>8184</v>
      </c>
      <c r="D889" s="2" t="s">
        <v>59</v>
      </c>
      <c r="E889" s="2">
        <v>149</v>
      </c>
      <c r="F889" s="2">
        <v>2839.77</v>
      </c>
    </row>
    <row r="890" spans="3:6" x14ac:dyDescent="0.25">
      <c r="C890" s="2" t="s">
        <v>8185</v>
      </c>
      <c r="D890" s="2" t="s">
        <v>59</v>
      </c>
      <c r="E890" s="2">
        <v>142</v>
      </c>
      <c r="F890" s="2">
        <v>3112.86</v>
      </c>
    </row>
    <row r="892" spans="1:7" x14ac:dyDescent="0.25">
      <c r="A892" s="1">
        <v>46151</v>
      </c>
      <c r="B892" s="2" t="s">
        <v>1009</v>
      </c>
      <c r="C892" s="2" t="s">
        <v>8186</v>
      </c>
      <c r="D892" s="2" t="s">
        <v>73</v>
      </c>
      <c r="E892" s="2">
        <v>32</v>
      </c>
      <c r="F892" s="2">
        <v>600.47</v>
      </c>
      <c r="G892" s="1">
        <v>46150</v>
      </c>
    </row>
    <row r="893" spans="3:6" x14ac:dyDescent="0.25">
      <c r="C893" s="2" t="s">
        <v>8187</v>
      </c>
      <c r="D893" s="2" t="s">
        <v>73</v>
      </c>
      <c r="E893" s="2">
        <v>69</v>
      </c>
      <c r="F893" s="2">
        <v>1272.409</v>
      </c>
    </row>
    <row r="894" spans="3:6" x14ac:dyDescent="0.25">
      <c r="C894" s="2" t="s">
        <v>8188</v>
      </c>
      <c r="D894" s="2" t="s">
        <v>73</v>
      </c>
      <c r="E894" s="2">
        <v>126</v>
      </c>
      <c r="F894" s="2">
        <v>2587.589</v>
      </c>
    </row>
    <row r="896" spans="1:7" x14ac:dyDescent="0.25">
      <c r="A896" s="1">
        <v>46151</v>
      </c>
      <c r="B896" s="2" t="s">
        <v>1009</v>
      </c>
      <c r="C896" s="2" t="s">
        <v>8189</v>
      </c>
      <c r="D896" s="2" t="s">
        <v>82</v>
      </c>
      <c r="E896" s="2">
        <v>105</v>
      </c>
      <c r="F896" s="2">
        <v>2136.84</v>
      </c>
      <c r="G896" s="1">
        <v>46150</v>
      </c>
    </row>
    <row r="897" spans="3:6" x14ac:dyDescent="0.25">
      <c r="C897" s="2" t="s">
        <v>8190</v>
      </c>
      <c r="D897" s="2" t="s">
        <v>82</v>
      </c>
      <c r="E897" s="2">
        <v>16</v>
      </c>
      <c r="F897" s="2">
        <v>332.96</v>
      </c>
    </row>
    <row r="898" spans="3:6" x14ac:dyDescent="0.25">
      <c r="C898" s="2" t="s">
        <v>8191</v>
      </c>
      <c r="D898" s="2" t="s">
        <v>82</v>
      </c>
      <c r="E898" s="2">
        <v>81</v>
      </c>
      <c r="F898" s="2">
        <v>1652.54</v>
      </c>
    </row>
    <row r="899" spans="3:6" x14ac:dyDescent="0.25">
      <c r="C899" s="2" t="s">
        <v>8192</v>
      </c>
      <c r="D899" s="2" t="s">
        <v>82</v>
      </c>
      <c r="E899" s="2">
        <v>20</v>
      </c>
      <c r="F899" s="2">
        <v>418.92</v>
      </c>
    </row>
    <row r="900" spans="3:6" x14ac:dyDescent="0.25">
      <c r="C900" s="2" t="s">
        <v>8193</v>
      </c>
      <c r="D900" s="2" t="s">
        <v>82</v>
      </c>
      <c r="E900" s="2">
        <v>10</v>
      </c>
      <c r="F900" s="2">
        <v>212.51</v>
      </c>
    </row>
    <row r="901" spans="3:6" x14ac:dyDescent="0.25">
      <c r="C901" s="2" t="s">
        <v>8194</v>
      </c>
      <c r="D901" s="2" t="s">
        <v>82</v>
      </c>
      <c r="E901" s="2">
        <v>10</v>
      </c>
      <c r="F901" s="2">
        <v>226.66</v>
      </c>
    </row>
    <row r="902" spans="3:6" x14ac:dyDescent="0.25">
      <c r="C902" s="2" t="s">
        <v>8195</v>
      </c>
      <c r="D902" s="2" t="s">
        <v>82</v>
      </c>
      <c r="E902" s="2">
        <v>86</v>
      </c>
      <c r="F902" s="2">
        <v>1787.42</v>
      </c>
    </row>
    <row r="903" spans="3:6" x14ac:dyDescent="0.25">
      <c r="C903" s="2" t="s">
        <v>8196</v>
      </c>
      <c r="D903" s="2" t="s">
        <v>82</v>
      </c>
      <c r="E903" s="2">
        <v>20</v>
      </c>
      <c r="F903" s="2">
        <v>418.83</v>
      </c>
    </row>
    <row r="904" spans="3:6" x14ac:dyDescent="0.25">
      <c r="C904" s="2" t="s">
        <v>8197</v>
      </c>
      <c r="D904" s="2" t="s">
        <v>82</v>
      </c>
      <c r="E904" s="2">
        <v>35</v>
      </c>
      <c r="F904" s="2">
        <v>699.6</v>
      </c>
    </row>
    <row r="905" spans="3:6" x14ac:dyDescent="0.25">
      <c r="C905" s="2" t="s">
        <v>8198</v>
      </c>
      <c r="D905" s="2" t="s">
        <v>82</v>
      </c>
      <c r="E905" s="2">
        <v>141</v>
      </c>
      <c r="F905" s="2">
        <v>2923.239</v>
      </c>
    </row>
    <row r="906" spans="3:6" x14ac:dyDescent="0.25">
      <c r="C906" s="2" t="s">
        <v>8199</v>
      </c>
      <c r="D906" s="2" t="s">
        <v>82</v>
      </c>
      <c r="E906" s="2">
        <v>141</v>
      </c>
      <c r="F906" s="2">
        <v>2818.899</v>
      </c>
    </row>
    <row r="907" spans="3:6" x14ac:dyDescent="0.25">
      <c r="C907" s="2" t="s">
        <v>8200</v>
      </c>
      <c r="D907" s="2" t="s">
        <v>82</v>
      </c>
      <c r="E907" s="2">
        <v>141</v>
      </c>
      <c r="F907" s="2">
        <v>2936.378</v>
      </c>
    </row>
    <row r="908" spans="3:6" x14ac:dyDescent="0.25">
      <c r="C908" s="2" t="s">
        <v>8201</v>
      </c>
      <c r="D908" s="2" t="s">
        <v>82</v>
      </c>
      <c r="E908" s="2">
        <v>141</v>
      </c>
      <c r="F908" s="2">
        <v>2810.62</v>
      </c>
    </row>
    <row r="909" spans="3:6" x14ac:dyDescent="0.25">
      <c r="C909" s="2" t="s">
        <v>8202</v>
      </c>
      <c r="D909" s="2" t="s">
        <v>82</v>
      </c>
      <c r="E909" s="2">
        <v>141</v>
      </c>
      <c r="F909" s="2">
        <v>2951.46</v>
      </c>
    </row>
    <row r="910" spans="3:6" x14ac:dyDescent="0.25">
      <c r="C910" s="2" t="s">
        <v>8203</v>
      </c>
      <c r="D910" s="2" t="s">
        <v>82</v>
      </c>
      <c r="E910" s="2">
        <v>141</v>
      </c>
      <c r="F910" s="2">
        <v>2962.59</v>
      </c>
    </row>
    <row r="911" spans="3:6" x14ac:dyDescent="0.25">
      <c r="C911" s="2" t="s">
        <v>8204</v>
      </c>
      <c r="D911" s="2" t="s">
        <v>82</v>
      </c>
      <c r="E911" s="2">
        <v>141</v>
      </c>
      <c r="F911" s="2">
        <v>2872.08</v>
      </c>
    </row>
    <row r="912" spans="3:6" x14ac:dyDescent="0.25">
      <c r="C912" s="2" t="s">
        <v>8205</v>
      </c>
      <c r="D912" s="2" t="s">
        <v>82</v>
      </c>
      <c r="E912" s="2">
        <v>20</v>
      </c>
      <c r="F912" s="2">
        <v>395.62</v>
      </c>
    </row>
    <row r="913" spans="3:6" x14ac:dyDescent="0.25">
      <c r="C913" s="2" t="s">
        <v>8206</v>
      </c>
      <c r="D913" s="2" t="s">
        <v>82</v>
      </c>
      <c r="E913" s="2">
        <v>121</v>
      </c>
      <c r="F913" s="2">
        <v>2153.087</v>
      </c>
    </row>
    <row r="914" spans="3:6" x14ac:dyDescent="0.25">
      <c r="C914" s="2" t="s">
        <v>8207</v>
      </c>
      <c r="D914" s="2" t="s">
        <v>82</v>
      </c>
      <c r="E914" s="2">
        <v>18</v>
      </c>
      <c r="F914" s="2">
        <v>324.776</v>
      </c>
    </row>
    <row r="915" spans="3:6" x14ac:dyDescent="0.25">
      <c r="C915" s="2" t="s">
        <v>8208</v>
      </c>
      <c r="D915" s="2" t="s">
        <v>82</v>
      </c>
      <c r="E915" s="2">
        <v>71</v>
      </c>
      <c r="F915" s="2">
        <v>1321.767</v>
      </c>
    </row>
    <row r="916" spans="3:6" x14ac:dyDescent="0.25">
      <c r="C916" s="2" t="s">
        <v>8209</v>
      </c>
      <c r="D916" s="2" t="s">
        <v>82</v>
      </c>
      <c r="E916" s="2">
        <v>101</v>
      </c>
      <c r="F916" s="2">
        <v>2086.86</v>
      </c>
    </row>
    <row r="917" spans="3:6" x14ac:dyDescent="0.25">
      <c r="C917" s="2" t="s">
        <v>8210</v>
      </c>
      <c r="D917" s="2" t="s">
        <v>82</v>
      </c>
      <c r="E917" s="2">
        <v>60</v>
      </c>
      <c r="F917" s="2">
        <v>1154.43</v>
      </c>
    </row>
    <row r="918" spans="3:6" x14ac:dyDescent="0.25">
      <c r="C918" s="2" t="s">
        <v>8211</v>
      </c>
      <c r="D918" s="2" t="s">
        <v>82</v>
      </c>
      <c r="E918" s="2">
        <v>41</v>
      </c>
      <c r="F918" s="2">
        <v>854.08</v>
      </c>
    </row>
    <row r="919" spans="3:6" x14ac:dyDescent="0.25">
      <c r="C919" s="2" t="s">
        <v>8212</v>
      </c>
      <c r="D919" s="2" t="s">
        <v>82</v>
      </c>
      <c r="E919" s="2">
        <v>101</v>
      </c>
      <c r="F919" s="2">
        <v>1968.03</v>
      </c>
    </row>
    <row r="920" spans="3:6" x14ac:dyDescent="0.25">
      <c r="C920" s="2" t="s">
        <v>8213</v>
      </c>
      <c r="D920" s="2" t="s">
        <v>82</v>
      </c>
      <c r="E920" s="2">
        <v>101</v>
      </c>
      <c r="F920" s="2">
        <v>2103.98</v>
      </c>
    </row>
    <row r="922" spans="1:7" x14ac:dyDescent="0.25">
      <c r="A922" s="1">
        <v>46151</v>
      </c>
      <c r="B922" s="2" t="s">
        <v>1012</v>
      </c>
      <c r="C922" s="2" t="s">
        <v>8214</v>
      </c>
      <c r="D922" s="2" t="s">
        <v>73</v>
      </c>
      <c r="E922" s="2">
        <v>29</v>
      </c>
      <c r="F922" s="2">
        <v>495.76</v>
      </c>
      <c r="G922" s="1">
        <v>46150</v>
      </c>
    </row>
    <row r="923" spans="3:6" x14ac:dyDescent="0.25">
      <c r="C923" s="2" t="s">
        <v>8215</v>
      </c>
      <c r="D923" s="2" t="s">
        <v>73</v>
      </c>
      <c r="E923" s="2">
        <v>50</v>
      </c>
      <c r="F923" s="2">
        <v>890.589</v>
      </c>
    </row>
    <row r="924" spans="3:6" x14ac:dyDescent="0.25">
      <c r="C924" s="2" t="s">
        <v>8216</v>
      </c>
      <c r="D924" s="2" t="s">
        <v>73</v>
      </c>
      <c r="E924" s="2">
        <v>101</v>
      </c>
      <c r="F924" s="2">
        <v>1935.37</v>
      </c>
    </row>
    <row r="925" spans="3:6" x14ac:dyDescent="0.25">
      <c r="C925" s="2" t="s">
        <v>8217</v>
      </c>
      <c r="D925" s="2" t="s">
        <v>73</v>
      </c>
      <c r="E925" s="2">
        <v>85</v>
      </c>
      <c r="F925" s="2">
        <v>1781.499</v>
      </c>
    </row>
    <row r="926" spans="3:6" x14ac:dyDescent="0.25">
      <c r="C926" s="2" t="s">
        <v>8218</v>
      </c>
      <c r="D926" s="2" t="s">
        <v>73</v>
      </c>
      <c r="E926" s="2">
        <v>22</v>
      </c>
      <c r="F926" s="2">
        <v>393.2</v>
      </c>
    </row>
    <row r="928" spans="1:7" x14ac:dyDescent="0.25">
      <c r="A928" s="1">
        <v>46151</v>
      </c>
      <c r="B928" s="2" t="s">
        <v>4335</v>
      </c>
      <c r="C928" s="2" t="s">
        <v>8219</v>
      </c>
      <c r="D928" s="2" t="s">
        <v>82</v>
      </c>
      <c r="E928" s="2">
        <v>134</v>
      </c>
      <c r="F928" s="2">
        <v>2813.38</v>
      </c>
      <c r="G928" s="1">
        <v>46150</v>
      </c>
    </row>
    <row r="929" spans="3:6" x14ac:dyDescent="0.25">
      <c r="C929" s="2" t="s">
        <v>8220</v>
      </c>
      <c r="D929" s="2" t="s">
        <v>82</v>
      </c>
      <c r="E929" s="2">
        <v>102</v>
      </c>
      <c r="F929" s="2">
        <v>2180.63</v>
      </c>
    </row>
    <row r="930" spans="3:6" x14ac:dyDescent="0.25">
      <c r="C930" s="2" t="s">
        <v>8221</v>
      </c>
      <c r="D930" s="2" t="s">
        <v>82</v>
      </c>
      <c r="E930" s="2">
        <v>75</v>
      </c>
      <c r="F930" s="2">
        <v>1494.62</v>
      </c>
    </row>
    <row r="931" spans="3:6" x14ac:dyDescent="0.25">
      <c r="C931" s="2" t="s">
        <v>8222</v>
      </c>
      <c r="D931" s="2" t="s">
        <v>82</v>
      </c>
      <c r="E931" s="2">
        <v>123</v>
      </c>
      <c r="F931" s="2">
        <v>2534.25</v>
      </c>
    </row>
    <row r="932" spans="3:6" x14ac:dyDescent="0.25">
      <c r="C932" s="2" t="s">
        <v>8223</v>
      </c>
      <c r="D932" s="2" t="s">
        <v>82</v>
      </c>
      <c r="E932" s="2">
        <v>87</v>
      </c>
      <c r="F932" s="2">
        <v>2206.364</v>
      </c>
    </row>
    <row r="933" spans="3:6" x14ac:dyDescent="0.25">
      <c r="C933" s="2" t="s">
        <v>8224</v>
      </c>
      <c r="D933" s="2" t="s">
        <v>82</v>
      </c>
      <c r="E933" s="2">
        <v>78</v>
      </c>
      <c r="F933" s="2">
        <v>2047.968</v>
      </c>
    </row>
    <row r="934" spans="3:6" x14ac:dyDescent="0.25">
      <c r="C934" s="2" t="s">
        <v>8225</v>
      </c>
      <c r="D934" s="2" t="s">
        <v>82</v>
      </c>
      <c r="E934" s="2">
        <v>34</v>
      </c>
      <c r="F934" s="2">
        <v>303.199</v>
      </c>
    </row>
    <row r="935" spans="3:6" x14ac:dyDescent="0.25">
      <c r="C935" s="2" t="s">
        <v>8226</v>
      </c>
      <c r="D935" s="2" t="s">
        <v>82</v>
      </c>
      <c r="E935" s="2">
        <v>141</v>
      </c>
      <c r="F935" s="2">
        <v>2889.799</v>
      </c>
    </row>
    <row r="936" spans="3:6" x14ac:dyDescent="0.25">
      <c r="C936" s="2" t="s">
        <v>8227</v>
      </c>
      <c r="D936" s="2" t="s">
        <v>82</v>
      </c>
      <c r="E936" s="2">
        <v>141</v>
      </c>
      <c r="F936" s="2">
        <v>2965.339</v>
      </c>
    </row>
    <row r="937" spans="3:6" x14ac:dyDescent="0.25">
      <c r="C937" s="2" t="s">
        <v>8228</v>
      </c>
      <c r="D937" s="2" t="s">
        <v>82</v>
      </c>
      <c r="E937" s="2">
        <v>141</v>
      </c>
      <c r="F937" s="2">
        <v>2904.84</v>
      </c>
    </row>
    <row r="938" spans="3:6" x14ac:dyDescent="0.25">
      <c r="C938" s="2" t="s">
        <v>8229</v>
      </c>
      <c r="D938" s="2" t="s">
        <v>82</v>
      </c>
      <c r="E938" s="2">
        <v>141</v>
      </c>
      <c r="F938" s="2">
        <v>2937.129</v>
      </c>
    </row>
    <row r="939" spans="3:6" x14ac:dyDescent="0.25">
      <c r="C939" s="2" t="s">
        <v>8230</v>
      </c>
      <c r="D939" s="2" t="s">
        <v>82</v>
      </c>
      <c r="E939" s="2">
        <v>60</v>
      </c>
      <c r="F939" s="2">
        <v>1123.029</v>
      </c>
    </row>
    <row r="940" spans="3:6" x14ac:dyDescent="0.25">
      <c r="C940" s="2" t="s">
        <v>8231</v>
      </c>
      <c r="D940" s="2" t="s">
        <v>82</v>
      </c>
      <c r="E940" s="2">
        <v>81</v>
      </c>
      <c r="F940" s="2">
        <v>1621.59</v>
      </c>
    </row>
    <row r="941" spans="3:6" x14ac:dyDescent="0.25">
      <c r="C941" s="2" t="s">
        <v>8232</v>
      </c>
      <c r="D941" s="2" t="s">
        <v>82</v>
      </c>
      <c r="E941" s="2">
        <v>121</v>
      </c>
      <c r="F941" s="2">
        <v>2574.35</v>
      </c>
    </row>
    <row r="942" spans="3:6" x14ac:dyDescent="0.25">
      <c r="C942" s="2" t="s">
        <v>8233</v>
      </c>
      <c r="D942" s="2" t="s">
        <v>82</v>
      </c>
      <c r="E942" s="2">
        <v>20</v>
      </c>
      <c r="F942" s="2">
        <v>417.75</v>
      </c>
    </row>
    <row r="943" spans="3:6" x14ac:dyDescent="0.25">
      <c r="C943" s="2" t="s">
        <v>8234</v>
      </c>
      <c r="D943" s="2" t="s">
        <v>82</v>
      </c>
      <c r="E943" s="2">
        <v>102</v>
      </c>
      <c r="F943" s="2">
        <v>447.249</v>
      </c>
    </row>
    <row r="944" spans="3:6" x14ac:dyDescent="0.25">
      <c r="C944" s="2" t="s">
        <v>8235</v>
      </c>
      <c r="D944" s="2" t="s">
        <v>82</v>
      </c>
      <c r="E944" s="2">
        <v>123</v>
      </c>
      <c r="F944" s="2">
        <v>2566.9</v>
      </c>
    </row>
    <row r="945" spans="3:6" x14ac:dyDescent="0.25">
      <c r="C945" s="2" t="s">
        <v>8236</v>
      </c>
      <c r="D945" s="2" t="s">
        <v>82</v>
      </c>
      <c r="E945" s="2">
        <v>121</v>
      </c>
      <c r="F945" s="2">
        <v>2520.219</v>
      </c>
    </row>
    <row r="946" spans="3:6" x14ac:dyDescent="0.25">
      <c r="C946" s="2" t="s">
        <v>8237</v>
      </c>
      <c r="D946" s="2" t="s">
        <v>82</v>
      </c>
      <c r="E946" s="2">
        <v>121</v>
      </c>
      <c r="F946" s="2">
        <v>2473.85</v>
      </c>
    </row>
    <row r="947" spans="3:6" x14ac:dyDescent="0.25">
      <c r="C947" s="2" t="s">
        <v>8238</v>
      </c>
      <c r="D947" s="2" t="s">
        <v>82</v>
      </c>
      <c r="E947" s="2">
        <v>102</v>
      </c>
      <c r="F947" s="2">
        <v>2055.43</v>
      </c>
    </row>
    <row r="948" spans="3:6" x14ac:dyDescent="0.25">
      <c r="C948" s="2" t="s">
        <v>8239</v>
      </c>
      <c r="D948" s="2" t="s">
        <v>82</v>
      </c>
      <c r="E948" s="2">
        <v>143</v>
      </c>
      <c r="F948" s="2">
        <v>2840.498</v>
      </c>
    </row>
    <row r="949" spans="3:6" x14ac:dyDescent="0.25">
      <c r="C949" s="2" t="s">
        <v>8240</v>
      </c>
      <c r="D949" s="2" t="s">
        <v>82</v>
      </c>
      <c r="E949" s="2">
        <v>143</v>
      </c>
      <c r="F949" s="2">
        <v>2961.33</v>
      </c>
    </row>
    <row r="950" spans="3:6" x14ac:dyDescent="0.25">
      <c r="C950" s="2" t="s">
        <v>8241</v>
      </c>
      <c r="D950" s="2" t="s">
        <v>82</v>
      </c>
      <c r="E950" s="2">
        <v>108</v>
      </c>
      <c r="F950" s="2">
        <v>2257.79</v>
      </c>
    </row>
    <row r="951" spans="3:6" x14ac:dyDescent="0.25">
      <c r="C951" s="2" t="s">
        <v>8242</v>
      </c>
      <c r="D951" s="2" t="s">
        <v>82</v>
      </c>
      <c r="E951" s="2">
        <v>35</v>
      </c>
      <c r="F951" s="2">
        <v>714.84</v>
      </c>
    </row>
    <row r="952" spans="3:6" x14ac:dyDescent="0.25">
      <c r="C952" s="2" t="s">
        <v>8243</v>
      </c>
      <c r="D952" s="2" t="s">
        <v>82</v>
      </c>
      <c r="E952" s="2">
        <v>143</v>
      </c>
      <c r="F952" s="2">
        <v>2936.41</v>
      </c>
    </row>
    <row r="953" spans="3:6" x14ac:dyDescent="0.25">
      <c r="C953" s="2" t="s">
        <v>8244</v>
      </c>
      <c r="D953" s="2" t="s">
        <v>82</v>
      </c>
      <c r="E953" s="2">
        <v>143</v>
      </c>
      <c r="F953" s="2">
        <v>3093.57</v>
      </c>
    </row>
    <row r="954" spans="3:6" x14ac:dyDescent="0.25">
      <c r="C954" s="2" t="s">
        <v>8245</v>
      </c>
      <c r="D954" s="2" t="s">
        <v>82</v>
      </c>
      <c r="E954" s="2">
        <v>47</v>
      </c>
      <c r="F954" s="2">
        <v>1020.2</v>
      </c>
    </row>
    <row r="955" spans="3:6" x14ac:dyDescent="0.25">
      <c r="C955" s="2" t="s">
        <v>8246</v>
      </c>
      <c r="D955" s="2" t="s">
        <v>82</v>
      </c>
      <c r="E955" s="2">
        <v>15</v>
      </c>
      <c r="F955" s="2">
        <v>333.66</v>
      </c>
    </row>
    <row r="956" spans="3:6" x14ac:dyDescent="0.25">
      <c r="C956" s="2" t="s">
        <v>8247</v>
      </c>
      <c r="D956" s="2" t="s">
        <v>82</v>
      </c>
      <c r="E956" s="2">
        <v>52</v>
      </c>
      <c r="F956" s="2">
        <v>1043.82</v>
      </c>
    </row>
    <row r="957" spans="3:6" x14ac:dyDescent="0.25">
      <c r="C957" s="2" t="s">
        <v>8248</v>
      </c>
      <c r="D957" s="2" t="s">
        <v>82</v>
      </c>
      <c r="E957" s="2">
        <v>11</v>
      </c>
      <c r="F957" s="2">
        <v>239.03</v>
      </c>
    </row>
    <row r="958" spans="3:6" x14ac:dyDescent="0.25">
      <c r="C958" s="2" t="s">
        <v>8249</v>
      </c>
      <c r="D958" s="2" t="s">
        <v>82</v>
      </c>
      <c r="E958" s="2">
        <v>10</v>
      </c>
      <c r="F958" s="2">
        <v>212.25</v>
      </c>
    </row>
    <row r="959" spans="3:6" x14ac:dyDescent="0.25">
      <c r="C959" s="2" t="s">
        <v>8250</v>
      </c>
      <c r="D959" s="2" t="s">
        <v>82</v>
      </c>
      <c r="E959" s="2">
        <v>8</v>
      </c>
      <c r="F959" s="2">
        <v>146.96</v>
      </c>
    </row>
    <row r="961" spans="1:7" x14ac:dyDescent="0.25">
      <c r="A961" s="1">
        <v>46151</v>
      </c>
      <c r="B961" s="2" t="s">
        <v>7</v>
      </c>
      <c r="C961" s="2" t="s">
        <v>8251</v>
      </c>
      <c r="D961" s="2" t="s">
        <v>9</v>
      </c>
      <c r="E961" s="2">
        <v>87</v>
      </c>
      <c r="F961" s="2">
        <v>1764.577</v>
      </c>
      <c r="G961" s="1">
        <v>46150</v>
      </c>
    </row>
    <row r="962" spans="3:6" x14ac:dyDescent="0.25">
      <c r="C962" s="2" t="s">
        <v>8252</v>
      </c>
      <c r="D962" s="2" t="s">
        <v>9</v>
      </c>
      <c r="E962" s="2">
        <v>95</v>
      </c>
      <c r="F962" s="2">
        <v>1929.78</v>
      </c>
    </row>
    <row r="964" spans="1:7" x14ac:dyDescent="0.25">
      <c r="A964" s="1">
        <v>46151</v>
      </c>
      <c r="B964" s="2" t="s">
        <v>2084</v>
      </c>
      <c r="C964" s="2" t="s">
        <v>8253</v>
      </c>
      <c r="D964" s="2" t="s">
        <v>4096</v>
      </c>
      <c r="E964" s="2">
        <v>60</v>
      </c>
      <c r="F964" s="2">
        <v>1191.49</v>
      </c>
      <c r="G964" s="1">
        <v>46151</v>
      </c>
    </row>
    <row r="965" spans="3:6" x14ac:dyDescent="0.25">
      <c r="C965" s="2" t="s">
        <v>8254</v>
      </c>
      <c r="D965" s="2" t="s">
        <v>4096</v>
      </c>
      <c r="E965" s="2">
        <v>40</v>
      </c>
      <c r="F965" s="2">
        <v>821.96</v>
      </c>
    </row>
    <row r="967" spans="1:7" x14ac:dyDescent="0.25">
      <c r="A967" s="1">
        <v>46151</v>
      </c>
      <c r="B967" s="2" t="s">
        <v>12</v>
      </c>
      <c r="C967" s="2" t="s">
        <v>8255</v>
      </c>
      <c r="D967" s="2" t="s">
        <v>15</v>
      </c>
      <c r="E967" s="2">
        <v>156</v>
      </c>
      <c r="F967" s="2">
        <v>3105.43</v>
      </c>
      <c r="G967" s="1">
        <v>46150</v>
      </c>
    </row>
    <row r="968" spans="3:6" x14ac:dyDescent="0.25">
      <c r="C968" s="2" t="s">
        <v>8256</v>
      </c>
      <c r="D968" s="2" t="s">
        <v>15</v>
      </c>
      <c r="E968" s="2">
        <v>156</v>
      </c>
      <c r="F968" s="2">
        <v>3095.48</v>
      </c>
    </row>
    <row r="969" spans="3:6" x14ac:dyDescent="0.25">
      <c r="C969" s="2" t="s">
        <v>8257</v>
      </c>
      <c r="D969" s="2" t="s">
        <v>15</v>
      </c>
      <c r="E969" s="2">
        <v>156</v>
      </c>
      <c r="F969" s="2">
        <v>3085.77</v>
      </c>
    </row>
    <row r="970" spans="3:6" x14ac:dyDescent="0.25">
      <c r="C970" s="2" t="s">
        <v>8258</v>
      </c>
      <c r="D970" s="2" t="s">
        <v>15</v>
      </c>
      <c r="E970" s="2">
        <v>156</v>
      </c>
      <c r="F970" s="2">
        <v>3106.669</v>
      </c>
    </row>
    <row r="971" spans="3:6" x14ac:dyDescent="0.25">
      <c r="C971" s="2" t="s">
        <v>8259</v>
      </c>
      <c r="D971" s="2" t="s">
        <v>15</v>
      </c>
      <c r="E971" s="2">
        <v>156</v>
      </c>
      <c r="F971" s="2">
        <v>3077.936</v>
      </c>
    </row>
    <row r="972" spans="3:6" x14ac:dyDescent="0.25">
      <c r="C972" s="2" t="s">
        <v>8260</v>
      </c>
      <c r="D972" s="2" t="s">
        <v>15</v>
      </c>
      <c r="E972" s="2">
        <v>18</v>
      </c>
      <c r="F972" s="2">
        <v>224.37</v>
      </c>
    </row>
    <row r="973" spans="3:6" x14ac:dyDescent="0.25">
      <c r="C973" s="2" t="s">
        <v>8261</v>
      </c>
      <c r="D973" s="2" t="s">
        <v>15</v>
      </c>
      <c r="E973" s="2">
        <v>105</v>
      </c>
      <c r="F973" s="2">
        <v>975.7</v>
      </c>
    </row>
    <row r="974" spans="3:6" x14ac:dyDescent="0.25">
      <c r="C974" s="2" t="s">
        <v>8262</v>
      </c>
      <c r="D974" s="2" t="s">
        <v>15</v>
      </c>
      <c r="E974" s="2">
        <v>105</v>
      </c>
      <c r="F974" s="2">
        <v>1104.438</v>
      </c>
    </row>
    <row r="975" spans="3:6" x14ac:dyDescent="0.25">
      <c r="C975" s="2" t="s">
        <v>8263</v>
      </c>
      <c r="D975" s="2" t="s">
        <v>15</v>
      </c>
      <c r="E975" s="2">
        <v>105</v>
      </c>
      <c r="F975" s="2">
        <v>2043.86</v>
      </c>
    </row>
    <row r="976" spans="3:6" x14ac:dyDescent="0.25">
      <c r="C976" s="2" t="s">
        <v>8264</v>
      </c>
      <c r="D976" s="2" t="s">
        <v>15</v>
      </c>
      <c r="E976" s="2">
        <v>105</v>
      </c>
      <c r="F976" s="2">
        <v>0</v>
      </c>
    </row>
    <row r="977" spans="3:6" x14ac:dyDescent="0.25">
      <c r="C977" s="2" t="s">
        <v>8265</v>
      </c>
      <c r="D977" s="2" t="s">
        <v>26</v>
      </c>
      <c r="E977" s="2">
        <v>156</v>
      </c>
      <c r="F977" s="2">
        <v>3038.387</v>
      </c>
    </row>
    <row r="978" spans="3:6" x14ac:dyDescent="0.25">
      <c r="C978" s="2" t="s">
        <v>8266</v>
      </c>
      <c r="D978" s="2" t="s">
        <v>30</v>
      </c>
      <c r="E978" s="2">
        <v>134</v>
      </c>
      <c r="F978" s="2">
        <v>2761.29</v>
      </c>
    </row>
    <row r="979" spans="3:6" x14ac:dyDescent="0.25">
      <c r="C979" s="2" t="s">
        <v>8267</v>
      </c>
      <c r="D979" s="2" t="s">
        <v>30</v>
      </c>
      <c r="E979" s="2">
        <v>134</v>
      </c>
      <c r="F979" s="2">
        <v>2721.3</v>
      </c>
    </row>
    <row r="980" spans="3:6" x14ac:dyDescent="0.25">
      <c r="C980" s="2" t="s">
        <v>8268</v>
      </c>
      <c r="D980" s="2" t="s">
        <v>30</v>
      </c>
      <c r="E980" s="2">
        <v>134</v>
      </c>
      <c r="F980" s="2">
        <v>2766.699</v>
      </c>
    </row>
    <row r="981" spans="3:6" x14ac:dyDescent="0.25">
      <c r="C981" s="2" t="s">
        <v>8269</v>
      </c>
      <c r="D981" s="2" t="s">
        <v>30</v>
      </c>
      <c r="E981" s="2">
        <v>134</v>
      </c>
      <c r="F981" s="2">
        <v>2771.08</v>
      </c>
    </row>
    <row r="982" spans="3:6" x14ac:dyDescent="0.25">
      <c r="C982" s="2" t="s">
        <v>8270</v>
      </c>
      <c r="D982" s="2" t="s">
        <v>30</v>
      </c>
      <c r="E982" s="2">
        <v>134</v>
      </c>
      <c r="F982" s="2">
        <v>2667.42</v>
      </c>
    </row>
    <row r="983" spans="3:6" x14ac:dyDescent="0.25">
      <c r="C983" s="2" t="s">
        <v>8271</v>
      </c>
      <c r="D983" s="2" t="s">
        <v>30</v>
      </c>
      <c r="E983" s="2">
        <v>134</v>
      </c>
      <c r="F983" s="2">
        <v>2723.55</v>
      </c>
    </row>
    <row r="984" spans="3:6" x14ac:dyDescent="0.25">
      <c r="C984" s="2" t="s">
        <v>8272</v>
      </c>
      <c r="D984" s="2" t="s">
        <v>30</v>
      </c>
      <c r="E984" s="2">
        <v>49</v>
      </c>
      <c r="F984" s="2">
        <v>892.929</v>
      </c>
    </row>
    <row r="985" spans="3:6" x14ac:dyDescent="0.25">
      <c r="C985" s="2" t="s">
        <v>8273</v>
      </c>
      <c r="D985" s="2" t="s">
        <v>30</v>
      </c>
      <c r="E985" s="2">
        <v>47</v>
      </c>
      <c r="F985" s="2">
        <v>912.69</v>
      </c>
    </row>
    <row r="986" spans="3:6" x14ac:dyDescent="0.25">
      <c r="C986" s="2" t="s">
        <v>8274</v>
      </c>
      <c r="D986" s="2" t="s">
        <v>30</v>
      </c>
      <c r="E986" s="2">
        <v>163</v>
      </c>
      <c r="F986" s="2">
        <v>3307.506</v>
      </c>
    </row>
    <row r="987" spans="3:6" x14ac:dyDescent="0.25">
      <c r="C987" s="2" t="s">
        <v>8275</v>
      </c>
      <c r="D987" s="2" t="s">
        <v>30</v>
      </c>
      <c r="E987" s="2">
        <v>105</v>
      </c>
      <c r="F987" s="2">
        <v>1979.667</v>
      </c>
    </row>
    <row r="988" spans="3:6" x14ac:dyDescent="0.25">
      <c r="C988" s="2" t="s">
        <v>8276</v>
      </c>
      <c r="D988" s="2" t="s">
        <v>36</v>
      </c>
      <c r="E988" s="2">
        <v>8</v>
      </c>
      <c r="F988" s="2">
        <v>0</v>
      </c>
    </row>
    <row r="989" spans="3:6" x14ac:dyDescent="0.25">
      <c r="C989" s="2" t="s">
        <v>8277</v>
      </c>
      <c r="D989" s="2" t="s">
        <v>36</v>
      </c>
      <c r="E989" s="2">
        <v>80</v>
      </c>
      <c r="F989" s="2">
        <v>1511.51</v>
      </c>
    </row>
    <row r="990" spans="3:6" x14ac:dyDescent="0.25">
      <c r="C990" s="2" t="s">
        <v>8278</v>
      </c>
      <c r="D990" s="2" t="s">
        <v>36</v>
      </c>
      <c r="E990" s="2">
        <v>68</v>
      </c>
      <c r="F990" s="2">
        <v>1304.05</v>
      </c>
    </row>
    <row r="991" spans="3:6" x14ac:dyDescent="0.25">
      <c r="C991" s="2" t="s">
        <v>8279</v>
      </c>
      <c r="D991" s="2" t="s">
        <v>36</v>
      </c>
      <c r="E991" s="2">
        <v>60</v>
      </c>
      <c r="F991" s="2">
        <v>1118.55</v>
      </c>
    </row>
    <row r="992" spans="3:6" x14ac:dyDescent="0.25">
      <c r="C992" s="2" t="s">
        <v>8280</v>
      </c>
      <c r="D992" s="2" t="s">
        <v>36</v>
      </c>
      <c r="E992" s="2">
        <v>45</v>
      </c>
      <c r="F992" s="2">
        <v>811.48</v>
      </c>
    </row>
    <row r="993" spans="3:6" x14ac:dyDescent="0.25">
      <c r="C993" s="2" t="s">
        <v>8281</v>
      </c>
      <c r="D993" s="2" t="s">
        <v>136</v>
      </c>
      <c r="E993" s="2">
        <v>24</v>
      </c>
      <c r="F993" s="2">
        <v>438.36</v>
      </c>
    </row>
    <row r="994" spans="3:6" x14ac:dyDescent="0.25">
      <c r="C994" s="2" t="s">
        <v>8282</v>
      </c>
      <c r="D994" s="2" t="s">
        <v>136</v>
      </c>
      <c r="E994" s="2">
        <v>81</v>
      </c>
      <c r="F994" s="2">
        <v>1499.108</v>
      </c>
    </row>
    <row r="995" spans="3:6" x14ac:dyDescent="0.25">
      <c r="C995" s="2" t="s">
        <v>8283</v>
      </c>
      <c r="D995" s="2" t="s">
        <v>42</v>
      </c>
      <c r="E995" s="2">
        <v>40</v>
      </c>
      <c r="F995" s="2">
        <v>761.506</v>
      </c>
    </row>
    <row r="996" spans="3:6" x14ac:dyDescent="0.25">
      <c r="C996" s="2" t="s">
        <v>8284</v>
      </c>
      <c r="D996" s="2" t="s">
        <v>42</v>
      </c>
      <c r="E996" s="2">
        <v>100</v>
      </c>
      <c r="F996" s="2">
        <v>1897.434</v>
      </c>
    </row>
    <row r="997" spans="3:6" x14ac:dyDescent="0.25">
      <c r="C997" s="2" t="s">
        <v>8285</v>
      </c>
      <c r="D997" s="2" t="s">
        <v>42</v>
      </c>
      <c r="E997" s="2">
        <v>16</v>
      </c>
      <c r="F997" s="2">
        <v>311.65</v>
      </c>
    </row>
    <row r="999" spans="2:6" x14ac:dyDescent="0.25">
      <c r="B999" s="2" t="s">
        <v>48</v>
      </c>
      <c r="C999" s="2" t="s">
        <v>8286</v>
      </c>
      <c r="D999" s="2" t="s">
        <v>30</v>
      </c>
      <c r="E999" s="2">
        <v>21</v>
      </c>
      <c r="F999" s="2">
        <v>263</v>
      </c>
    </row>
    <row r="1000" spans="3:6" x14ac:dyDescent="0.25">
      <c r="C1000" s="2" t="s">
        <v>8287</v>
      </c>
      <c r="D1000" s="2" t="s">
        <v>30</v>
      </c>
      <c r="E1000" s="2">
        <v>84</v>
      </c>
      <c r="F1000" s="2">
        <v>1404</v>
      </c>
    </row>
    <row r="1001" spans="3:6" x14ac:dyDescent="0.25">
      <c r="C1001" s="2" t="s">
        <v>8288</v>
      </c>
      <c r="D1001" s="2" t="s">
        <v>15</v>
      </c>
      <c r="E1001" s="2">
        <v>105</v>
      </c>
      <c r="F1001" s="2">
        <v>1741</v>
      </c>
    </row>
    <row r="1002" spans="3:6" x14ac:dyDescent="0.25">
      <c r="C1002" s="2" t="s">
        <v>8289</v>
      </c>
      <c r="D1002" s="2" t="s">
        <v>26</v>
      </c>
      <c r="E1002" s="2">
        <v>156</v>
      </c>
      <c r="F1002" s="2">
        <v>2766</v>
      </c>
    </row>
    <row r="1003" spans="3:6" x14ac:dyDescent="0.25">
      <c r="C1003" s="2" t="s">
        <v>8290</v>
      </c>
      <c r="D1003" s="2" t="s">
        <v>26</v>
      </c>
      <c r="E1003" s="2">
        <v>156</v>
      </c>
      <c r="F1003" s="2">
        <v>2693</v>
      </c>
    </row>
    <row r="1004" spans="3:6" x14ac:dyDescent="0.25">
      <c r="C1004" s="2" t="s">
        <v>8291</v>
      </c>
      <c r="D1004" s="2" t="s">
        <v>26</v>
      </c>
      <c r="E1004" s="2">
        <v>156</v>
      </c>
      <c r="F1004" s="2">
        <v>2634</v>
      </c>
    </row>
    <row r="1005" spans="3:6" x14ac:dyDescent="0.25">
      <c r="C1005" s="2" t="s">
        <v>8292</v>
      </c>
      <c r="D1005" s="2" t="s">
        <v>30</v>
      </c>
      <c r="E1005" s="2">
        <v>148</v>
      </c>
      <c r="F1005" s="2">
        <v>2396</v>
      </c>
    </row>
    <row r="1006" spans="3:6" x14ac:dyDescent="0.25">
      <c r="C1006" s="2" t="s">
        <v>8293</v>
      </c>
      <c r="D1006" s="2" t="s">
        <v>30</v>
      </c>
      <c r="E1006" s="2">
        <v>105</v>
      </c>
      <c r="F1006" s="2">
        <v>1740</v>
      </c>
    </row>
    <row r="1007" spans="3:6" x14ac:dyDescent="0.25">
      <c r="C1007" s="2" t="s">
        <v>8294</v>
      </c>
      <c r="D1007" s="2" t="s">
        <v>30</v>
      </c>
      <c r="E1007" s="2">
        <v>105</v>
      </c>
      <c r="F1007" s="2">
        <v>1845</v>
      </c>
    </row>
    <row r="1008" spans="3:6" x14ac:dyDescent="0.25">
      <c r="C1008" s="2" t="s">
        <v>8295</v>
      </c>
      <c r="D1008" s="2" t="s">
        <v>26</v>
      </c>
      <c r="E1008" s="2">
        <v>156</v>
      </c>
      <c r="F1008" s="2">
        <v>2759</v>
      </c>
    </row>
    <row r="1009" spans="3:6" x14ac:dyDescent="0.25">
      <c r="C1009" s="2" t="s">
        <v>8296</v>
      </c>
      <c r="D1009" s="2" t="s">
        <v>53</v>
      </c>
      <c r="E1009" s="2">
        <v>156</v>
      </c>
      <c r="F1009" s="2">
        <v>2853</v>
      </c>
    </row>
    <row r="1011" spans="1:7" x14ac:dyDescent="0.25">
      <c r="A1011" s="1">
        <v>46151</v>
      </c>
      <c r="B1011" s="2" t="s">
        <v>57</v>
      </c>
      <c r="C1011" s="2" t="s">
        <v>8297</v>
      </c>
      <c r="D1011" s="2" t="s">
        <v>59</v>
      </c>
      <c r="E1011" s="2">
        <v>289</v>
      </c>
      <c r="F1011" s="2">
        <v>5150.875</v>
      </c>
      <c r="G1011" s="1">
        <v>46151</v>
      </c>
    </row>
    <row r="1012" spans="3:6" x14ac:dyDescent="0.25">
      <c r="C1012" s="2" t="s">
        <v>8298</v>
      </c>
      <c r="D1012" s="2" t="s">
        <v>59</v>
      </c>
      <c r="E1012" s="2">
        <v>163</v>
      </c>
      <c r="F1012" s="2">
        <v>3137.559</v>
      </c>
    </row>
    <row r="1013" spans="3:6" x14ac:dyDescent="0.25">
      <c r="C1013" s="2" t="s">
        <v>8299</v>
      </c>
      <c r="D1013" s="2" t="s">
        <v>59</v>
      </c>
      <c r="E1013" s="2">
        <v>139</v>
      </c>
      <c r="F1013" s="2">
        <v>2639.389</v>
      </c>
    </row>
    <row r="1014" spans="3:6" x14ac:dyDescent="0.25">
      <c r="C1014" s="2" t="s">
        <v>8300</v>
      </c>
      <c r="D1014" s="2" t="s">
        <v>59</v>
      </c>
      <c r="E1014" s="2">
        <v>105</v>
      </c>
      <c r="F1014" s="2">
        <v>2200.799</v>
      </c>
    </row>
    <row r="1015" spans="3:6" x14ac:dyDescent="0.25">
      <c r="C1015" s="2" t="s">
        <v>8301</v>
      </c>
      <c r="D1015" s="2" t="s">
        <v>59</v>
      </c>
      <c r="E1015" s="2">
        <v>186</v>
      </c>
      <c r="F1015" s="2">
        <v>3938.58</v>
      </c>
    </row>
    <row r="1016" spans="3:6" x14ac:dyDescent="0.25">
      <c r="C1016" s="2" t="s">
        <v>8302</v>
      </c>
      <c r="D1016" s="2" t="s">
        <v>59</v>
      </c>
      <c r="E1016" s="2">
        <v>105</v>
      </c>
      <c r="F1016" s="2">
        <v>2039.14</v>
      </c>
    </row>
    <row r="1017" spans="3:6" x14ac:dyDescent="0.25">
      <c r="C1017" s="2" t="s">
        <v>8303</v>
      </c>
      <c r="D1017" s="2" t="s">
        <v>59</v>
      </c>
      <c r="E1017" s="2">
        <v>163</v>
      </c>
      <c r="F1017" s="2">
        <v>3055.678</v>
      </c>
    </row>
    <row r="1018" spans="3:6" x14ac:dyDescent="0.25">
      <c r="C1018" s="2" t="s">
        <v>8304</v>
      </c>
      <c r="D1018" s="2" t="s">
        <v>59</v>
      </c>
      <c r="E1018" s="2">
        <v>156</v>
      </c>
      <c r="F1018" s="2">
        <v>2960.32</v>
      </c>
    </row>
    <row r="1019" spans="3:6" x14ac:dyDescent="0.25">
      <c r="C1019" s="2" t="s">
        <v>8305</v>
      </c>
      <c r="D1019" s="2" t="s">
        <v>59</v>
      </c>
      <c r="E1019" s="2">
        <v>210</v>
      </c>
      <c r="F1019" s="2">
        <v>4256.389</v>
      </c>
    </row>
    <row r="1021" spans="1:7" x14ac:dyDescent="0.25">
      <c r="A1021" s="1">
        <v>46152</v>
      </c>
      <c r="B1021" s="2" t="s">
        <v>363</v>
      </c>
      <c r="C1021" s="2" t="s">
        <v>8306</v>
      </c>
      <c r="D1021" s="2" t="s">
        <v>73</v>
      </c>
      <c r="E1021" s="2">
        <v>92</v>
      </c>
      <c r="F1021" s="2">
        <v>1878.18</v>
      </c>
      <c r="G1021" s="1">
        <v>46152</v>
      </c>
    </row>
    <row r="1022" spans="3:6" x14ac:dyDescent="0.25">
      <c r="C1022" s="2" t="s">
        <v>8307</v>
      </c>
      <c r="D1022" s="2" t="s">
        <v>73</v>
      </c>
      <c r="E1022" s="2">
        <v>93</v>
      </c>
      <c r="F1022" s="2">
        <v>1843.62</v>
      </c>
    </row>
    <row r="1023" spans="3:6" x14ac:dyDescent="0.25">
      <c r="C1023" s="2" t="s">
        <v>8308</v>
      </c>
      <c r="D1023" s="2" t="s">
        <v>73</v>
      </c>
      <c r="E1023" s="2">
        <v>10</v>
      </c>
      <c r="F1023" s="2">
        <v>205.95</v>
      </c>
    </row>
    <row r="1024" spans="3:6" x14ac:dyDescent="0.25">
      <c r="C1024" s="2" t="s">
        <v>8309</v>
      </c>
      <c r="D1024" s="2" t="s">
        <v>73</v>
      </c>
      <c r="E1024" s="2">
        <v>82</v>
      </c>
      <c r="F1024" s="2">
        <v>1689.199</v>
      </c>
    </row>
    <row r="1025" spans="3:6" x14ac:dyDescent="0.25">
      <c r="C1025" s="2" t="s">
        <v>8310</v>
      </c>
      <c r="D1025" s="2" t="s">
        <v>73</v>
      </c>
      <c r="E1025" s="2">
        <v>28</v>
      </c>
      <c r="F1025" s="2">
        <v>504.53</v>
      </c>
    </row>
    <row r="1026" spans="3:6" x14ac:dyDescent="0.25">
      <c r="C1026" s="2" t="s">
        <v>8311</v>
      </c>
      <c r="D1026" s="2" t="s">
        <v>73</v>
      </c>
      <c r="E1026" s="2">
        <v>73</v>
      </c>
      <c r="F1026" s="2">
        <v>1274.489</v>
      </c>
    </row>
    <row r="1027" spans="3:6" x14ac:dyDescent="0.25">
      <c r="C1027" s="2" t="s">
        <v>8312</v>
      </c>
      <c r="D1027" s="2" t="s">
        <v>73</v>
      </c>
      <c r="E1027" s="2">
        <v>38</v>
      </c>
      <c r="F1027" s="2">
        <v>664.08</v>
      </c>
    </row>
    <row r="1028" spans="3:6" x14ac:dyDescent="0.25">
      <c r="C1028" s="2" t="s">
        <v>8313</v>
      </c>
      <c r="D1028" s="2" t="s">
        <v>73</v>
      </c>
      <c r="E1028" s="2">
        <v>61</v>
      </c>
      <c r="F1028" s="2">
        <v>1170.203</v>
      </c>
    </row>
    <row r="1030" spans="1:7" x14ac:dyDescent="0.25">
      <c r="A1030" s="1">
        <v>46152</v>
      </c>
      <c r="B1030" s="2" t="s">
        <v>71</v>
      </c>
      <c r="C1030" s="2" t="s">
        <v>8314</v>
      </c>
      <c r="D1030" s="2" t="s">
        <v>73</v>
      </c>
      <c r="E1030" s="2">
        <v>35</v>
      </c>
      <c r="F1030" s="2">
        <v>663.22</v>
      </c>
      <c r="G1030" s="1">
        <v>46150</v>
      </c>
    </row>
    <row r="1031" spans="3:6" x14ac:dyDescent="0.25">
      <c r="C1031" s="2" t="s">
        <v>8315</v>
      </c>
      <c r="D1031" s="2" t="s">
        <v>73</v>
      </c>
      <c r="E1031" s="2">
        <v>54</v>
      </c>
      <c r="F1031" s="2">
        <v>939.07</v>
      </c>
    </row>
    <row r="1032" spans="3:6" x14ac:dyDescent="0.25">
      <c r="C1032" s="2" t="s">
        <v>8316</v>
      </c>
      <c r="D1032" s="2" t="s">
        <v>73</v>
      </c>
      <c r="E1032" s="2">
        <v>11</v>
      </c>
      <c r="F1032" s="2">
        <v>210.64</v>
      </c>
    </row>
    <row r="1033" spans="3:6" x14ac:dyDescent="0.25">
      <c r="C1033" s="2" t="s">
        <v>8317</v>
      </c>
      <c r="D1033" s="2" t="s">
        <v>73</v>
      </c>
      <c r="E1033" s="2">
        <v>93</v>
      </c>
      <c r="F1033" s="2">
        <v>1869.81</v>
      </c>
    </row>
    <row r="1034" spans="3:6" x14ac:dyDescent="0.25">
      <c r="C1034" s="2" t="s">
        <v>8318</v>
      </c>
      <c r="D1034" s="2" t="s">
        <v>73</v>
      </c>
      <c r="E1034" s="2">
        <v>98</v>
      </c>
      <c r="F1034" s="2">
        <v>1926.089</v>
      </c>
    </row>
    <row r="1036" spans="1:7" x14ac:dyDescent="0.25">
      <c r="A1036" s="1">
        <v>46152</v>
      </c>
      <c r="B1036" s="2" t="s">
        <v>495</v>
      </c>
      <c r="C1036" s="2" t="s">
        <v>8319</v>
      </c>
      <c r="D1036" s="2" t="s">
        <v>178</v>
      </c>
      <c r="E1036" s="2">
        <v>60</v>
      </c>
      <c r="F1036" s="2">
        <v>271.73</v>
      </c>
      <c r="G1036" s="1">
        <v>46152</v>
      </c>
    </row>
    <row r="1037" spans="3:6" x14ac:dyDescent="0.25">
      <c r="C1037" s="2" t="s">
        <v>8320</v>
      </c>
      <c r="D1037" s="2" t="s">
        <v>178</v>
      </c>
      <c r="E1037" s="2">
        <v>90</v>
      </c>
      <c r="F1037" s="2">
        <v>404.27</v>
      </c>
    </row>
    <row r="1038" spans="3:6" x14ac:dyDescent="0.25">
      <c r="C1038" s="2" t="s">
        <v>8321</v>
      </c>
      <c r="D1038" s="2" t="s">
        <v>178</v>
      </c>
      <c r="E1038" s="2">
        <v>45</v>
      </c>
      <c r="F1038" s="2">
        <v>189.97</v>
      </c>
    </row>
    <row r="1039" spans="3:6" x14ac:dyDescent="0.25">
      <c r="C1039" s="2" t="s">
        <v>8322</v>
      </c>
      <c r="D1039" s="2" t="s">
        <v>178</v>
      </c>
      <c r="E1039" s="2">
        <v>123</v>
      </c>
      <c r="F1039" s="2">
        <v>2544.45</v>
      </c>
    </row>
    <row r="1040" spans="3:6" x14ac:dyDescent="0.25">
      <c r="C1040" s="2" t="s">
        <v>8323</v>
      </c>
      <c r="D1040" s="2" t="s">
        <v>178</v>
      </c>
      <c r="E1040" s="2">
        <v>246</v>
      </c>
      <c r="F1040" s="2">
        <v>5122.799</v>
      </c>
    </row>
    <row r="1041" spans="3:6" x14ac:dyDescent="0.25">
      <c r="C1041" s="2" t="s">
        <v>8324</v>
      </c>
      <c r="D1041" s="2" t="s">
        <v>178</v>
      </c>
      <c r="E1041" s="2">
        <v>123</v>
      </c>
      <c r="F1041" s="2">
        <v>2513.16</v>
      </c>
    </row>
    <row r="1042" spans="3:6" x14ac:dyDescent="0.25">
      <c r="C1042" s="2" t="s">
        <v>8325</v>
      </c>
      <c r="D1042" s="2" t="s">
        <v>178</v>
      </c>
      <c r="E1042" s="2">
        <v>102</v>
      </c>
      <c r="F1042" s="2">
        <v>1760.52</v>
      </c>
    </row>
    <row r="1043" spans="3:6" x14ac:dyDescent="0.25">
      <c r="C1043" s="2" t="s">
        <v>8326</v>
      </c>
      <c r="D1043" s="2" t="s">
        <v>178</v>
      </c>
      <c r="E1043" s="2">
        <v>102</v>
      </c>
      <c r="F1043" s="2">
        <v>2143.76</v>
      </c>
    </row>
    <row r="1044" spans="3:6" x14ac:dyDescent="0.25">
      <c r="C1044" s="2" t="s">
        <v>8327</v>
      </c>
      <c r="D1044" s="2" t="s">
        <v>178</v>
      </c>
      <c r="E1044" s="2">
        <v>282</v>
      </c>
      <c r="F1044" s="2">
        <v>5801.68</v>
      </c>
    </row>
    <row r="1045" spans="3:6" x14ac:dyDescent="0.25">
      <c r="C1045" s="2" t="s">
        <v>8162</v>
      </c>
      <c r="D1045" s="2" t="s">
        <v>178</v>
      </c>
      <c r="E1045" s="2">
        <v>61</v>
      </c>
      <c r="F1045" s="2">
        <v>1128.388</v>
      </c>
    </row>
    <row r="1046" spans="3:6" x14ac:dyDescent="0.25">
      <c r="C1046" s="2" t="s">
        <v>8163</v>
      </c>
      <c r="D1046" s="2" t="s">
        <v>178</v>
      </c>
      <c r="E1046" s="2">
        <v>80</v>
      </c>
      <c r="F1046" s="2">
        <v>1522.589</v>
      </c>
    </row>
    <row r="1047" spans="3:6" x14ac:dyDescent="0.25">
      <c r="C1047" s="2" t="s">
        <v>8160</v>
      </c>
      <c r="D1047" s="2" t="s">
        <v>178</v>
      </c>
      <c r="E1047" s="2">
        <v>47</v>
      </c>
      <c r="F1047" s="2">
        <v>820.14</v>
      </c>
    </row>
    <row r="1048" spans="3:6" x14ac:dyDescent="0.25">
      <c r="C1048" s="2" t="s">
        <v>8328</v>
      </c>
      <c r="D1048" s="2" t="s">
        <v>178</v>
      </c>
      <c r="E1048" s="2">
        <v>30</v>
      </c>
      <c r="F1048" s="2">
        <v>590.34</v>
      </c>
    </row>
    <row r="1049" spans="3:6" x14ac:dyDescent="0.25">
      <c r="C1049" s="2" t="s">
        <v>8329</v>
      </c>
      <c r="D1049" s="2" t="s">
        <v>178</v>
      </c>
      <c r="E1049" s="2">
        <v>141</v>
      </c>
      <c r="F1049" s="2">
        <v>2784.469</v>
      </c>
    </row>
    <row r="1050" spans="3:6" x14ac:dyDescent="0.25">
      <c r="C1050" s="2" t="s">
        <v>8330</v>
      </c>
      <c r="D1050" s="2" t="s">
        <v>178</v>
      </c>
      <c r="E1050" s="2">
        <v>141</v>
      </c>
      <c r="F1050" s="2">
        <v>2669.76</v>
      </c>
    </row>
    <row r="1051" spans="3:6" x14ac:dyDescent="0.25">
      <c r="C1051" s="2" t="s">
        <v>8331</v>
      </c>
      <c r="D1051" s="2" t="s">
        <v>178</v>
      </c>
      <c r="E1051" s="2">
        <v>204</v>
      </c>
      <c r="F1051" s="2">
        <v>4207.069</v>
      </c>
    </row>
    <row r="1052" spans="3:6" x14ac:dyDescent="0.25">
      <c r="C1052" s="2" t="s">
        <v>8332</v>
      </c>
      <c r="D1052" s="2" t="s">
        <v>178</v>
      </c>
      <c r="E1052" s="2">
        <v>32</v>
      </c>
      <c r="F1052" s="2">
        <v>642.65</v>
      </c>
    </row>
    <row r="1053" spans="3:6" x14ac:dyDescent="0.25">
      <c r="C1053" s="2" t="s">
        <v>8333</v>
      </c>
      <c r="D1053" s="2" t="s">
        <v>178</v>
      </c>
      <c r="E1053" s="2">
        <v>70</v>
      </c>
      <c r="F1053" s="2">
        <v>1388.65</v>
      </c>
    </row>
    <row r="1054" spans="3:6" x14ac:dyDescent="0.25">
      <c r="C1054" s="2" t="s">
        <v>8334</v>
      </c>
      <c r="D1054" s="2" t="s">
        <v>178</v>
      </c>
      <c r="E1054" s="2">
        <v>134</v>
      </c>
      <c r="F1054" s="2">
        <v>2760.15</v>
      </c>
    </row>
    <row r="1055" spans="3:6" x14ac:dyDescent="0.25">
      <c r="C1055" s="2" t="s">
        <v>8335</v>
      </c>
      <c r="D1055" s="2" t="s">
        <v>178</v>
      </c>
      <c r="E1055" s="2">
        <v>141</v>
      </c>
      <c r="F1055" s="2">
        <v>2794.86</v>
      </c>
    </row>
    <row r="1056" spans="3:6" x14ac:dyDescent="0.25">
      <c r="C1056" s="2" t="s">
        <v>8336</v>
      </c>
      <c r="D1056" s="2" t="s">
        <v>178</v>
      </c>
      <c r="E1056" s="2">
        <v>141</v>
      </c>
      <c r="F1056" s="2">
        <v>2874.399</v>
      </c>
    </row>
    <row r="1057" spans="3:6" x14ac:dyDescent="0.25">
      <c r="C1057" s="2" t="s">
        <v>8337</v>
      </c>
      <c r="D1057" s="2" t="s">
        <v>178</v>
      </c>
      <c r="E1057" s="2">
        <v>141</v>
      </c>
      <c r="F1057" s="2">
        <v>2894.83</v>
      </c>
    </row>
    <row r="1058" spans="3:6" x14ac:dyDescent="0.25">
      <c r="C1058" s="2" t="s">
        <v>8338</v>
      </c>
      <c r="D1058" s="2" t="s">
        <v>178</v>
      </c>
      <c r="E1058" s="2">
        <v>141</v>
      </c>
      <c r="F1058" s="2">
        <v>2883.29</v>
      </c>
    </row>
    <row r="1059" spans="3:6" x14ac:dyDescent="0.25">
      <c r="C1059" s="2" t="s">
        <v>8339</v>
      </c>
      <c r="D1059" s="2" t="s">
        <v>178</v>
      </c>
      <c r="E1059" s="2">
        <v>102</v>
      </c>
      <c r="F1059" s="2">
        <v>2103.729</v>
      </c>
    </row>
    <row r="1060" spans="3:6" x14ac:dyDescent="0.25">
      <c r="C1060" s="2" t="s">
        <v>8340</v>
      </c>
      <c r="D1060" s="2" t="s">
        <v>178</v>
      </c>
      <c r="E1060" s="2">
        <v>141</v>
      </c>
      <c r="F1060" s="2">
        <v>2851.87</v>
      </c>
    </row>
    <row r="1061" spans="3:6" x14ac:dyDescent="0.25">
      <c r="C1061" s="2" t="s">
        <v>8341</v>
      </c>
      <c r="D1061" s="2" t="s">
        <v>178</v>
      </c>
      <c r="E1061" s="2">
        <v>141</v>
      </c>
      <c r="F1061" s="2">
        <v>2892.66</v>
      </c>
    </row>
    <row r="1062" spans="3:6" x14ac:dyDescent="0.25">
      <c r="C1062" s="2" t="s">
        <v>8342</v>
      </c>
      <c r="D1062" s="2" t="s">
        <v>178</v>
      </c>
      <c r="E1062" s="2">
        <v>141</v>
      </c>
      <c r="F1062" s="2">
        <v>2927.28</v>
      </c>
    </row>
    <row r="1063" spans="3:6" x14ac:dyDescent="0.25">
      <c r="C1063" s="2" t="s">
        <v>8343</v>
      </c>
      <c r="D1063" s="2" t="s">
        <v>178</v>
      </c>
      <c r="E1063" s="2">
        <v>141</v>
      </c>
      <c r="F1063" s="2">
        <v>2830.619</v>
      </c>
    </row>
    <row r="1064" spans="3:6" x14ac:dyDescent="0.25">
      <c r="C1064" s="2" t="s">
        <v>8344</v>
      </c>
      <c r="D1064" s="2" t="s">
        <v>178</v>
      </c>
      <c r="E1064" s="2">
        <v>102</v>
      </c>
      <c r="F1064" s="2">
        <v>2230.91</v>
      </c>
    </row>
    <row r="1065" spans="3:6" x14ac:dyDescent="0.25">
      <c r="C1065" s="2" t="s">
        <v>8345</v>
      </c>
      <c r="D1065" s="2" t="s">
        <v>178</v>
      </c>
      <c r="E1065" s="2">
        <v>141</v>
      </c>
      <c r="F1065" s="2">
        <v>2976.95</v>
      </c>
    </row>
    <row r="1066" spans="3:6" x14ac:dyDescent="0.25">
      <c r="C1066" s="2" t="s">
        <v>8346</v>
      </c>
      <c r="D1066" s="2" t="s">
        <v>178</v>
      </c>
      <c r="E1066" s="2">
        <v>141</v>
      </c>
      <c r="F1066" s="2">
        <v>2883.29</v>
      </c>
    </row>
    <row r="1067" spans="3:6" x14ac:dyDescent="0.25">
      <c r="C1067" s="2" t="s">
        <v>8347</v>
      </c>
      <c r="D1067" s="2" t="s">
        <v>178</v>
      </c>
      <c r="E1067" s="2">
        <v>109</v>
      </c>
      <c r="F1067" s="2">
        <v>2232.41</v>
      </c>
    </row>
    <row r="1068" spans="3:6" x14ac:dyDescent="0.25">
      <c r="C1068" s="2" t="s">
        <v>8348</v>
      </c>
      <c r="D1068" s="2" t="s">
        <v>178</v>
      </c>
      <c r="E1068" s="2">
        <v>32</v>
      </c>
      <c r="F1068" s="2">
        <v>647.25</v>
      </c>
    </row>
    <row r="1069" spans="3:6" x14ac:dyDescent="0.25">
      <c r="C1069" s="2" t="s">
        <v>8349</v>
      </c>
      <c r="D1069" s="2" t="s">
        <v>178</v>
      </c>
      <c r="E1069" s="2">
        <v>100</v>
      </c>
      <c r="F1069" s="2">
        <v>1916.07</v>
      </c>
    </row>
    <row r="1070" spans="3:6" x14ac:dyDescent="0.25">
      <c r="C1070" s="2" t="s">
        <v>8350</v>
      </c>
      <c r="D1070" s="2" t="s">
        <v>178</v>
      </c>
      <c r="E1070" s="2">
        <v>41</v>
      </c>
      <c r="F1070" s="2">
        <v>735.21</v>
      </c>
    </row>
    <row r="1072" spans="1:7" x14ac:dyDescent="0.25">
      <c r="A1072" s="1">
        <v>46152</v>
      </c>
      <c r="B1072" s="2" t="s">
        <v>80</v>
      </c>
      <c r="C1072" s="2" t="s">
        <v>8351</v>
      </c>
      <c r="D1072" s="2" t="s">
        <v>82</v>
      </c>
      <c r="E1072" s="2">
        <v>46</v>
      </c>
      <c r="F1072" s="2">
        <v>941</v>
      </c>
      <c r="G1072" s="1">
        <v>46152</v>
      </c>
    </row>
    <row r="1073" spans="3:6" x14ac:dyDescent="0.25">
      <c r="C1073" s="2" t="s">
        <v>8352</v>
      </c>
      <c r="D1073" s="2" t="s">
        <v>82</v>
      </c>
      <c r="E1073" s="2">
        <v>41</v>
      </c>
      <c r="F1073" s="2">
        <v>839.349</v>
      </c>
    </row>
    <row r="1074" spans="3:6" x14ac:dyDescent="0.25">
      <c r="C1074" s="2" t="s">
        <v>8353</v>
      </c>
      <c r="D1074" s="2" t="s">
        <v>82</v>
      </c>
      <c r="E1074" s="2">
        <v>15</v>
      </c>
      <c r="F1074" s="2">
        <v>290.2</v>
      </c>
    </row>
    <row r="1075" spans="3:6" x14ac:dyDescent="0.25">
      <c r="C1075" s="2" t="s">
        <v>8354</v>
      </c>
      <c r="D1075" s="2" t="s">
        <v>82</v>
      </c>
      <c r="E1075" s="2">
        <v>143</v>
      </c>
      <c r="F1075" s="2">
        <v>1636.344</v>
      </c>
    </row>
    <row r="1076" spans="3:6" x14ac:dyDescent="0.25">
      <c r="C1076" s="2" t="s">
        <v>8355</v>
      </c>
      <c r="D1076" s="2" t="s">
        <v>82</v>
      </c>
      <c r="E1076" s="2">
        <v>140</v>
      </c>
      <c r="F1076" s="2">
        <v>2021.31</v>
      </c>
    </row>
    <row r="1077" spans="3:6" x14ac:dyDescent="0.25">
      <c r="C1077" s="2" t="s">
        <v>8356</v>
      </c>
      <c r="D1077" s="2" t="s">
        <v>82</v>
      </c>
      <c r="E1077" s="2">
        <v>55</v>
      </c>
      <c r="F1077" s="2">
        <v>455.058</v>
      </c>
    </row>
    <row r="1078" spans="3:6" x14ac:dyDescent="0.25">
      <c r="C1078" s="2" t="s">
        <v>8357</v>
      </c>
      <c r="D1078" s="2" t="s">
        <v>82</v>
      </c>
      <c r="E1078" s="2">
        <v>75</v>
      </c>
      <c r="F1078" s="2">
        <v>1545.58</v>
      </c>
    </row>
    <row r="1079" spans="3:6" x14ac:dyDescent="0.25">
      <c r="C1079" s="2" t="s">
        <v>8358</v>
      </c>
      <c r="D1079" s="2" t="s">
        <v>82</v>
      </c>
      <c r="E1079" s="2">
        <v>102</v>
      </c>
      <c r="F1079" s="2">
        <v>2119.71</v>
      </c>
    </row>
    <row r="1080" spans="3:6" x14ac:dyDescent="0.25">
      <c r="C1080" s="2" t="s">
        <v>8359</v>
      </c>
      <c r="D1080" s="2" t="s">
        <v>82</v>
      </c>
      <c r="E1080" s="2">
        <v>21</v>
      </c>
      <c r="F1080" s="2">
        <v>436.94</v>
      </c>
    </row>
    <row r="1081" spans="3:6" x14ac:dyDescent="0.25">
      <c r="C1081" s="2" t="s">
        <v>8360</v>
      </c>
      <c r="D1081" s="2" t="s">
        <v>82</v>
      </c>
      <c r="E1081" s="2">
        <v>39</v>
      </c>
      <c r="F1081" s="2">
        <v>723.96</v>
      </c>
    </row>
    <row r="1082" spans="3:6" x14ac:dyDescent="0.25">
      <c r="C1082" s="2" t="s">
        <v>8361</v>
      </c>
      <c r="D1082" s="2" t="s">
        <v>82</v>
      </c>
      <c r="E1082" s="2">
        <v>82</v>
      </c>
      <c r="F1082" s="2">
        <v>1697.66</v>
      </c>
    </row>
    <row r="1083" spans="3:6" x14ac:dyDescent="0.25">
      <c r="C1083" s="2" t="s">
        <v>8362</v>
      </c>
      <c r="D1083" s="2" t="s">
        <v>82</v>
      </c>
      <c r="E1083" s="2">
        <v>141</v>
      </c>
      <c r="F1083" s="2">
        <v>3014.34</v>
      </c>
    </row>
    <row r="1084" spans="3:6" x14ac:dyDescent="0.25">
      <c r="C1084" s="2" t="s">
        <v>8363</v>
      </c>
      <c r="D1084" s="2" t="s">
        <v>82</v>
      </c>
      <c r="E1084" s="2">
        <v>92</v>
      </c>
      <c r="F1084" s="2">
        <v>401.959</v>
      </c>
    </row>
    <row r="1085" spans="3:6" x14ac:dyDescent="0.25">
      <c r="C1085" s="2" t="s">
        <v>8364</v>
      </c>
      <c r="D1085" s="2" t="s">
        <v>82</v>
      </c>
      <c r="E1085" s="2">
        <v>123</v>
      </c>
      <c r="F1085" s="2">
        <v>2484.569</v>
      </c>
    </row>
    <row r="1086" spans="3:6" x14ac:dyDescent="0.25">
      <c r="C1086" s="2" t="s">
        <v>8365</v>
      </c>
      <c r="D1086" s="2" t="s">
        <v>82</v>
      </c>
      <c r="E1086" s="2">
        <v>123</v>
      </c>
      <c r="F1086" s="2">
        <v>2560.02</v>
      </c>
    </row>
    <row r="1087" spans="3:6" x14ac:dyDescent="0.25">
      <c r="C1087" s="2" t="s">
        <v>8366</v>
      </c>
      <c r="D1087" s="2" t="s">
        <v>82</v>
      </c>
      <c r="E1087" s="2">
        <v>141</v>
      </c>
      <c r="F1087" s="2">
        <v>2861.729</v>
      </c>
    </row>
    <row r="1088" spans="3:6" x14ac:dyDescent="0.25">
      <c r="C1088" s="2" t="s">
        <v>8367</v>
      </c>
      <c r="D1088" s="2" t="s">
        <v>82</v>
      </c>
      <c r="E1088" s="2">
        <v>141</v>
      </c>
      <c r="F1088" s="2">
        <v>2852.508</v>
      </c>
    </row>
    <row r="1089" spans="3:6" x14ac:dyDescent="0.25">
      <c r="C1089" s="2" t="s">
        <v>8368</v>
      </c>
      <c r="D1089" s="2" t="s">
        <v>82</v>
      </c>
      <c r="E1089" s="2">
        <v>141</v>
      </c>
      <c r="F1089" s="2">
        <v>2893.089</v>
      </c>
    </row>
    <row r="1090" spans="3:6" x14ac:dyDescent="0.25">
      <c r="C1090" s="2" t="s">
        <v>8369</v>
      </c>
      <c r="D1090" s="2" t="s">
        <v>82</v>
      </c>
      <c r="E1090" s="2">
        <v>141</v>
      </c>
      <c r="F1090" s="2">
        <v>2891.18</v>
      </c>
    </row>
    <row r="1091" spans="3:6" x14ac:dyDescent="0.25">
      <c r="C1091" s="2" t="s">
        <v>8370</v>
      </c>
      <c r="D1091" s="2" t="s">
        <v>82</v>
      </c>
      <c r="E1091" s="2">
        <v>94</v>
      </c>
      <c r="F1091" s="2">
        <v>1933.35</v>
      </c>
    </row>
    <row r="1092" spans="3:6" x14ac:dyDescent="0.25">
      <c r="C1092" s="2" t="s">
        <v>8371</v>
      </c>
      <c r="D1092" s="2" t="s">
        <v>82</v>
      </c>
      <c r="E1092" s="2">
        <v>47</v>
      </c>
      <c r="F1092" s="2">
        <v>943.26</v>
      </c>
    </row>
    <row r="1093" spans="3:6" x14ac:dyDescent="0.25">
      <c r="C1093" s="2" t="s">
        <v>8372</v>
      </c>
      <c r="D1093" s="2" t="s">
        <v>82</v>
      </c>
      <c r="E1093" s="2">
        <v>143</v>
      </c>
      <c r="F1093" s="2">
        <v>2877.17</v>
      </c>
    </row>
    <row r="1094" spans="3:6" x14ac:dyDescent="0.25">
      <c r="C1094" s="2" t="s">
        <v>8373</v>
      </c>
      <c r="D1094" s="2" t="s">
        <v>82</v>
      </c>
      <c r="E1094" s="2">
        <v>143</v>
      </c>
      <c r="F1094" s="2">
        <v>3048.72</v>
      </c>
    </row>
    <row r="1095" spans="3:6" x14ac:dyDescent="0.25">
      <c r="C1095" s="2" t="s">
        <v>8374</v>
      </c>
      <c r="D1095" s="2" t="s">
        <v>82</v>
      </c>
      <c r="E1095" s="2">
        <v>64</v>
      </c>
      <c r="F1095" s="2">
        <v>1321.78</v>
      </c>
    </row>
    <row r="1096" spans="3:6" x14ac:dyDescent="0.25">
      <c r="C1096" s="2" t="s">
        <v>8375</v>
      </c>
      <c r="D1096" s="2" t="s">
        <v>82</v>
      </c>
      <c r="E1096" s="2">
        <v>38</v>
      </c>
      <c r="F1096" s="2">
        <v>803.29</v>
      </c>
    </row>
    <row r="1097" spans="3:6" x14ac:dyDescent="0.25">
      <c r="C1097" s="2" t="s">
        <v>8376</v>
      </c>
      <c r="D1097" s="2" t="s">
        <v>82</v>
      </c>
      <c r="E1097" s="2">
        <v>23</v>
      </c>
      <c r="F1097" s="2">
        <v>513.5</v>
      </c>
    </row>
    <row r="1098" spans="3:6" x14ac:dyDescent="0.25">
      <c r="C1098" s="2" t="s">
        <v>8377</v>
      </c>
      <c r="D1098" s="2" t="s">
        <v>82</v>
      </c>
      <c r="E1098" s="2">
        <v>12</v>
      </c>
      <c r="F1098" s="2">
        <v>236.09</v>
      </c>
    </row>
    <row r="1099" spans="3:6" x14ac:dyDescent="0.25">
      <c r="C1099" s="2" t="s">
        <v>8378</v>
      </c>
      <c r="D1099" s="2" t="s">
        <v>82</v>
      </c>
      <c r="E1099" s="2">
        <v>67</v>
      </c>
      <c r="F1099" s="2">
        <v>1374.24</v>
      </c>
    </row>
    <row r="1100" spans="3:6" x14ac:dyDescent="0.25">
      <c r="C1100" s="2" t="s">
        <v>8379</v>
      </c>
      <c r="D1100" s="2" t="s">
        <v>82</v>
      </c>
      <c r="E1100" s="2">
        <v>143</v>
      </c>
      <c r="F1100" s="2">
        <v>779.997</v>
      </c>
    </row>
    <row r="1101" spans="3:6" x14ac:dyDescent="0.25">
      <c r="C1101" s="2" t="s">
        <v>8380</v>
      </c>
      <c r="D1101" s="2" t="s">
        <v>82</v>
      </c>
      <c r="E1101" s="2">
        <v>32</v>
      </c>
      <c r="F1101" s="2">
        <v>653.26</v>
      </c>
    </row>
    <row r="1102" spans="3:6" x14ac:dyDescent="0.25">
      <c r="C1102" s="2" t="s">
        <v>8381</v>
      </c>
      <c r="D1102" s="2" t="s">
        <v>82</v>
      </c>
      <c r="E1102" s="2">
        <v>16</v>
      </c>
      <c r="F1102" s="2">
        <v>293.859</v>
      </c>
    </row>
    <row r="1103" spans="3:6" x14ac:dyDescent="0.25">
      <c r="C1103" s="2" t="s">
        <v>8382</v>
      </c>
      <c r="D1103" s="2" t="s">
        <v>82</v>
      </c>
      <c r="E1103" s="2">
        <v>30</v>
      </c>
      <c r="F1103" s="2">
        <v>646.52</v>
      </c>
    </row>
    <row r="1104" spans="3:6" x14ac:dyDescent="0.25">
      <c r="C1104" s="2" t="s">
        <v>8383</v>
      </c>
      <c r="D1104" s="2" t="s">
        <v>82</v>
      </c>
      <c r="E1104" s="2">
        <v>65</v>
      </c>
      <c r="F1104" s="2">
        <v>1336.95</v>
      </c>
    </row>
    <row r="1105" spans="3:6" x14ac:dyDescent="0.25">
      <c r="C1105" s="2" t="s">
        <v>8384</v>
      </c>
      <c r="D1105" s="2" t="s">
        <v>82</v>
      </c>
      <c r="E1105" s="2">
        <v>40</v>
      </c>
      <c r="F1105" s="2">
        <v>811.879</v>
      </c>
    </row>
    <row r="1106" spans="3:6" x14ac:dyDescent="0.25">
      <c r="C1106" s="2" t="s">
        <v>8385</v>
      </c>
      <c r="D1106" s="2" t="s">
        <v>82</v>
      </c>
      <c r="E1106" s="2">
        <v>26</v>
      </c>
      <c r="F1106" s="2">
        <v>553.31</v>
      </c>
    </row>
    <row r="1107" spans="3:6" x14ac:dyDescent="0.25">
      <c r="C1107" s="2" t="s">
        <v>8386</v>
      </c>
      <c r="D1107" s="2" t="s">
        <v>82</v>
      </c>
      <c r="E1107" s="2">
        <v>30</v>
      </c>
      <c r="F1107" s="2">
        <v>582.01</v>
      </c>
    </row>
    <row r="1108" spans="3:6" x14ac:dyDescent="0.25">
      <c r="C1108" s="2" t="s">
        <v>8387</v>
      </c>
      <c r="D1108" s="2" t="s">
        <v>82</v>
      </c>
      <c r="E1108" s="2">
        <v>47</v>
      </c>
      <c r="F1108" s="2">
        <v>887.59</v>
      </c>
    </row>
    <row r="1109" spans="3:6" x14ac:dyDescent="0.25">
      <c r="C1109" s="2" t="s">
        <v>8388</v>
      </c>
      <c r="D1109" s="2" t="s">
        <v>82</v>
      </c>
      <c r="E1109" s="2">
        <v>10</v>
      </c>
      <c r="F1109" s="2">
        <v>188.71</v>
      </c>
    </row>
    <row r="1110" spans="3:6" x14ac:dyDescent="0.25">
      <c r="C1110" s="2" t="s">
        <v>8389</v>
      </c>
      <c r="D1110" s="2" t="s">
        <v>82</v>
      </c>
      <c r="E1110" s="2">
        <v>31</v>
      </c>
      <c r="F1110" s="2">
        <v>595.56</v>
      </c>
    </row>
    <row r="1111" spans="3:6" x14ac:dyDescent="0.25">
      <c r="C1111" s="2" t="s">
        <v>8390</v>
      </c>
      <c r="D1111" s="2" t="s">
        <v>82</v>
      </c>
      <c r="E1111" s="2">
        <v>31</v>
      </c>
      <c r="F1111" s="2">
        <v>562.319</v>
      </c>
    </row>
    <row r="1112" spans="3:6" x14ac:dyDescent="0.25">
      <c r="C1112" s="2" t="s">
        <v>8391</v>
      </c>
      <c r="D1112" s="2" t="s">
        <v>82</v>
      </c>
      <c r="E1112" s="2">
        <v>32</v>
      </c>
      <c r="F1112" s="2">
        <v>680.64</v>
      </c>
    </row>
    <row r="1113" spans="3:6" x14ac:dyDescent="0.25">
      <c r="C1113" s="2" t="s">
        <v>8392</v>
      </c>
      <c r="D1113" s="2" t="s">
        <v>82</v>
      </c>
      <c r="E1113" s="2">
        <v>14</v>
      </c>
      <c r="F1113" s="2">
        <v>270.74</v>
      </c>
    </row>
    <row r="1114" spans="3:6" x14ac:dyDescent="0.25">
      <c r="C1114" s="2" t="s">
        <v>8393</v>
      </c>
      <c r="D1114" s="2" t="s">
        <v>82</v>
      </c>
      <c r="E1114" s="2">
        <v>25</v>
      </c>
      <c r="F1114" s="2">
        <v>517.33</v>
      </c>
    </row>
    <row r="1116" spans="1:7" x14ac:dyDescent="0.25">
      <c r="A1116" s="1">
        <v>46152</v>
      </c>
      <c r="B1116" s="2" t="s">
        <v>7</v>
      </c>
      <c r="C1116" s="2" t="s">
        <v>8394</v>
      </c>
      <c r="D1116" s="2" t="s">
        <v>9</v>
      </c>
      <c r="E1116" s="2">
        <v>73</v>
      </c>
      <c r="F1116" s="2">
        <v>1372.03</v>
      </c>
      <c r="G1116" s="1">
        <v>46152</v>
      </c>
    </row>
    <row r="1117" spans="3:6" x14ac:dyDescent="0.25">
      <c r="C1117" s="2" t="s">
        <v>8395</v>
      </c>
      <c r="D1117" s="2" t="s">
        <v>9</v>
      </c>
      <c r="E1117" s="2">
        <v>69</v>
      </c>
      <c r="F1117" s="2">
        <v>1432.81</v>
      </c>
    </row>
    <row r="1119" spans="1:7" x14ac:dyDescent="0.25">
      <c r="A1119" s="1">
        <v>46152</v>
      </c>
      <c r="B1119" s="2" t="s">
        <v>7683</v>
      </c>
      <c r="C1119" s="2" t="s">
        <v>8396</v>
      </c>
      <c r="D1119" s="2" t="s">
        <v>9</v>
      </c>
      <c r="E1119" s="2">
        <v>156</v>
      </c>
      <c r="F1119" s="2">
        <v>3237.33</v>
      </c>
      <c r="G1119" s="1">
        <v>46152</v>
      </c>
    </row>
    <row r="1120" spans="3:6" x14ac:dyDescent="0.25">
      <c r="C1120" s="2" t="s">
        <v>8397</v>
      </c>
      <c r="D1120" s="2" t="s">
        <v>9</v>
      </c>
      <c r="E1120" s="2">
        <v>156</v>
      </c>
      <c r="F1120" s="2">
        <v>3141.55</v>
      </c>
    </row>
    <row r="1121" spans="3:6" x14ac:dyDescent="0.25">
      <c r="C1121" s="2" t="s">
        <v>8398</v>
      </c>
      <c r="D1121" s="2" t="s">
        <v>9</v>
      </c>
      <c r="E1121" s="2">
        <v>62</v>
      </c>
      <c r="F1121" s="2">
        <v>1310.87</v>
      </c>
    </row>
    <row r="1123" spans="1:7" x14ac:dyDescent="0.25">
      <c r="A1123" s="1">
        <v>46153</v>
      </c>
      <c r="B1123" s="2" t="s">
        <v>1012</v>
      </c>
      <c r="C1123" s="2" t="s">
        <v>8399</v>
      </c>
      <c r="D1123" s="2" t="s">
        <v>82</v>
      </c>
      <c r="E1123" s="2">
        <v>41</v>
      </c>
      <c r="F1123" s="2">
        <v>868.27</v>
      </c>
      <c r="G1123" s="1">
        <v>46152</v>
      </c>
    </row>
    <row r="1124" spans="3:6" x14ac:dyDescent="0.25">
      <c r="C1124" s="2" t="s">
        <v>8400</v>
      </c>
      <c r="D1124" s="2" t="s">
        <v>82</v>
      </c>
      <c r="E1124" s="2">
        <v>80</v>
      </c>
      <c r="F1124" s="2">
        <v>1668.35</v>
      </c>
    </row>
    <row r="1125" spans="3:6" x14ac:dyDescent="0.25">
      <c r="C1125" s="2" t="s">
        <v>8401</v>
      </c>
      <c r="D1125" s="2" t="s">
        <v>82</v>
      </c>
      <c r="E1125" s="2">
        <v>111</v>
      </c>
      <c r="F1125" s="2">
        <v>2373.02</v>
      </c>
    </row>
    <row r="1126" spans="3:6" x14ac:dyDescent="0.25">
      <c r="C1126" s="2" t="s">
        <v>8402</v>
      </c>
      <c r="D1126" s="2" t="s">
        <v>82</v>
      </c>
      <c r="E1126" s="2">
        <v>10</v>
      </c>
      <c r="F1126" s="2">
        <v>211.98</v>
      </c>
    </row>
    <row r="1127" spans="3:6" x14ac:dyDescent="0.25">
      <c r="C1127" s="2" t="s">
        <v>8403</v>
      </c>
      <c r="D1127" s="2" t="s">
        <v>82</v>
      </c>
      <c r="E1127" s="2">
        <v>141</v>
      </c>
      <c r="F1127" s="2">
        <v>2966.74</v>
      </c>
    </row>
    <row r="1128" spans="3:6" x14ac:dyDescent="0.25">
      <c r="C1128" s="2" t="s">
        <v>8404</v>
      </c>
      <c r="D1128" s="2" t="s">
        <v>82</v>
      </c>
      <c r="E1128" s="2">
        <v>64</v>
      </c>
      <c r="F1128" s="2">
        <v>1293.11</v>
      </c>
    </row>
    <row r="1129" spans="3:6" x14ac:dyDescent="0.25">
      <c r="C1129" s="2" t="s">
        <v>8405</v>
      </c>
      <c r="D1129" s="2" t="s">
        <v>82</v>
      </c>
      <c r="E1129" s="2">
        <v>77</v>
      </c>
      <c r="F1129" s="2">
        <v>1605.12</v>
      </c>
    </row>
    <row r="1130" spans="3:6" x14ac:dyDescent="0.25">
      <c r="C1130" s="2" t="s">
        <v>8406</v>
      </c>
      <c r="D1130" s="2" t="s">
        <v>82</v>
      </c>
      <c r="E1130" s="2">
        <v>100</v>
      </c>
      <c r="F1130" s="2">
        <v>2109.45</v>
      </c>
    </row>
    <row r="1131" spans="3:6" x14ac:dyDescent="0.25">
      <c r="C1131" s="2" t="s">
        <v>8407</v>
      </c>
      <c r="D1131" s="2" t="s">
        <v>82</v>
      </c>
      <c r="E1131" s="2">
        <v>41</v>
      </c>
      <c r="F1131" s="2">
        <v>852.64</v>
      </c>
    </row>
    <row r="1132" spans="3:6" x14ac:dyDescent="0.25">
      <c r="C1132" s="2" t="s">
        <v>8408</v>
      </c>
      <c r="D1132" s="2" t="s">
        <v>82</v>
      </c>
      <c r="E1132" s="2">
        <v>52</v>
      </c>
      <c r="F1132" s="2">
        <v>1050.21</v>
      </c>
    </row>
    <row r="1133" spans="3:6" x14ac:dyDescent="0.25">
      <c r="C1133" s="2" t="s">
        <v>8409</v>
      </c>
      <c r="D1133" s="2" t="s">
        <v>82</v>
      </c>
      <c r="E1133" s="2">
        <v>49</v>
      </c>
      <c r="F1133" s="2">
        <v>926.77</v>
      </c>
    </row>
    <row r="1134" spans="3:6" x14ac:dyDescent="0.25">
      <c r="C1134" s="2" t="s">
        <v>8410</v>
      </c>
      <c r="D1134" s="2" t="s">
        <v>82</v>
      </c>
      <c r="E1134" s="2">
        <v>52</v>
      </c>
      <c r="F1134" s="2">
        <v>1086.42</v>
      </c>
    </row>
    <row r="1135" spans="3:6" x14ac:dyDescent="0.25">
      <c r="C1135" s="2" t="s">
        <v>8411</v>
      </c>
      <c r="D1135" s="2" t="s">
        <v>82</v>
      </c>
      <c r="E1135" s="2">
        <v>39</v>
      </c>
      <c r="F1135" s="2">
        <v>319.735</v>
      </c>
    </row>
    <row r="1136" spans="3:6" x14ac:dyDescent="0.25">
      <c r="C1136" s="2" t="s">
        <v>8412</v>
      </c>
      <c r="D1136" s="2" t="s">
        <v>82</v>
      </c>
      <c r="E1136" s="2">
        <v>101</v>
      </c>
      <c r="F1136" s="2">
        <v>2078.02</v>
      </c>
    </row>
    <row r="1137" spans="3:6" x14ac:dyDescent="0.25">
      <c r="C1137" s="2" t="s">
        <v>8413</v>
      </c>
      <c r="D1137" s="2" t="s">
        <v>82</v>
      </c>
      <c r="E1137" s="2">
        <v>101</v>
      </c>
      <c r="F1137" s="2">
        <v>2024.79</v>
      </c>
    </row>
    <row r="1138" spans="3:6" x14ac:dyDescent="0.25">
      <c r="C1138" s="2" t="s">
        <v>8414</v>
      </c>
      <c r="D1138" s="2" t="s">
        <v>82</v>
      </c>
      <c r="E1138" s="2">
        <v>101</v>
      </c>
      <c r="F1138" s="2">
        <v>1928.944</v>
      </c>
    </row>
    <row r="1139" spans="3:6" x14ac:dyDescent="0.25">
      <c r="C1139" s="2" t="s">
        <v>8415</v>
      </c>
      <c r="D1139" s="2" t="s">
        <v>82</v>
      </c>
      <c r="E1139" s="2">
        <v>141</v>
      </c>
      <c r="F1139" s="2">
        <v>2972.25</v>
      </c>
    </row>
    <row r="1140" spans="3:6" x14ac:dyDescent="0.25">
      <c r="C1140" s="2" t="s">
        <v>8416</v>
      </c>
      <c r="D1140" s="2" t="s">
        <v>82</v>
      </c>
      <c r="E1140" s="2">
        <v>141</v>
      </c>
      <c r="F1140" s="2">
        <v>2874.209</v>
      </c>
    </row>
    <row r="1141" spans="3:6" x14ac:dyDescent="0.25">
      <c r="C1141" s="2" t="s">
        <v>8417</v>
      </c>
      <c r="D1141" s="2" t="s">
        <v>82</v>
      </c>
      <c r="E1141" s="2">
        <v>141</v>
      </c>
      <c r="F1141" s="2">
        <v>2678.19</v>
      </c>
    </row>
    <row r="1142" spans="3:6" x14ac:dyDescent="0.25">
      <c r="C1142" s="2" t="s">
        <v>8418</v>
      </c>
      <c r="D1142" s="2" t="s">
        <v>82</v>
      </c>
      <c r="E1142" s="2">
        <v>9</v>
      </c>
      <c r="F1142" s="2">
        <v>126.5</v>
      </c>
    </row>
    <row r="1143" spans="3:6" x14ac:dyDescent="0.25">
      <c r="C1143" s="2" t="s">
        <v>8419</v>
      </c>
      <c r="D1143" s="2" t="s">
        <v>82</v>
      </c>
      <c r="E1143" s="2">
        <v>55</v>
      </c>
      <c r="F1143" s="2">
        <v>1024.569</v>
      </c>
    </row>
    <row r="1144" spans="3:6" x14ac:dyDescent="0.25">
      <c r="C1144" s="2" t="s">
        <v>8420</v>
      </c>
      <c r="D1144" s="2" t="s">
        <v>82</v>
      </c>
      <c r="E1144" s="2">
        <v>50</v>
      </c>
      <c r="F1144" s="2">
        <v>967.299</v>
      </c>
    </row>
    <row r="1145" spans="3:6" x14ac:dyDescent="0.25">
      <c r="C1145" s="2" t="s">
        <v>8421</v>
      </c>
      <c r="D1145" s="2" t="s">
        <v>82</v>
      </c>
      <c r="E1145" s="2">
        <v>27</v>
      </c>
      <c r="F1145" s="2">
        <v>512.819</v>
      </c>
    </row>
    <row r="1146" spans="3:6" x14ac:dyDescent="0.25">
      <c r="C1146" s="2" t="s">
        <v>8422</v>
      </c>
      <c r="D1146" s="2" t="s">
        <v>82</v>
      </c>
      <c r="E1146" s="2">
        <v>47</v>
      </c>
      <c r="F1146" s="2">
        <v>911.189</v>
      </c>
    </row>
    <row r="1147" spans="3:6" x14ac:dyDescent="0.25">
      <c r="C1147" s="2" t="s">
        <v>8423</v>
      </c>
      <c r="D1147" s="2" t="s">
        <v>82</v>
      </c>
      <c r="E1147" s="2">
        <v>26</v>
      </c>
      <c r="F1147" s="2">
        <v>530.07</v>
      </c>
    </row>
    <row r="1148" spans="3:6" x14ac:dyDescent="0.25">
      <c r="C1148" s="2" t="s">
        <v>8424</v>
      </c>
      <c r="D1148" s="2" t="s">
        <v>82</v>
      </c>
      <c r="E1148" s="2">
        <v>68</v>
      </c>
      <c r="F1148" s="2">
        <v>1433.73</v>
      </c>
    </row>
    <row r="1149" spans="3:6" x14ac:dyDescent="0.25">
      <c r="C1149" s="2" t="s">
        <v>8425</v>
      </c>
      <c r="D1149" s="2" t="s">
        <v>82</v>
      </c>
      <c r="E1149" s="2">
        <v>34</v>
      </c>
      <c r="F1149" s="2">
        <v>739.72</v>
      </c>
    </row>
    <row r="1150" spans="3:6" x14ac:dyDescent="0.25">
      <c r="C1150" s="2" t="s">
        <v>8426</v>
      </c>
      <c r="D1150" s="2" t="s">
        <v>82</v>
      </c>
      <c r="E1150" s="2">
        <v>13</v>
      </c>
      <c r="F1150" s="2">
        <v>280.31</v>
      </c>
    </row>
    <row r="1151" spans="3:6" x14ac:dyDescent="0.25">
      <c r="C1151" s="2" t="s">
        <v>8427</v>
      </c>
      <c r="D1151" s="2" t="s">
        <v>82</v>
      </c>
      <c r="E1151" s="2">
        <v>94</v>
      </c>
      <c r="F1151" s="2">
        <v>1753.76</v>
      </c>
    </row>
    <row r="1153" spans="1:7" x14ac:dyDescent="0.25">
      <c r="A1153" s="1">
        <v>46153</v>
      </c>
      <c r="B1153" s="2" t="s">
        <v>176</v>
      </c>
      <c r="C1153" s="2" t="s">
        <v>8428</v>
      </c>
      <c r="D1153" s="2" t="s">
        <v>178</v>
      </c>
      <c r="E1153" s="2">
        <v>243</v>
      </c>
      <c r="F1153" s="2">
        <v>5096.05</v>
      </c>
      <c r="G1153" s="1">
        <v>46153</v>
      </c>
    </row>
    <row r="1154" spans="3:6" x14ac:dyDescent="0.25">
      <c r="C1154" s="2" t="s">
        <v>8429</v>
      </c>
      <c r="D1154" s="2" t="s">
        <v>178</v>
      </c>
      <c r="E1154" s="2">
        <v>123</v>
      </c>
      <c r="F1154" s="2">
        <v>2559.13</v>
      </c>
    </row>
    <row r="1155" spans="3:6" x14ac:dyDescent="0.25">
      <c r="C1155" s="2" t="s">
        <v>8430</v>
      </c>
      <c r="D1155" s="2" t="s">
        <v>178</v>
      </c>
      <c r="E1155" s="2">
        <v>123</v>
      </c>
      <c r="F1155" s="2">
        <v>2564.96</v>
      </c>
    </row>
    <row r="1156" spans="3:6" x14ac:dyDescent="0.25">
      <c r="C1156" s="2" t="s">
        <v>8431</v>
      </c>
      <c r="D1156" s="2" t="s">
        <v>178</v>
      </c>
      <c r="E1156" s="2">
        <v>105</v>
      </c>
      <c r="F1156" s="2">
        <v>452.489</v>
      </c>
    </row>
    <row r="1157" spans="3:6" x14ac:dyDescent="0.25">
      <c r="C1157" s="2" t="s">
        <v>8432</v>
      </c>
      <c r="D1157" s="2" t="s">
        <v>178</v>
      </c>
      <c r="E1157" s="2">
        <v>123</v>
      </c>
      <c r="F1157" s="2">
        <v>2436.559</v>
      </c>
    </row>
    <row r="1158" spans="3:6" x14ac:dyDescent="0.25">
      <c r="C1158" s="2" t="s">
        <v>8433</v>
      </c>
      <c r="D1158" s="2" t="s">
        <v>178</v>
      </c>
      <c r="E1158" s="2">
        <v>123</v>
      </c>
      <c r="F1158" s="2">
        <v>2251.988</v>
      </c>
    </row>
    <row r="1159" spans="3:6" x14ac:dyDescent="0.25">
      <c r="C1159" s="2" t="s">
        <v>8434</v>
      </c>
      <c r="D1159" s="2" t="s">
        <v>178</v>
      </c>
      <c r="E1159" s="2">
        <v>102</v>
      </c>
      <c r="F1159" s="2">
        <v>2187.229</v>
      </c>
    </row>
    <row r="1160" spans="3:6" x14ac:dyDescent="0.25">
      <c r="C1160" s="2" t="s">
        <v>8435</v>
      </c>
      <c r="D1160" s="2" t="s">
        <v>178</v>
      </c>
      <c r="E1160" s="2">
        <v>141</v>
      </c>
      <c r="F1160" s="2">
        <v>2934.18</v>
      </c>
    </row>
    <row r="1161" spans="3:6" x14ac:dyDescent="0.25">
      <c r="C1161" s="2" t="s">
        <v>8436</v>
      </c>
      <c r="D1161" s="2" t="s">
        <v>178</v>
      </c>
      <c r="E1161" s="2">
        <v>141</v>
      </c>
      <c r="F1161" s="2">
        <v>2580.27</v>
      </c>
    </row>
    <row r="1162" spans="3:6" x14ac:dyDescent="0.25">
      <c r="C1162" s="2" t="s">
        <v>8437</v>
      </c>
      <c r="D1162" s="2" t="s">
        <v>178</v>
      </c>
      <c r="E1162" s="2">
        <v>141</v>
      </c>
      <c r="F1162" s="2">
        <v>2798.88</v>
      </c>
    </row>
    <row r="1163" spans="3:6" x14ac:dyDescent="0.25">
      <c r="C1163" s="2" t="s">
        <v>8438</v>
      </c>
      <c r="D1163" s="2" t="s">
        <v>178</v>
      </c>
      <c r="E1163" s="2">
        <v>102</v>
      </c>
      <c r="F1163" s="2">
        <v>1881.807</v>
      </c>
    </row>
    <row r="1164" spans="3:6" x14ac:dyDescent="0.25">
      <c r="C1164" s="2" t="s">
        <v>8439</v>
      </c>
      <c r="D1164" s="2" t="s">
        <v>178</v>
      </c>
      <c r="E1164" s="2">
        <v>90</v>
      </c>
      <c r="F1164" s="2">
        <v>387.599</v>
      </c>
    </row>
    <row r="1165" spans="3:6" x14ac:dyDescent="0.25">
      <c r="C1165" s="2" t="s">
        <v>8440</v>
      </c>
      <c r="D1165" s="2" t="s">
        <v>178</v>
      </c>
      <c r="E1165" s="2">
        <v>102</v>
      </c>
      <c r="F1165" s="2">
        <v>1977.32</v>
      </c>
    </row>
    <row r="1166" spans="3:6" x14ac:dyDescent="0.25">
      <c r="C1166" s="2" t="s">
        <v>8441</v>
      </c>
      <c r="D1166" s="2" t="s">
        <v>178</v>
      </c>
      <c r="E1166" s="2">
        <v>84</v>
      </c>
      <c r="F1166" s="2">
        <v>1698.77</v>
      </c>
    </row>
    <row r="1167" spans="3:6" x14ac:dyDescent="0.25">
      <c r="C1167" s="2" t="s">
        <v>8442</v>
      </c>
      <c r="D1167" s="2" t="s">
        <v>178</v>
      </c>
      <c r="E1167" s="2">
        <v>57</v>
      </c>
      <c r="F1167" s="2">
        <v>1120.23</v>
      </c>
    </row>
    <row r="1168" spans="3:6" x14ac:dyDescent="0.25">
      <c r="C1168" s="2" t="s">
        <v>8443</v>
      </c>
      <c r="D1168" s="2" t="s">
        <v>178</v>
      </c>
      <c r="E1168" s="2">
        <v>102</v>
      </c>
      <c r="F1168" s="2">
        <v>1991.168</v>
      </c>
    </row>
    <row r="1169" spans="3:6" x14ac:dyDescent="0.25">
      <c r="C1169" s="2" t="s">
        <v>8444</v>
      </c>
      <c r="D1169" s="2" t="s">
        <v>178</v>
      </c>
      <c r="E1169" s="2">
        <v>134</v>
      </c>
      <c r="F1169" s="2">
        <v>2540.759</v>
      </c>
    </row>
    <row r="1170" spans="3:6" x14ac:dyDescent="0.25">
      <c r="C1170" s="2" t="s">
        <v>8445</v>
      </c>
      <c r="D1170" s="2" t="s">
        <v>178</v>
      </c>
      <c r="E1170" s="2">
        <v>141</v>
      </c>
      <c r="F1170" s="2">
        <v>2874.43</v>
      </c>
    </row>
    <row r="1171" spans="3:6" x14ac:dyDescent="0.25">
      <c r="C1171" s="2" t="s">
        <v>8446</v>
      </c>
      <c r="D1171" s="2" t="s">
        <v>178</v>
      </c>
      <c r="E1171" s="2">
        <v>102</v>
      </c>
      <c r="F1171" s="2">
        <v>2225.03</v>
      </c>
    </row>
    <row r="1172" spans="3:6" x14ac:dyDescent="0.25">
      <c r="C1172" s="2" t="s">
        <v>8447</v>
      </c>
      <c r="D1172" s="2" t="s">
        <v>178</v>
      </c>
      <c r="E1172" s="2">
        <v>102</v>
      </c>
      <c r="F1172" s="2">
        <v>2147.77</v>
      </c>
    </row>
    <row r="1173" spans="3:6" x14ac:dyDescent="0.25">
      <c r="C1173" s="2" t="s">
        <v>8448</v>
      </c>
      <c r="D1173" s="2" t="s">
        <v>178</v>
      </c>
      <c r="E1173" s="2">
        <v>141</v>
      </c>
      <c r="F1173" s="2">
        <v>2820.92</v>
      </c>
    </row>
    <row r="1174" spans="3:6" x14ac:dyDescent="0.25">
      <c r="C1174" s="2" t="s">
        <v>8449</v>
      </c>
      <c r="D1174" s="2" t="s">
        <v>178</v>
      </c>
      <c r="E1174" s="2">
        <v>141</v>
      </c>
      <c r="F1174" s="2">
        <v>2609.769</v>
      </c>
    </row>
    <row r="1175" spans="3:6" x14ac:dyDescent="0.25">
      <c r="C1175" s="2" t="s">
        <v>8450</v>
      </c>
      <c r="D1175" s="2" t="s">
        <v>178</v>
      </c>
      <c r="E1175" s="2">
        <v>41</v>
      </c>
      <c r="F1175" s="2">
        <v>756.63</v>
      </c>
    </row>
    <row r="1176" spans="3:6" x14ac:dyDescent="0.25">
      <c r="C1176" s="2" t="s">
        <v>8451</v>
      </c>
      <c r="D1176" s="2" t="s">
        <v>178</v>
      </c>
      <c r="E1176" s="2">
        <v>100</v>
      </c>
      <c r="F1176" s="2">
        <v>2094.689</v>
      </c>
    </row>
    <row r="1177" spans="3:6" x14ac:dyDescent="0.25">
      <c r="C1177" s="2" t="s">
        <v>8452</v>
      </c>
      <c r="D1177" s="2" t="s">
        <v>178</v>
      </c>
      <c r="E1177" s="2">
        <v>141</v>
      </c>
      <c r="F1177" s="2">
        <v>2861.17</v>
      </c>
    </row>
    <row r="1178" spans="3:6" x14ac:dyDescent="0.25">
      <c r="C1178" s="2" t="s">
        <v>8453</v>
      </c>
      <c r="D1178" s="2" t="s">
        <v>178</v>
      </c>
      <c r="E1178" s="2">
        <v>141</v>
      </c>
      <c r="F1178" s="2">
        <v>2830.35</v>
      </c>
    </row>
    <row r="1179" spans="3:6" x14ac:dyDescent="0.25">
      <c r="C1179" s="2" t="s">
        <v>8454</v>
      </c>
      <c r="D1179" s="2" t="s">
        <v>178</v>
      </c>
      <c r="E1179" s="2">
        <v>141</v>
      </c>
      <c r="F1179" s="2">
        <v>2995.84</v>
      </c>
    </row>
    <row r="1180" spans="3:6" x14ac:dyDescent="0.25">
      <c r="C1180" s="2" t="s">
        <v>8455</v>
      </c>
      <c r="D1180" s="2" t="s">
        <v>178</v>
      </c>
      <c r="E1180" s="2">
        <v>141</v>
      </c>
      <c r="F1180" s="2">
        <v>2565.009</v>
      </c>
    </row>
    <row r="1181" spans="3:6" x14ac:dyDescent="0.25">
      <c r="C1181" s="2" t="s">
        <v>8456</v>
      </c>
      <c r="D1181" s="2" t="s">
        <v>178</v>
      </c>
      <c r="E1181" s="2">
        <v>65</v>
      </c>
      <c r="F1181" s="2">
        <v>1150.53</v>
      </c>
    </row>
    <row r="1182" spans="3:6" x14ac:dyDescent="0.25">
      <c r="C1182" s="2" t="s">
        <v>8457</v>
      </c>
      <c r="D1182" s="2" t="s">
        <v>178</v>
      </c>
      <c r="E1182" s="2">
        <v>76</v>
      </c>
      <c r="F1182" s="2">
        <v>1541.68</v>
      </c>
    </row>
    <row r="1183" spans="3:6" x14ac:dyDescent="0.25">
      <c r="C1183" s="2" t="s">
        <v>8458</v>
      </c>
      <c r="D1183" s="2" t="s">
        <v>178</v>
      </c>
      <c r="E1183" s="2">
        <v>141</v>
      </c>
      <c r="F1183" s="2">
        <v>2850.65</v>
      </c>
    </row>
    <row r="1184" spans="3:6" x14ac:dyDescent="0.25">
      <c r="C1184" s="2" t="s">
        <v>8459</v>
      </c>
      <c r="D1184" s="2" t="s">
        <v>178</v>
      </c>
      <c r="E1184" s="2">
        <v>75</v>
      </c>
      <c r="F1184" s="2">
        <v>1521.48</v>
      </c>
    </row>
    <row r="1185" spans="3:6" x14ac:dyDescent="0.25">
      <c r="C1185" s="2" t="s">
        <v>8460</v>
      </c>
      <c r="D1185" s="2" t="s">
        <v>178</v>
      </c>
      <c r="E1185" s="2">
        <v>141</v>
      </c>
      <c r="F1185" s="2">
        <v>2862.95</v>
      </c>
    </row>
    <row r="1186" spans="3:6" x14ac:dyDescent="0.25">
      <c r="C1186" s="2" t="s">
        <v>8461</v>
      </c>
      <c r="D1186" s="2" t="s">
        <v>178</v>
      </c>
      <c r="E1186" s="2">
        <v>49</v>
      </c>
      <c r="F1186" s="2">
        <v>967.83</v>
      </c>
    </row>
    <row r="1187" spans="3:6" x14ac:dyDescent="0.25">
      <c r="C1187" s="2" t="s">
        <v>8462</v>
      </c>
      <c r="D1187" s="2" t="s">
        <v>178</v>
      </c>
      <c r="E1187" s="2">
        <v>70</v>
      </c>
      <c r="F1187" s="2">
        <v>1407.72</v>
      </c>
    </row>
    <row r="1188" spans="3:6" x14ac:dyDescent="0.25">
      <c r="C1188" s="2" t="s">
        <v>8463</v>
      </c>
      <c r="D1188" s="2" t="s">
        <v>178</v>
      </c>
      <c r="E1188" s="2">
        <v>22</v>
      </c>
      <c r="F1188" s="2">
        <v>459.11</v>
      </c>
    </row>
    <row r="1190" spans="1:7" x14ac:dyDescent="0.25">
      <c r="A1190" s="1">
        <v>46153</v>
      </c>
      <c r="B1190" s="2" t="s">
        <v>229</v>
      </c>
      <c r="C1190" s="2" t="s">
        <v>8464</v>
      </c>
      <c r="D1190" s="2" t="s">
        <v>82</v>
      </c>
      <c r="E1190" s="2">
        <v>123</v>
      </c>
      <c r="F1190" s="2">
        <v>2599.32</v>
      </c>
      <c r="G1190" s="1">
        <v>46152</v>
      </c>
    </row>
    <row r="1191" spans="3:6" x14ac:dyDescent="0.25">
      <c r="C1191" s="2" t="s">
        <v>8465</v>
      </c>
      <c r="D1191" s="2" t="s">
        <v>82</v>
      </c>
      <c r="E1191" s="2">
        <v>123</v>
      </c>
      <c r="F1191" s="2">
        <v>2578.44</v>
      </c>
    </row>
    <row r="1192" spans="3:6" x14ac:dyDescent="0.25">
      <c r="C1192" s="2" t="s">
        <v>8466</v>
      </c>
      <c r="D1192" s="2" t="s">
        <v>82</v>
      </c>
      <c r="E1192" s="2">
        <v>134</v>
      </c>
      <c r="F1192" s="2">
        <v>2790.53</v>
      </c>
    </row>
    <row r="1193" spans="3:6" x14ac:dyDescent="0.25">
      <c r="C1193" s="2" t="s">
        <v>8467</v>
      </c>
      <c r="D1193" s="2" t="s">
        <v>82</v>
      </c>
      <c r="E1193" s="2">
        <v>102</v>
      </c>
      <c r="F1193" s="2">
        <v>2103.73</v>
      </c>
    </row>
    <row r="1194" spans="3:6" x14ac:dyDescent="0.25">
      <c r="C1194" s="2" t="s">
        <v>8468</v>
      </c>
      <c r="D1194" s="2" t="s">
        <v>82</v>
      </c>
      <c r="E1194" s="2">
        <v>11</v>
      </c>
      <c r="F1194" s="2">
        <v>118.72</v>
      </c>
    </row>
    <row r="1195" spans="3:6" x14ac:dyDescent="0.25">
      <c r="C1195" s="2" t="s">
        <v>8469</v>
      </c>
      <c r="D1195" s="2" t="s">
        <v>82</v>
      </c>
      <c r="E1195" s="2">
        <v>9</v>
      </c>
      <c r="F1195" s="2">
        <v>194.4</v>
      </c>
    </row>
    <row r="1196" spans="3:6" x14ac:dyDescent="0.25">
      <c r="C1196" s="2" t="s">
        <v>8470</v>
      </c>
      <c r="D1196" s="2" t="s">
        <v>82</v>
      </c>
      <c r="E1196" s="2">
        <v>25</v>
      </c>
      <c r="F1196" s="2">
        <v>155.7</v>
      </c>
    </row>
    <row r="1197" spans="3:6" x14ac:dyDescent="0.25">
      <c r="C1197" s="2" t="s">
        <v>8471</v>
      </c>
      <c r="D1197" s="2" t="s">
        <v>82</v>
      </c>
      <c r="E1197" s="2">
        <v>26</v>
      </c>
      <c r="F1197" s="2">
        <f>72.5+447.1</f>
        <v>519.6</v>
      </c>
    </row>
    <row r="1198" spans="3:6" x14ac:dyDescent="0.25">
      <c r="C1198" s="2" t="s">
        <v>8472</v>
      </c>
      <c r="D1198" s="2" t="s">
        <v>82</v>
      </c>
      <c r="E1198" s="2">
        <v>9</v>
      </c>
      <c r="F1198" s="2">
        <f>51.8+119.24</f>
        <v>171.04</v>
      </c>
    </row>
    <row r="1199" spans="3:6" x14ac:dyDescent="0.25">
      <c r="C1199" s="2" t="s">
        <v>8473</v>
      </c>
      <c r="D1199" s="2" t="s">
        <v>82</v>
      </c>
      <c r="E1199" s="2">
        <v>12</v>
      </c>
      <c r="F1199" s="2">
        <f>164.95+15.45</f>
        <v>180.39999999999998</v>
      </c>
    </row>
    <row r="1200" spans="3:6" x14ac:dyDescent="0.25">
      <c r="C1200" s="2" t="s">
        <v>8474</v>
      </c>
      <c r="D1200" s="2" t="s">
        <v>82</v>
      </c>
      <c r="E1200" s="2">
        <v>12</v>
      </c>
      <c r="F1200" s="2">
        <v>149.469</v>
      </c>
    </row>
    <row r="1201" spans="3:6" x14ac:dyDescent="0.25">
      <c r="C1201" s="2" t="s">
        <v>8475</v>
      </c>
      <c r="D1201" s="2" t="s">
        <v>82</v>
      </c>
      <c r="E1201" s="2">
        <v>102</v>
      </c>
      <c r="F1201" s="2">
        <v>2095.84</v>
      </c>
    </row>
    <row r="1202" spans="3:6" x14ac:dyDescent="0.25">
      <c r="C1202" s="2" t="s">
        <v>8476</v>
      </c>
      <c r="D1202" s="2" t="s">
        <v>82</v>
      </c>
      <c r="E1202" s="2">
        <v>102</v>
      </c>
      <c r="F1202" s="2">
        <v>2134.22</v>
      </c>
    </row>
    <row r="1203" spans="3:6" x14ac:dyDescent="0.25">
      <c r="C1203" s="2" t="s">
        <v>8477</v>
      </c>
      <c r="D1203" s="2" t="s">
        <v>82</v>
      </c>
      <c r="E1203" s="2">
        <v>75</v>
      </c>
      <c r="F1203" s="2">
        <v>1491.249</v>
      </c>
    </row>
    <row r="1204" spans="3:6" x14ac:dyDescent="0.25">
      <c r="C1204" s="2" t="s">
        <v>8478</v>
      </c>
      <c r="D1204" s="2" t="s">
        <v>82</v>
      </c>
      <c r="E1204" s="2">
        <v>2</v>
      </c>
      <c r="F1204" s="2">
        <v>41.85</v>
      </c>
    </row>
    <row r="1205" spans="3:6" x14ac:dyDescent="0.25">
      <c r="C1205" s="2" t="s">
        <v>8479</v>
      </c>
      <c r="D1205" s="2" t="s">
        <v>82</v>
      </c>
      <c r="E1205" s="2" t="s">
        <v>4167</v>
      </c>
      <c r="F1205" s="2" t="s">
        <v>4167</v>
      </c>
    </row>
    <row r="1206" spans="3:6" x14ac:dyDescent="0.25">
      <c r="C1206" s="2" t="s">
        <v>8480</v>
      </c>
      <c r="D1206" s="2" t="s">
        <v>82</v>
      </c>
      <c r="E1206" s="2">
        <v>115</v>
      </c>
      <c r="F1206" s="2">
        <v>2346.54</v>
      </c>
    </row>
    <row r="1207" spans="3:6" x14ac:dyDescent="0.25">
      <c r="C1207" s="2" t="s">
        <v>8481</v>
      </c>
      <c r="D1207" s="2" t="s">
        <v>82</v>
      </c>
      <c r="E1207" s="2">
        <v>121</v>
      </c>
      <c r="F1207" s="2">
        <v>2498.3</v>
      </c>
    </row>
    <row r="1208" spans="3:6" x14ac:dyDescent="0.25">
      <c r="C1208" s="2" t="s">
        <v>8482</v>
      </c>
      <c r="D1208" s="2" t="s">
        <v>82</v>
      </c>
      <c r="E1208" s="2">
        <v>141</v>
      </c>
      <c r="F1208" s="2">
        <v>2969.65</v>
      </c>
    </row>
    <row r="1209" spans="3:6" x14ac:dyDescent="0.25">
      <c r="C1209" s="2" t="s">
        <v>8483</v>
      </c>
      <c r="D1209" s="2" t="s">
        <v>82</v>
      </c>
      <c r="E1209" s="2">
        <v>69</v>
      </c>
      <c r="F1209" s="2">
        <v>295.019</v>
      </c>
    </row>
    <row r="1210" spans="3:6" x14ac:dyDescent="0.25">
      <c r="C1210" s="2" t="s">
        <v>8484</v>
      </c>
      <c r="D1210" s="2" t="s">
        <v>82</v>
      </c>
      <c r="E1210" s="2">
        <v>79</v>
      </c>
      <c r="F1210" s="2">
        <v>1638.569</v>
      </c>
    </row>
    <row r="1211" spans="3:6" x14ac:dyDescent="0.25">
      <c r="C1211" s="2" t="s">
        <v>8485</v>
      </c>
      <c r="D1211" s="2" t="s">
        <v>82</v>
      </c>
      <c r="E1211" s="2">
        <v>62</v>
      </c>
      <c r="F1211" s="2">
        <v>1259.87</v>
      </c>
    </row>
    <row r="1212" spans="3:6" x14ac:dyDescent="0.25">
      <c r="C1212" s="2" t="s">
        <v>8486</v>
      </c>
      <c r="D1212" s="2" t="s">
        <v>82</v>
      </c>
      <c r="E1212" s="2">
        <v>141</v>
      </c>
      <c r="F1212" s="2">
        <v>2882.24</v>
      </c>
    </row>
    <row r="1213" spans="3:6" x14ac:dyDescent="0.25">
      <c r="C1213" s="2" t="s">
        <v>8487</v>
      </c>
      <c r="D1213" s="2" t="s">
        <v>82</v>
      </c>
      <c r="E1213" s="2">
        <v>141</v>
      </c>
      <c r="F1213" s="2">
        <v>2969.72</v>
      </c>
    </row>
    <row r="1214" spans="3:6" x14ac:dyDescent="0.25">
      <c r="C1214" s="2" t="s">
        <v>8488</v>
      </c>
      <c r="D1214" s="2" t="s">
        <v>82</v>
      </c>
      <c r="E1214" s="2">
        <v>83</v>
      </c>
      <c r="F1214" s="2">
        <v>2253.07</v>
      </c>
    </row>
    <row r="1215" spans="3:6" x14ac:dyDescent="0.25">
      <c r="C1215" s="2" t="s">
        <v>8489</v>
      </c>
      <c r="D1215" s="2" t="s">
        <v>82</v>
      </c>
      <c r="E1215" s="2">
        <v>83</v>
      </c>
      <c r="F1215" s="2">
        <v>2410.555</v>
      </c>
    </row>
    <row r="1216" spans="3:6" x14ac:dyDescent="0.25">
      <c r="C1216" s="2" t="s">
        <v>8490</v>
      </c>
      <c r="D1216" s="2" t="s">
        <v>82</v>
      </c>
      <c r="E1216" s="2">
        <v>143</v>
      </c>
      <c r="F1216" s="2">
        <v>2960.11</v>
      </c>
    </row>
    <row r="1217" spans="3:6" x14ac:dyDescent="0.25">
      <c r="C1217" s="2" t="s">
        <v>8491</v>
      </c>
      <c r="D1217" s="2" t="s">
        <v>82</v>
      </c>
      <c r="E1217" s="2">
        <v>143</v>
      </c>
      <c r="F1217" s="2">
        <v>2920.359</v>
      </c>
    </row>
    <row r="1218" spans="3:6" x14ac:dyDescent="0.25">
      <c r="C1218" s="2" t="s">
        <v>8492</v>
      </c>
      <c r="D1218" s="2" t="s">
        <v>82</v>
      </c>
      <c r="E1218" s="2">
        <v>143</v>
      </c>
      <c r="F1218" s="2">
        <v>2939.309</v>
      </c>
    </row>
    <row r="1219" spans="3:6" x14ac:dyDescent="0.25">
      <c r="C1219" s="2" t="s">
        <v>8493</v>
      </c>
      <c r="D1219" s="2" t="s">
        <v>82</v>
      </c>
      <c r="E1219" s="2">
        <v>143</v>
      </c>
      <c r="F1219" s="2">
        <v>2868.47</v>
      </c>
    </row>
    <row r="1220" spans="3:6" x14ac:dyDescent="0.25">
      <c r="C1220" s="2" t="s">
        <v>8494</v>
      </c>
      <c r="D1220" s="2" t="s">
        <v>82</v>
      </c>
      <c r="E1220" s="2">
        <v>143</v>
      </c>
      <c r="F1220" s="2">
        <v>2898.61</v>
      </c>
    </row>
    <row r="1221" spans="3:6" x14ac:dyDescent="0.25">
      <c r="C1221" s="2" t="s">
        <v>8495</v>
      </c>
      <c r="D1221" s="2" t="s">
        <v>82</v>
      </c>
      <c r="E1221" s="2">
        <v>143</v>
      </c>
      <c r="F1221" s="2">
        <v>2899.35</v>
      </c>
    </row>
    <row r="1222" spans="3:6" x14ac:dyDescent="0.25">
      <c r="C1222" s="2" t="s">
        <v>8496</v>
      </c>
      <c r="D1222" s="2" t="s">
        <v>82</v>
      </c>
      <c r="E1222" s="2">
        <v>102</v>
      </c>
      <c r="F1222" s="2">
        <v>2159.33</v>
      </c>
    </row>
    <row r="1224" spans="1:7" x14ac:dyDescent="0.25">
      <c r="A1224" s="1">
        <v>46153</v>
      </c>
      <c r="B1224" s="2" t="s">
        <v>290</v>
      </c>
      <c r="C1224" s="2" t="s">
        <v>8497</v>
      </c>
      <c r="D1224" s="2" t="s">
        <v>292</v>
      </c>
      <c r="E1224" s="2">
        <v>99</v>
      </c>
      <c r="F1224" s="2">
        <v>1749.024</v>
      </c>
      <c r="G1224" s="1">
        <v>46154</v>
      </c>
    </row>
    <row r="1225" spans="3:6" x14ac:dyDescent="0.25">
      <c r="C1225" s="2" t="s">
        <v>8498</v>
      </c>
      <c r="D1225" s="2" t="s">
        <v>292</v>
      </c>
      <c r="E1225" s="2">
        <v>41</v>
      </c>
      <c r="F1225" s="2">
        <v>849.81</v>
      </c>
    </row>
    <row r="1226" spans="3:6" x14ac:dyDescent="0.25">
      <c r="C1226" s="2" t="s">
        <v>8499</v>
      </c>
      <c r="D1226" s="2" t="s">
        <v>292</v>
      </c>
      <c r="E1226" s="2">
        <v>107</v>
      </c>
      <c r="F1226" s="2">
        <v>1817.5</v>
      </c>
    </row>
    <row r="1227" spans="3:6" x14ac:dyDescent="0.25">
      <c r="C1227" s="2" t="s">
        <v>8500</v>
      </c>
      <c r="D1227" s="2" t="s">
        <v>292</v>
      </c>
      <c r="E1227" s="2">
        <v>123</v>
      </c>
      <c r="F1227" s="2">
        <v>2494.56</v>
      </c>
    </row>
    <row r="1228" spans="3:6" x14ac:dyDescent="0.25">
      <c r="C1228" s="2" t="s">
        <v>8501</v>
      </c>
      <c r="D1228" s="2" t="s">
        <v>292</v>
      </c>
      <c r="E1228" s="2">
        <v>125</v>
      </c>
      <c r="F1228" s="2">
        <v>2438.46</v>
      </c>
    </row>
    <row r="1229" spans="3:6" x14ac:dyDescent="0.25">
      <c r="C1229" s="2" t="s">
        <v>8502</v>
      </c>
      <c r="D1229" s="2" t="s">
        <v>292</v>
      </c>
      <c r="E1229" s="2">
        <v>141</v>
      </c>
      <c r="F1229" s="2">
        <v>2861.52</v>
      </c>
    </row>
    <row r="1230" spans="3:6" x14ac:dyDescent="0.25">
      <c r="C1230" s="2" t="s">
        <v>8503</v>
      </c>
      <c r="D1230" s="2" t="s">
        <v>292</v>
      </c>
      <c r="E1230" s="2">
        <v>109</v>
      </c>
      <c r="F1230" s="2">
        <v>2264.979</v>
      </c>
    </row>
    <row r="1231" spans="3:6" x14ac:dyDescent="0.25">
      <c r="C1231" s="2" t="s">
        <v>8504</v>
      </c>
      <c r="D1231" s="2" t="s">
        <v>292</v>
      </c>
      <c r="E1231" s="2">
        <v>127</v>
      </c>
      <c r="F1231" s="2">
        <v>1790.441</v>
      </c>
    </row>
    <row r="1232" spans="3:6" x14ac:dyDescent="0.25">
      <c r="C1232" s="2" t="s">
        <v>8505</v>
      </c>
      <c r="D1232" s="2" t="s">
        <v>292</v>
      </c>
      <c r="E1232" s="2">
        <v>123</v>
      </c>
      <c r="F1232" s="2">
        <v>2533.47</v>
      </c>
    </row>
    <row r="1233" spans="3:6" x14ac:dyDescent="0.25">
      <c r="C1233" s="2" t="s">
        <v>8506</v>
      </c>
      <c r="D1233" s="2" t="s">
        <v>292</v>
      </c>
      <c r="E1233" s="2">
        <v>112</v>
      </c>
      <c r="F1233" s="2">
        <v>2274.23</v>
      </c>
    </row>
    <row r="1234" spans="3:6" x14ac:dyDescent="0.25">
      <c r="C1234" s="2" t="s">
        <v>8507</v>
      </c>
      <c r="D1234" s="2" t="s">
        <v>292</v>
      </c>
      <c r="E1234" s="2">
        <v>141</v>
      </c>
      <c r="F1234" s="2">
        <v>2961.85</v>
      </c>
    </row>
    <row r="1235" spans="3:6" x14ac:dyDescent="0.25">
      <c r="C1235" s="2" t="s">
        <v>8508</v>
      </c>
      <c r="D1235" s="2" t="s">
        <v>292</v>
      </c>
      <c r="E1235" s="2">
        <v>141</v>
      </c>
      <c r="F1235" s="2">
        <v>2882.209</v>
      </c>
    </row>
    <row r="1236" spans="3:6" x14ac:dyDescent="0.25">
      <c r="C1236" s="2" t="s">
        <v>8509</v>
      </c>
      <c r="D1236" s="2" t="s">
        <v>292</v>
      </c>
      <c r="E1236" s="2">
        <v>133</v>
      </c>
      <c r="F1236" s="2">
        <v>1383.191</v>
      </c>
    </row>
    <row r="1237" spans="3:6" x14ac:dyDescent="0.25">
      <c r="C1237" s="2" t="s">
        <v>8510</v>
      </c>
      <c r="D1237" s="2" t="s">
        <v>292</v>
      </c>
      <c r="E1237" s="2">
        <v>141</v>
      </c>
      <c r="F1237" s="2">
        <v>2875.63</v>
      </c>
    </row>
    <row r="1238" spans="3:6" x14ac:dyDescent="0.25">
      <c r="C1238" s="2" t="s">
        <v>8511</v>
      </c>
      <c r="D1238" s="2" t="s">
        <v>292</v>
      </c>
      <c r="E1238" s="2">
        <v>133</v>
      </c>
      <c r="F1238" s="2">
        <v>2709.165</v>
      </c>
    </row>
    <row r="1239" spans="3:6" x14ac:dyDescent="0.25">
      <c r="C1239" s="2" t="s">
        <v>8512</v>
      </c>
      <c r="D1239" s="2" t="s">
        <v>292</v>
      </c>
      <c r="E1239" s="2">
        <v>141</v>
      </c>
      <c r="F1239" s="2">
        <v>2880.356</v>
      </c>
    </row>
    <row r="1240" spans="3:6" x14ac:dyDescent="0.25">
      <c r="C1240" s="2" t="s">
        <v>8513</v>
      </c>
      <c r="D1240" s="2" t="s">
        <v>292</v>
      </c>
      <c r="E1240" s="2">
        <v>124</v>
      </c>
      <c r="F1240" s="2">
        <v>2424.403</v>
      </c>
    </row>
    <row r="1241" spans="3:6" x14ac:dyDescent="0.25">
      <c r="C1241" s="2" t="s">
        <v>8514</v>
      </c>
      <c r="D1241" s="2" t="s">
        <v>292</v>
      </c>
      <c r="E1241" s="2">
        <v>141</v>
      </c>
      <c r="F1241" s="2">
        <v>3054.39</v>
      </c>
    </row>
    <row r="1242" spans="3:6" x14ac:dyDescent="0.25">
      <c r="C1242" s="2" t="s">
        <v>8515</v>
      </c>
      <c r="D1242" s="2" t="s">
        <v>292</v>
      </c>
      <c r="E1242" s="2">
        <v>55</v>
      </c>
      <c r="F1242" s="2">
        <v>1028.799</v>
      </c>
    </row>
    <row r="1243" spans="3:6" x14ac:dyDescent="0.25">
      <c r="C1243" s="2" t="s">
        <v>8516</v>
      </c>
      <c r="D1243" s="2" t="s">
        <v>292</v>
      </c>
      <c r="E1243" s="2">
        <v>64</v>
      </c>
      <c r="F1243" s="2">
        <v>1284.5</v>
      </c>
    </row>
    <row r="1244" spans="3:6" x14ac:dyDescent="0.25">
      <c r="C1244" s="2" t="s">
        <v>8517</v>
      </c>
      <c r="D1244" s="2" t="s">
        <v>292</v>
      </c>
      <c r="E1244" s="2">
        <v>100</v>
      </c>
      <c r="F1244" s="2">
        <v>2124.47</v>
      </c>
    </row>
    <row r="1245" spans="3:6" x14ac:dyDescent="0.25">
      <c r="C1245" s="2" t="s">
        <v>8518</v>
      </c>
      <c r="D1245" s="2" t="s">
        <v>292</v>
      </c>
      <c r="E1245" s="2">
        <v>68</v>
      </c>
      <c r="F1245" s="2">
        <v>1239.869</v>
      </c>
    </row>
    <row r="1246" spans="3:6" x14ac:dyDescent="0.25">
      <c r="C1246" s="2" t="s">
        <v>8519</v>
      </c>
      <c r="D1246" s="2" t="s">
        <v>292</v>
      </c>
      <c r="E1246" s="2">
        <v>65</v>
      </c>
      <c r="F1246" s="2">
        <v>1309.71</v>
      </c>
    </row>
    <row r="1247" spans="3:6" x14ac:dyDescent="0.25">
      <c r="C1247" s="2" t="s">
        <v>8520</v>
      </c>
      <c r="D1247" s="2" t="s">
        <v>292</v>
      </c>
      <c r="E1247" s="2">
        <v>100</v>
      </c>
      <c r="F1247" s="2">
        <v>2054.21</v>
      </c>
    </row>
    <row r="1248" spans="3:6" x14ac:dyDescent="0.25">
      <c r="C1248" s="2" t="s">
        <v>8521</v>
      </c>
      <c r="D1248" s="2" t="s">
        <v>292</v>
      </c>
      <c r="E1248" s="2">
        <v>64</v>
      </c>
      <c r="F1248" s="2">
        <v>1215.646</v>
      </c>
    </row>
    <row r="1249" spans="3:6" x14ac:dyDescent="0.25">
      <c r="C1249" s="2" t="s">
        <v>8522</v>
      </c>
      <c r="D1249" s="2" t="s">
        <v>292</v>
      </c>
      <c r="E1249" s="2">
        <v>32</v>
      </c>
      <c r="F1249" s="2">
        <v>680.129</v>
      </c>
    </row>
    <row r="1250" spans="3:6" x14ac:dyDescent="0.25">
      <c r="C1250" s="2" t="s">
        <v>8523</v>
      </c>
      <c r="D1250" s="2" t="s">
        <v>292</v>
      </c>
      <c r="E1250" s="2">
        <v>65</v>
      </c>
      <c r="F1250" s="2">
        <v>1338.69</v>
      </c>
    </row>
    <row r="1251" spans="3:6" x14ac:dyDescent="0.25">
      <c r="C1251" s="2" t="s">
        <v>8524</v>
      </c>
      <c r="D1251" s="2" t="s">
        <v>292</v>
      </c>
      <c r="E1251" s="2">
        <v>10</v>
      </c>
      <c r="F1251" s="2">
        <v>194.78</v>
      </c>
    </row>
    <row r="1252" spans="3:6" x14ac:dyDescent="0.25">
      <c r="C1252" s="2" t="s">
        <v>8525</v>
      </c>
      <c r="D1252" s="2" t="s">
        <v>292</v>
      </c>
      <c r="E1252" s="2">
        <v>17</v>
      </c>
      <c r="F1252" s="2">
        <v>352.15</v>
      </c>
    </row>
    <row r="1253" spans="3:6" x14ac:dyDescent="0.25">
      <c r="C1253" s="2" t="s">
        <v>8526</v>
      </c>
      <c r="D1253" s="2" t="s">
        <v>292</v>
      </c>
      <c r="E1253" s="2">
        <v>75</v>
      </c>
      <c r="F1253" s="2">
        <v>386.49</v>
      </c>
    </row>
    <row r="1254" spans="3:6" x14ac:dyDescent="0.25">
      <c r="C1254" s="2" t="s">
        <v>8527</v>
      </c>
      <c r="D1254" s="2" t="s">
        <v>292</v>
      </c>
      <c r="E1254" s="2">
        <v>75</v>
      </c>
      <c r="F1254" s="2">
        <v>385.2</v>
      </c>
    </row>
    <row r="1255" spans="3:6" x14ac:dyDescent="0.25">
      <c r="C1255" s="2" t="s">
        <v>8528</v>
      </c>
      <c r="D1255" s="2" t="s">
        <v>292</v>
      </c>
      <c r="E1255" s="2">
        <v>20</v>
      </c>
      <c r="F1255" s="2">
        <v>98.93</v>
      </c>
    </row>
    <row r="1256" spans="3:6" x14ac:dyDescent="0.25">
      <c r="C1256" s="2" t="s">
        <v>8529</v>
      </c>
      <c r="D1256" s="2" t="s">
        <v>292</v>
      </c>
      <c r="E1256" s="2">
        <v>36</v>
      </c>
      <c r="F1256" s="2">
        <v>776.85</v>
      </c>
    </row>
    <row r="1257" spans="3:6" x14ac:dyDescent="0.25">
      <c r="C1257" s="2" t="s">
        <v>8530</v>
      </c>
      <c r="D1257" s="2" t="s">
        <v>292</v>
      </c>
      <c r="E1257" s="2">
        <v>83</v>
      </c>
      <c r="F1257" s="2">
        <v>1655.626</v>
      </c>
    </row>
    <row r="1258" spans="3:6" x14ac:dyDescent="0.25">
      <c r="C1258" s="2" t="s">
        <v>8531</v>
      </c>
      <c r="D1258" s="2" t="s">
        <v>292</v>
      </c>
      <c r="E1258" s="2">
        <v>35</v>
      </c>
      <c r="F1258" s="2">
        <v>696.2</v>
      </c>
    </row>
    <row r="1259" spans="3:6" x14ac:dyDescent="0.25">
      <c r="C1259" s="2" t="s">
        <v>8532</v>
      </c>
      <c r="D1259" s="2" t="s">
        <v>292</v>
      </c>
      <c r="E1259" s="2">
        <v>8</v>
      </c>
      <c r="F1259" s="2">
        <v>147.65</v>
      </c>
    </row>
    <row r="1260" spans="3:6" x14ac:dyDescent="0.25">
      <c r="C1260" s="2" t="s">
        <v>8533</v>
      </c>
      <c r="D1260" s="2" t="s">
        <v>292</v>
      </c>
      <c r="E1260" s="2">
        <v>11</v>
      </c>
      <c r="F1260" s="2">
        <v>229.04</v>
      </c>
    </row>
    <row r="1261" spans="3:6" x14ac:dyDescent="0.25">
      <c r="C1261" s="2" t="s">
        <v>8534</v>
      </c>
      <c r="D1261" s="2" t="s">
        <v>292</v>
      </c>
      <c r="E1261" s="2">
        <v>52</v>
      </c>
      <c r="F1261" s="2">
        <v>1155.263</v>
      </c>
    </row>
    <row r="1262" spans="3:6" x14ac:dyDescent="0.25">
      <c r="C1262" s="2" t="s">
        <v>8535</v>
      </c>
      <c r="D1262" s="2" t="s">
        <v>292</v>
      </c>
      <c r="E1262" s="2">
        <v>9</v>
      </c>
      <c r="F1262" s="2">
        <v>143.6</v>
      </c>
    </row>
    <row r="1263" spans="3:6" x14ac:dyDescent="0.25">
      <c r="C1263" s="2" t="s">
        <v>8536</v>
      </c>
      <c r="D1263" s="2" t="s">
        <v>292</v>
      </c>
      <c r="E1263" s="2">
        <v>13</v>
      </c>
      <c r="F1263" s="2">
        <v>177.15</v>
      </c>
    </row>
    <row r="1264" spans="3:6" x14ac:dyDescent="0.25">
      <c r="C1264" s="2" t="s">
        <v>8537</v>
      </c>
      <c r="D1264" s="2" t="s">
        <v>292</v>
      </c>
      <c r="E1264" s="2">
        <v>29</v>
      </c>
      <c r="F1264" s="2">
        <v>595</v>
      </c>
    </row>
    <row r="1265" spans="3:6" x14ac:dyDescent="0.25">
      <c r="C1265" s="2" t="s">
        <v>8538</v>
      </c>
      <c r="D1265" s="2" t="s">
        <v>292</v>
      </c>
      <c r="E1265" s="2">
        <v>17</v>
      </c>
      <c r="F1265" s="2">
        <v>396.98</v>
      </c>
    </row>
    <row r="1266" spans="3:6" x14ac:dyDescent="0.25">
      <c r="C1266" s="2" t="s">
        <v>8539</v>
      </c>
      <c r="D1266" s="2" t="s">
        <v>292</v>
      </c>
      <c r="E1266" s="2">
        <v>32</v>
      </c>
      <c r="F1266" s="2">
        <v>710.19</v>
      </c>
    </row>
    <row r="1267" spans="3:6" x14ac:dyDescent="0.25">
      <c r="C1267" s="2" t="s">
        <v>8540</v>
      </c>
      <c r="D1267" s="2" t="s">
        <v>292</v>
      </c>
      <c r="E1267" s="2">
        <v>30</v>
      </c>
      <c r="F1267" s="2">
        <v>156.94</v>
      </c>
    </row>
    <row r="1268" spans="3:6" x14ac:dyDescent="0.25">
      <c r="C1268" s="2" t="s">
        <v>8541</v>
      </c>
      <c r="D1268" s="2" t="s">
        <v>292</v>
      </c>
      <c r="E1268" s="2">
        <v>16</v>
      </c>
      <c r="F1268" s="2">
        <v>316.3</v>
      </c>
    </row>
    <row r="1269" spans="3:6" x14ac:dyDescent="0.25">
      <c r="C1269" s="2" t="s">
        <v>8542</v>
      </c>
      <c r="D1269" s="2" t="s">
        <v>292</v>
      </c>
      <c r="E1269" s="2">
        <v>36</v>
      </c>
      <c r="F1269" s="2">
        <v>726.9</v>
      </c>
    </row>
    <row r="1270" spans="3:6" x14ac:dyDescent="0.25">
      <c r="C1270" s="2" t="s">
        <v>8543</v>
      </c>
      <c r="D1270" s="2" t="s">
        <v>292</v>
      </c>
      <c r="E1270" s="2">
        <v>68</v>
      </c>
      <c r="F1270" s="2">
        <v>1350.59</v>
      </c>
    </row>
    <row r="1272" spans="1:7" x14ac:dyDescent="0.25">
      <c r="A1272" s="1">
        <v>46153</v>
      </c>
      <c r="B1272" s="2" t="s">
        <v>7</v>
      </c>
      <c r="C1272" s="2" t="s">
        <v>8544</v>
      </c>
      <c r="D1272" s="2" t="s">
        <v>9</v>
      </c>
      <c r="E1272" s="2">
        <v>99</v>
      </c>
      <c r="F1272" s="2">
        <v>1356.656</v>
      </c>
      <c r="G1272" s="1">
        <v>46153</v>
      </c>
    </row>
    <row r="1273" spans="3:6" x14ac:dyDescent="0.25">
      <c r="C1273" s="2" t="s">
        <v>8545</v>
      </c>
      <c r="D1273" s="2" t="s">
        <v>9</v>
      </c>
      <c r="E1273" s="2">
        <v>71</v>
      </c>
      <c r="F1273" s="2">
        <v>1460.68</v>
      </c>
    </row>
    <row r="1275" spans="1:7" x14ac:dyDescent="0.25">
      <c r="A1275" s="1">
        <v>46153</v>
      </c>
      <c r="B1275" s="2" t="s">
        <v>128</v>
      </c>
      <c r="C1275" s="2" t="s">
        <v>8546</v>
      </c>
      <c r="D1275" s="2" t="s">
        <v>15</v>
      </c>
      <c r="E1275" s="2">
        <v>36</v>
      </c>
      <c r="F1275" s="2">
        <v>726.04</v>
      </c>
      <c r="G1275" s="1">
        <v>46153</v>
      </c>
    </row>
    <row r="1276" spans="3:6" x14ac:dyDescent="0.25">
      <c r="C1276" s="2" t="s">
        <v>8547</v>
      </c>
      <c r="D1276" s="2" t="s">
        <v>30</v>
      </c>
      <c r="E1276" s="2">
        <v>105</v>
      </c>
      <c r="F1276" s="2">
        <v>2161.199</v>
      </c>
    </row>
    <row r="1277" spans="3:6" x14ac:dyDescent="0.25">
      <c r="C1277" s="2" t="s">
        <v>8548</v>
      </c>
      <c r="D1277" s="2" t="s">
        <v>15</v>
      </c>
      <c r="E1277" s="2">
        <v>55</v>
      </c>
      <c r="F1277" s="2">
        <v>555.22</v>
      </c>
    </row>
    <row r="1278" spans="3:6" x14ac:dyDescent="0.25">
      <c r="C1278" s="2" t="s">
        <v>8549</v>
      </c>
      <c r="D1278" s="2" t="s">
        <v>15</v>
      </c>
      <c r="E1278" s="2">
        <v>105</v>
      </c>
      <c r="F1278" s="2">
        <v>2057.409</v>
      </c>
    </row>
    <row r="1279" spans="3:6" x14ac:dyDescent="0.25">
      <c r="C1279" s="2" t="s">
        <v>8550</v>
      </c>
      <c r="D1279" s="2" t="s">
        <v>30</v>
      </c>
      <c r="E1279" s="2">
        <v>52</v>
      </c>
      <c r="F1279" s="2">
        <v>931.689</v>
      </c>
    </row>
    <row r="1280" spans="3:6" x14ac:dyDescent="0.25">
      <c r="C1280" s="2" t="s">
        <v>8551</v>
      </c>
      <c r="D1280" s="2" t="s">
        <v>30</v>
      </c>
      <c r="E1280" s="2">
        <v>53</v>
      </c>
      <c r="F1280" s="2">
        <v>1131.378</v>
      </c>
    </row>
    <row r="1281" spans="3:6" x14ac:dyDescent="0.25">
      <c r="C1281" s="2" t="s">
        <v>8552</v>
      </c>
      <c r="D1281" s="2" t="s">
        <v>30</v>
      </c>
      <c r="E1281" s="2">
        <v>163</v>
      </c>
      <c r="F1281" s="2">
        <v>3257.809</v>
      </c>
    </row>
    <row r="1282" spans="3:6" x14ac:dyDescent="0.25">
      <c r="C1282" s="2" t="s">
        <v>8553</v>
      </c>
      <c r="D1282" s="2" t="s">
        <v>30</v>
      </c>
      <c r="E1282" s="2">
        <v>163</v>
      </c>
      <c r="F1282" s="2">
        <v>2954.17</v>
      </c>
    </row>
    <row r="1283" spans="3:6" x14ac:dyDescent="0.25">
      <c r="C1283" s="2" t="s">
        <v>8554</v>
      </c>
      <c r="D1283" s="2" t="s">
        <v>136</v>
      </c>
      <c r="E1283" s="2">
        <v>141</v>
      </c>
      <c r="F1283" s="2">
        <v>2904.849</v>
      </c>
    </row>
    <row r="1284" spans="3:6" x14ac:dyDescent="0.25">
      <c r="C1284" s="2" t="s">
        <v>8555</v>
      </c>
      <c r="D1284" s="2" t="s">
        <v>136</v>
      </c>
      <c r="E1284" s="2">
        <v>15</v>
      </c>
      <c r="F1284" s="2">
        <v>270.68</v>
      </c>
    </row>
    <row r="1285" spans="3:6" x14ac:dyDescent="0.25">
      <c r="C1285" s="2" t="s">
        <v>8556</v>
      </c>
      <c r="D1285" s="2" t="s">
        <v>36</v>
      </c>
      <c r="E1285" s="2">
        <v>80</v>
      </c>
      <c r="F1285" s="2">
        <v>1515.64</v>
      </c>
    </row>
    <row r="1286" spans="3:6" x14ac:dyDescent="0.25">
      <c r="C1286" s="2" t="s">
        <v>8557</v>
      </c>
      <c r="D1286" s="2" t="s">
        <v>36</v>
      </c>
      <c r="E1286" s="2">
        <v>68</v>
      </c>
      <c r="F1286" s="2">
        <v>1336.62</v>
      </c>
    </row>
    <row r="1287" spans="3:6" x14ac:dyDescent="0.25">
      <c r="C1287" s="2" t="s">
        <v>8558</v>
      </c>
      <c r="D1287" s="2" t="s">
        <v>42</v>
      </c>
      <c r="E1287" s="2">
        <v>100</v>
      </c>
      <c r="F1287" s="2">
        <v>1865.914</v>
      </c>
    </row>
    <row r="1288" spans="3:6" x14ac:dyDescent="0.25">
      <c r="C1288" s="2" t="s">
        <v>8559</v>
      </c>
      <c r="D1288" s="2" t="s">
        <v>42</v>
      </c>
      <c r="E1288" s="2">
        <v>36</v>
      </c>
      <c r="F1288" s="2">
        <v>693.77</v>
      </c>
    </row>
    <row r="1289" spans="3:6" x14ac:dyDescent="0.25">
      <c r="C1289" s="2" t="s">
        <v>8560</v>
      </c>
      <c r="D1289" s="2" t="s">
        <v>42</v>
      </c>
      <c r="E1289" s="2">
        <v>7</v>
      </c>
      <c r="F1289" s="2">
        <v>122.46</v>
      </c>
    </row>
    <row r="1290" spans="3:6" x14ac:dyDescent="0.25">
      <c r="C1290" s="2" t="s">
        <v>8561</v>
      </c>
      <c r="D1290" s="2" t="s">
        <v>42</v>
      </c>
      <c r="E1290" s="2">
        <v>13</v>
      </c>
      <c r="F1290" s="2">
        <v>217.27</v>
      </c>
    </row>
    <row r="1291" spans="3:6" x14ac:dyDescent="0.25">
      <c r="C1291" s="2" t="s">
        <v>8562</v>
      </c>
      <c r="D1291" s="2" t="s">
        <v>26</v>
      </c>
      <c r="E1291" s="2">
        <v>156</v>
      </c>
      <c r="F1291" s="2">
        <v>2993.948</v>
      </c>
    </row>
    <row r="1292" spans="3:6" x14ac:dyDescent="0.25">
      <c r="C1292" s="2" t="s">
        <v>8563</v>
      </c>
      <c r="D1292" s="2" t="s">
        <v>42</v>
      </c>
      <c r="E1292" s="2">
        <v>100</v>
      </c>
      <c r="F1292" s="2">
        <v>1840.56</v>
      </c>
    </row>
    <row r="1293" spans="3:6" x14ac:dyDescent="0.25">
      <c r="C1293" s="2" t="s">
        <v>8564</v>
      </c>
      <c r="D1293" s="2" t="s">
        <v>42</v>
      </c>
      <c r="E1293" s="2">
        <v>56</v>
      </c>
      <c r="F1293" s="2">
        <v>1046.541</v>
      </c>
    </row>
    <row r="1294" spans="3:6" x14ac:dyDescent="0.25">
      <c r="C1294" s="2" t="s">
        <v>8565</v>
      </c>
      <c r="D1294" s="2" t="s">
        <v>42</v>
      </c>
      <c r="E1294" s="2">
        <v>34</v>
      </c>
      <c r="F1294" s="2">
        <v>623.558</v>
      </c>
    </row>
    <row r="1295" spans="3:6" x14ac:dyDescent="0.25">
      <c r="C1295" s="2" t="s">
        <v>8566</v>
      </c>
      <c r="D1295" s="2" t="s">
        <v>42</v>
      </c>
      <c r="E1295" s="2">
        <v>75</v>
      </c>
      <c r="F1295" s="2">
        <v>1385.532</v>
      </c>
    </row>
    <row r="1296" spans="3:6" x14ac:dyDescent="0.25">
      <c r="C1296" s="2" t="s">
        <v>8567</v>
      </c>
      <c r="D1296" s="2" t="s">
        <v>42</v>
      </c>
      <c r="E1296" s="2">
        <v>47</v>
      </c>
      <c r="F1296" s="2">
        <v>895.07</v>
      </c>
    </row>
    <row r="1297" spans="3:6" x14ac:dyDescent="0.25">
      <c r="C1297" s="2" t="s">
        <v>8568</v>
      </c>
      <c r="D1297" s="2" t="s">
        <v>30</v>
      </c>
      <c r="E1297" s="2">
        <v>134</v>
      </c>
      <c r="F1297" s="2">
        <v>2691.12</v>
      </c>
    </row>
    <row r="1298" spans="3:6" x14ac:dyDescent="0.25">
      <c r="C1298" s="2" t="s">
        <v>8569</v>
      </c>
      <c r="D1298" s="2" t="s">
        <v>30</v>
      </c>
      <c r="E1298" s="2">
        <v>134</v>
      </c>
      <c r="F1298" s="2">
        <v>2725.34</v>
      </c>
    </row>
    <row r="1299" spans="3:6" x14ac:dyDescent="0.25">
      <c r="C1299" s="2" t="s">
        <v>8570</v>
      </c>
      <c r="D1299" s="2" t="s">
        <v>30</v>
      </c>
      <c r="E1299" s="2">
        <v>134</v>
      </c>
      <c r="F1299" s="2">
        <v>2680.23</v>
      </c>
    </row>
    <row r="1300" spans="3:6" x14ac:dyDescent="0.25">
      <c r="C1300" s="2" t="s">
        <v>8571</v>
      </c>
      <c r="D1300" s="2" t="s">
        <v>15</v>
      </c>
      <c r="E1300" s="2">
        <v>71</v>
      </c>
      <c r="F1300" s="2">
        <v>1402.37</v>
      </c>
    </row>
    <row r="1301" spans="3:6" x14ac:dyDescent="0.25">
      <c r="C1301" s="2" t="s">
        <v>8572</v>
      </c>
      <c r="D1301" s="2" t="s">
        <v>136</v>
      </c>
      <c r="E1301" s="2">
        <v>156</v>
      </c>
      <c r="F1301" s="2">
        <v>3106.769</v>
      </c>
    </row>
    <row r="1302" spans="3:6" x14ac:dyDescent="0.25">
      <c r="C1302" s="2" t="s">
        <v>8573</v>
      </c>
      <c r="D1302" s="2" t="s">
        <v>30</v>
      </c>
      <c r="E1302" s="2">
        <v>134</v>
      </c>
      <c r="F1302" s="2">
        <v>2637.33</v>
      </c>
    </row>
    <row r="1303" spans="3:6" x14ac:dyDescent="0.25">
      <c r="C1303" s="2" t="s">
        <v>8574</v>
      </c>
      <c r="D1303" s="2" t="s">
        <v>30</v>
      </c>
      <c r="E1303" s="2">
        <v>134</v>
      </c>
      <c r="F1303" s="2">
        <v>2779.76</v>
      </c>
    </row>
    <row r="1304" spans="3:6" x14ac:dyDescent="0.25">
      <c r="C1304" s="2" t="s">
        <v>8575</v>
      </c>
      <c r="D1304" s="2" t="s">
        <v>30</v>
      </c>
      <c r="E1304" s="2">
        <v>134</v>
      </c>
      <c r="F1304" s="2">
        <v>2707.899</v>
      </c>
    </row>
    <row r="1305" spans="3:6" x14ac:dyDescent="0.25">
      <c r="C1305" s="2" t="s">
        <v>8576</v>
      </c>
      <c r="D1305" s="2" t="s">
        <v>15</v>
      </c>
      <c r="E1305" s="2">
        <v>156</v>
      </c>
      <c r="F1305" s="2">
        <v>3099.03</v>
      </c>
    </row>
    <row r="1306" spans="3:6" x14ac:dyDescent="0.25">
      <c r="C1306" s="2" t="s">
        <v>8554</v>
      </c>
      <c r="D1306" s="2" t="s">
        <v>136</v>
      </c>
      <c r="E1306" s="2">
        <v>141</v>
      </c>
      <c r="F1306" s="2">
        <v>2904.849</v>
      </c>
    </row>
    <row r="1307" spans="3:6" x14ac:dyDescent="0.25">
      <c r="C1307" s="2" t="s">
        <v>8555</v>
      </c>
      <c r="D1307" s="2" t="s">
        <v>136</v>
      </c>
      <c r="E1307" s="2">
        <v>15</v>
      </c>
      <c r="F1307" s="2">
        <v>270.68</v>
      </c>
    </row>
    <row r="1308" spans="3:6" x14ac:dyDescent="0.25">
      <c r="C1308" s="2" t="s">
        <v>8572</v>
      </c>
      <c r="D1308" s="2" t="s">
        <v>136</v>
      </c>
      <c r="E1308" s="2">
        <v>156</v>
      </c>
      <c r="F1308" s="2">
        <v>3106.769</v>
      </c>
    </row>
    <row r="1309" spans="3:6" x14ac:dyDescent="0.25">
      <c r="C1309" s="2" t="s">
        <v>8577</v>
      </c>
      <c r="D1309" s="2" t="s">
        <v>15</v>
      </c>
      <c r="E1309" s="2">
        <v>85</v>
      </c>
      <c r="F1309" s="2">
        <v>1648</v>
      </c>
    </row>
    <row r="1310" spans="3:6" x14ac:dyDescent="0.25">
      <c r="C1310" s="2" t="s">
        <v>8578</v>
      </c>
      <c r="D1310" s="2" t="s">
        <v>15</v>
      </c>
      <c r="E1310" s="2">
        <v>41</v>
      </c>
      <c r="F1310" s="2">
        <v>400</v>
      </c>
    </row>
    <row r="1311" spans="3:6" x14ac:dyDescent="0.25">
      <c r="C1311" s="2" t="s">
        <v>8579</v>
      </c>
      <c r="D1311" s="2" t="s">
        <v>36</v>
      </c>
      <c r="E1311" s="2">
        <v>8</v>
      </c>
      <c r="F1311" s="2">
        <v>163</v>
      </c>
    </row>
    <row r="1313" spans="2:6" x14ac:dyDescent="0.25">
      <c r="B1313" s="2" t="s">
        <v>136</v>
      </c>
      <c r="C1313" s="2" t="s">
        <v>8554</v>
      </c>
      <c r="D1313" s="2" t="s">
        <v>136</v>
      </c>
      <c r="E1313" s="2">
        <v>141</v>
      </c>
      <c r="F1313" s="2">
        <v>2904.849</v>
      </c>
    </row>
    <row r="1314" spans="3:6" x14ac:dyDescent="0.25">
      <c r="C1314" s="2" t="s">
        <v>8555</v>
      </c>
      <c r="D1314" s="2" t="s">
        <v>136</v>
      </c>
      <c r="E1314" s="2">
        <v>15</v>
      </c>
      <c r="F1314" s="2">
        <v>270.68</v>
      </c>
    </row>
    <row r="1315" spans="3:6" x14ac:dyDescent="0.25">
      <c r="C1315" s="2" t="s">
        <v>8572</v>
      </c>
      <c r="D1315" s="2" t="s">
        <v>136</v>
      </c>
      <c r="E1315" s="2">
        <v>156</v>
      </c>
      <c r="F1315" s="2">
        <v>3106.769</v>
      </c>
    </row>
    <row r="1317" spans="2:6" x14ac:dyDescent="0.25">
      <c r="B1317" s="2" t="s">
        <v>48</v>
      </c>
      <c r="C1317" s="2" t="s">
        <v>8580</v>
      </c>
      <c r="D1317" s="2" t="s">
        <v>26</v>
      </c>
      <c r="E1317" s="2">
        <v>156</v>
      </c>
      <c r="F1317" s="2">
        <v>2583.759</v>
      </c>
    </row>
    <row r="1318" spans="3:6" x14ac:dyDescent="0.25">
      <c r="C1318" s="2" t="s">
        <v>8581</v>
      </c>
      <c r="D1318" s="2" t="s">
        <v>30</v>
      </c>
      <c r="E1318" s="2">
        <v>105</v>
      </c>
      <c r="F1318" s="2">
        <v>1745.569</v>
      </c>
    </row>
    <row r="1319" spans="3:6" x14ac:dyDescent="0.25">
      <c r="C1319" s="2" t="s">
        <v>8582</v>
      </c>
      <c r="D1319" s="2" t="s">
        <v>30</v>
      </c>
      <c r="E1319" s="2">
        <v>105</v>
      </c>
      <c r="F1319" s="2">
        <v>1870.299</v>
      </c>
    </row>
    <row r="1320" spans="3:6" x14ac:dyDescent="0.25">
      <c r="C1320" s="2" t="s">
        <v>8583</v>
      </c>
      <c r="D1320" s="2" t="s">
        <v>26</v>
      </c>
      <c r="E1320" s="2">
        <v>156</v>
      </c>
      <c r="F1320" s="2">
        <v>2547.637</v>
      </c>
    </row>
    <row r="1321" spans="3:6" x14ac:dyDescent="0.25">
      <c r="C1321" s="2" t="s">
        <v>8584</v>
      </c>
      <c r="D1321" s="2" t="s">
        <v>26</v>
      </c>
      <c r="E1321" s="2">
        <v>156</v>
      </c>
      <c r="F1321" s="2">
        <v>2648.668</v>
      </c>
    </row>
    <row r="1323" spans="1:7" x14ac:dyDescent="0.25">
      <c r="A1323" s="1">
        <v>46153</v>
      </c>
      <c r="B1323" s="2" t="s">
        <v>57</v>
      </c>
      <c r="C1323" s="2" t="s">
        <v>8585</v>
      </c>
      <c r="D1323" s="2" t="s">
        <v>59</v>
      </c>
      <c r="E1323" s="2">
        <v>159</v>
      </c>
      <c r="F1323" s="2">
        <v>3249.93</v>
      </c>
      <c r="G1323" s="1">
        <v>46153</v>
      </c>
    </row>
    <row r="1324" spans="3:6" x14ac:dyDescent="0.25">
      <c r="C1324" s="2" t="s">
        <v>8586</v>
      </c>
      <c r="D1324" s="2" t="s">
        <v>59</v>
      </c>
      <c r="E1324" s="2">
        <v>261</v>
      </c>
      <c r="F1324" s="2">
        <v>4891.721</v>
      </c>
    </row>
    <row r="1325" spans="3:6" x14ac:dyDescent="0.25">
      <c r="C1325" s="2" t="s">
        <v>8587</v>
      </c>
      <c r="D1325" s="2" t="s">
        <v>59</v>
      </c>
      <c r="E1325" s="2">
        <v>105</v>
      </c>
      <c r="F1325" s="2">
        <v>2112.87</v>
      </c>
    </row>
    <row r="1326" spans="3:6" x14ac:dyDescent="0.25">
      <c r="C1326" s="2" t="s">
        <v>8588</v>
      </c>
      <c r="D1326" s="2" t="s">
        <v>59</v>
      </c>
      <c r="E1326" s="2">
        <v>163</v>
      </c>
      <c r="F1326" s="2">
        <v>3091.789</v>
      </c>
    </row>
    <row r="1327" spans="3:6" x14ac:dyDescent="0.25">
      <c r="C1327" s="2" t="s">
        <v>8589</v>
      </c>
      <c r="D1327" s="2" t="s">
        <v>59</v>
      </c>
      <c r="E1327" s="2">
        <v>163</v>
      </c>
      <c r="F1327" s="2">
        <v>3031.04</v>
      </c>
    </row>
    <row r="1328" spans="3:6" x14ac:dyDescent="0.25">
      <c r="C1328" s="2" t="s">
        <v>8590</v>
      </c>
      <c r="D1328" s="2" t="s">
        <v>59</v>
      </c>
      <c r="E1328" s="2">
        <v>268</v>
      </c>
      <c r="F1328" s="2">
        <v>5146.269</v>
      </c>
    </row>
    <row r="1329" spans="3:6" x14ac:dyDescent="0.25">
      <c r="C1329" s="2" t="s">
        <v>8591</v>
      </c>
      <c r="D1329" s="2" t="s">
        <v>59</v>
      </c>
      <c r="E1329" s="2">
        <v>163</v>
      </c>
      <c r="F1329" s="2">
        <v>3253.02</v>
      </c>
    </row>
    <row r="1330" spans="3:6" x14ac:dyDescent="0.25">
      <c r="C1330" s="2" t="s">
        <v>8592</v>
      </c>
      <c r="D1330" s="2" t="s">
        <v>59</v>
      </c>
      <c r="E1330" s="2">
        <v>164</v>
      </c>
      <c r="F1330" s="2">
        <v>2933.329</v>
      </c>
    </row>
    <row r="1332" spans="1:7" x14ac:dyDescent="0.25">
      <c r="A1332" s="1">
        <v>46154</v>
      </c>
      <c r="B1332" s="2" t="s">
        <v>1400</v>
      </c>
      <c r="C1332" s="2" t="s">
        <v>8593</v>
      </c>
      <c r="D1332" s="2" t="s">
        <v>82</v>
      </c>
      <c r="E1332" s="2">
        <v>100</v>
      </c>
      <c r="F1332" s="2">
        <v>2041.169</v>
      </c>
      <c r="G1332" s="1">
        <v>46153</v>
      </c>
    </row>
    <row r="1333" spans="3:6" x14ac:dyDescent="0.25">
      <c r="C1333" s="2" t="s">
        <v>8594</v>
      </c>
      <c r="D1333" s="2" t="s">
        <v>82</v>
      </c>
      <c r="E1333" s="2">
        <v>141</v>
      </c>
      <c r="F1333" s="2">
        <v>2935.959</v>
      </c>
    </row>
    <row r="1334" spans="3:6" x14ac:dyDescent="0.25">
      <c r="C1334" s="2" t="s">
        <v>8595</v>
      </c>
      <c r="D1334" s="2" t="s">
        <v>82</v>
      </c>
      <c r="E1334" s="2">
        <v>141</v>
      </c>
      <c r="F1334" s="2">
        <v>2938.32</v>
      </c>
    </row>
    <row r="1335" spans="3:6" x14ac:dyDescent="0.25">
      <c r="C1335" s="2" t="s">
        <v>8596</v>
      </c>
      <c r="D1335" s="2" t="s">
        <v>82</v>
      </c>
      <c r="E1335" s="2">
        <v>141</v>
      </c>
      <c r="F1335" s="2">
        <v>2964.9</v>
      </c>
    </row>
    <row r="1336" spans="3:6" x14ac:dyDescent="0.25">
      <c r="C1336" s="2" t="s">
        <v>8597</v>
      </c>
      <c r="D1336" s="2" t="s">
        <v>82</v>
      </c>
      <c r="E1336" s="2">
        <v>36</v>
      </c>
      <c r="F1336" s="2">
        <v>747.9</v>
      </c>
    </row>
    <row r="1337" spans="3:6" x14ac:dyDescent="0.25">
      <c r="C1337" s="2" t="s">
        <v>8598</v>
      </c>
      <c r="D1337" s="2" t="s">
        <v>82</v>
      </c>
      <c r="E1337" s="2">
        <v>44</v>
      </c>
      <c r="F1337" s="2">
        <v>908.63</v>
      </c>
    </row>
    <row r="1338" spans="3:6" x14ac:dyDescent="0.25">
      <c r="C1338" s="2" t="s">
        <v>8599</v>
      </c>
      <c r="D1338" s="2" t="s">
        <v>82</v>
      </c>
      <c r="E1338" s="2">
        <v>61</v>
      </c>
      <c r="F1338" s="2">
        <v>1270.32</v>
      </c>
    </row>
    <row r="1339" spans="3:6" x14ac:dyDescent="0.25">
      <c r="C1339" s="2" t="s">
        <v>8600</v>
      </c>
      <c r="D1339" s="2" t="s">
        <v>82</v>
      </c>
      <c r="E1339" s="2">
        <v>141</v>
      </c>
      <c r="F1339" s="2">
        <v>2928.26</v>
      </c>
    </row>
    <row r="1340" spans="3:6" x14ac:dyDescent="0.25">
      <c r="C1340" s="2" t="s">
        <v>8601</v>
      </c>
      <c r="D1340" s="2" t="s">
        <v>82</v>
      </c>
      <c r="E1340" s="2">
        <v>121</v>
      </c>
      <c r="F1340" s="2">
        <v>2455.37</v>
      </c>
    </row>
    <row r="1341" spans="3:6" x14ac:dyDescent="0.25">
      <c r="C1341" s="2" t="s">
        <v>8602</v>
      </c>
      <c r="D1341" s="2" t="s">
        <v>82</v>
      </c>
      <c r="E1341" s="2">
        <v>38</v>
      </c>
      <c r="F1341" s="2">
        <v>777.02</v>
      </c>
    </row>
    <row r="1342" spans="3:6" x14ac:dyDescent="0.25">
      <c r="C1342" s="2" t="s">
        <v>8603</v>
      </c>
      <c r="D1342" s="2" t="s">
        <v>82</v>
      </c>
      <c r="E1342" s="2">
        <v>46</v>
      </c>
      <c r="F1342" s="2">
        <v>932.88</v>
      </c>
    </row>
    <row r="1343" spans="3:6" x14ac:dyDescent="0.25">
      <c r="C1343" s="2" t="s">
        <v>8604</v>
      </c>
      <c r="D1343" s="2" t="s">
        <v>82</v>
      </c>
      <c r="E1343" s="2">
        <v>37</v>
      </c>
      <c r="F1343" s="2">
        <v>785</v>
      </c>
    </row>
    <row r="1344" spans="3:6" x14ac:dyDescent="0.25">
      <c r="C1344" s="2" t="s">
        <v>8605</v>
      </c>
      <c r="D1344" s="2" t="s">
        <v>82</v>
      </c>
      <c r="E1344" s="2">
        <v>37</v>
      </c>
      <c r="F1344" s="2">
        <v>736.709</v>
      </c>
    </row>
    <row r="1345" spans="3:6" x14ac:dyDescent="0.25">
      <c r="C1345" s="2" t="s">
        <v>8606</v>
      </c>
      <c r="D1345" s="2" t="s">
        <v>82</v>
      </c>
      <c r="E1345" s="2">
        <v>104</v>
      </c>
      <c r="F1345" s="2">
        <v>2125.189</v>
      </c>
    </row>
    <row r="1346" spans="3:6" x14ac:dyDescent="0.25">
      <c r="C1346" s="2" t="s">
        <v>8607</v>
      </c>
      <c r="D1346" s="2" t="s">
        <v>82</v>
      </c>
      <c r="E1346" s="2">
        <v>141</v>
      </c>
      <c r="F1346" s="2">
        <v>2942.279</v>
      </c>
    </row>
    <row r="1347" spans="3:6" x14ac:dyDescent="0.25">
      <c r="C1347" s="2" t="s">
        <v>8608</v>
      </c>
      <c r="D1347" s="2" t="s">
        <v>82</v>
      </c>
      <c r="E1347" s="2">
        <v>141</v>
      </c>
      <c r="F1347" s="2">
        <v>2881.68</v>
      </c>
    </row>
    <row r="1348" spans="3:6" x14ac:dyDescent="0.25">
      <c r="C1348" s="2" t="s">
        <v>8609</v>
      </c>
      <c r="D1348" s="2" t="s">
        <v>82</v>
      </c>
      <c r="E1348" s="2">
        <v>141</v>
      </c>
      <c r="F1348" s="2">
        <v>2938.75</v>
      </c>
    </row>
    <row r="1349" spans="3:6" x14ac:dyDescent="0.25">
      <c r="C1349" s="2" t="s">
        <v>8610</v>
      </c>
      <c r="D1349" s="2" t="s">
        <v>82</v>
      </c>
      <c r="E1349" s="2">
        <v>101</v>
      </c>
      <c r="F1349" s="2">
        <v>2078.37</v>
      </c>
    </row>
    <row r="1350" spans="3:6" x14ac:dyDescent="0.25">
      <c r="C1350" s="2" t="s">
        <v>8611</v>
      </c>
      <c r="D1350" s="2" t="s">
        <v>82</v>
      </c>
      <c r="E1350" s="2">
        <v>100</v>
      </c>
      <c r="F1350" s="2">
        <v>2058.59</v>
      </c>
    </row>
    <row r="1351" spans="3:6" x14ac:dyDescent="0.25">
      <c r="C1351" s="2" t="s">
        <v>8612</v>
      </c>
      <c r="D1351" s="2" t="s">
        <v>82</v>
      </c>
      <c r="E1351" s="2">
        <v>51</v>
      </c>
      <c r="F1351" s="2">
        <v>1125.61</v>
      </c>
    </row>
    <row r="1352" spans="3:6" x14ac:dyDescent="0.25">
      <c r="C1352" s="2" t="s">
        <v>8613</v>
      </c>
      <c r="D1352" s="2" t="s">
        <v>82</v>
      </c>
      <c r="E1352" s="2">
        <v>50</v>
      </c>
      <c r="F1352" s="2">
        <v>1021.46</v>
      </c>
    </row>
    <row r="1353" spans="3:6" x14ac:dyDescent="0.25">
      <c r="C1353" s="2" t="s">
        <v>8614</v>
      </c>
      <c r="D1353" s="2" t="s">
        <v>82</v>
      </c>
      <c r="E1353" s="2">
        <v>101</v>
      </c>
      <c r="F1353" s="2">
        <v>2095.33</v>
      </c>
    </row>
    <row r="1355" spans="1:7" x14ac:dyDescent="0.25">
      <c r="A1355" s="1">
        <v>46154</v>
      </c>
      <c r="B1355" s="2" t="s">
        <v>1012</v>
      </c>
      <c r="C1355" s="2" t="s">
        <v>8615</v>
      </c>
      <c r="D1355" s="2" t="s">
        <v>73</v>
      </c>
      <c r="E1355" s="2">
        <v>24</v>
      </c>
      <c r="F1355" s="2">
        <v>406.919</v>
      </c>
      <c r="G1355" s="1">
        <v>46153</v>
      </c>
    </row>
    <row r="1356" spans="3:6" x14ac:dyDescent="0.25">
      <c r="C1356" s="2" t="s">
        <v>8616</v>
      </c>
      <c r="D1356" s="2" t="s">
        <v>73</v>
      </c>
      <c r="E1356" s="2">
        <v>76</v>
      </c>
      <c r="F1356" s="2">
        <v>1392.639</v>
      </c>
    </row>
    <row r="1357" spans="3:6" x14ac:dyDescent="0.25">
      <c r="C1357" s="2" t="s">
        <v>8617</v>
      </c>
      <c r="D1357" s="2" t="s">
        <v>73</v>
      </c>
      <c r="E1357" s="2">
        <v>91</v>
      </c>
      <c r="F1357" s="2">
        <v>1813.959</v>
      </c>
    </row>
    <row r="1358" spans="3:6" x14ac:dyDescent="0.25">
      <c r="C1358" s="2" t="s">
        <v>8618</v>
      </c>
      <c r="D1358" s="2" t="s">
        <v>73</v>
      </c>
      <c r="E1358" s="2">
        <v>77</v>
      </c>
      <c r="F1358" s="2">
        <v>1587.9</v>
      </c>
    </row>
    <row r="1359" spans="3:6" x14ac:dyDescent="0.25">
      <c r="C1359" s="2" t="s">
        <v>8619</v>
      </c>
      <c r="D1359" s="2" t="s">
        <v>73</v>
      </c>
      <c r="E1359" s="2">
        <v>41</v>
      </c>
      <c r="F1359" s="2">
        <v>715.629</v>
      </c>
    </row>
    <row r="1360" spans="3:6" x14ac:dyDescent="0.25">
      <c r="C1360" s="2" t="s">
        <v>8620</v>
      </c>
      <c r="D1360" s="2" t="s">
        <v>73</v>
      </c>
      <c r="E1360" s="2">
        <v>77</v>
      </c>
      <c r="F1360" s="2">
        <v>1676.63</v>
      </c>
    </row>
    <row r="1362" spans="1:7" x14ac:dyDescent="0.25">
      <c r="A1362" s="1">
        <v>46154</v>
      </c>
      <c r="B1362" s="2" t="s">
        <v>8621</v>
      </c>
      <c r="C1362" s="2" t="s">
        <v>8622</v>
      </c>
      <c r="D1362" s="2" t="s">
        <v>1077</v>
      </c>
      <c r="E1362" s="2">
        <v>119</v>
      </c>
      <c r="F1362" s="2">
        <v>2824</v>
      </c>
      <c r="G1362" s="1">
        <v>46153</v>
      </c>
    </row>
    <row r="1364" spans="1:7" x14ac:dyDescent="0.25">
      <c r="A1364" s="1">
        <v>46154</v>
      </c>
      <c r="B1364" s="2" t="s">
        <v>8623</v>
      </c>
      <c r="C1364" s="2" t="s">
        <v>8624</v>
      </c>
      <c r="D1364" s="2" t="s">
        <v>9</v>
      </c>
      <c r="E1364" s="2">
        <v>99</v>
      </c>
      <c r="F1364" s="2">
        <v>1906.891</v>
      </c>
      <c r="G1364" s="1">
        <v>46170</v>
      </c>
    </row>
    <row r="1365" spans="3:6" x14ac:dyDescent="0.25">
      <c r="C1365" s="2" t="s">
        <v>8625</v>
      </c>
      <c r="D1365" s="2" t="s">
        <v>9</v>
      </c>
      <c r="E1365" s="2">
        <v>99</v>
      </c>
      <c r="F1365" s="2">
        <v>2024.28</v>
      </c>
    </row>
    <row r="1367" spans="1:7" x14ac:dyDescent="0.25">
      <c r="A1367" s="1">
        <v>46154</v>
      </c>
      <c r="B1367" s="2" t="s">
        <v>1299</v>
      </c>
      <c r="C1367" s="2" t="s">
        <v>8626</v>
      </c>
      <c r="D1367" s="2" t="s">
        <v>15</v>
      </c>
      <c r="E1367" s="2">
        <v>80</v>
      </c>
      <c r="F1367" s="2">
        <v>689.36</v>
      </c>
      <c r="G1367" s="1">
        <v>46154</v>
      </c>
    </row>
    <row r="1368" spans="3:6" x14ac:dyDescent="0.25">
      <c r="C1368" s="2" t="s">
        <v>8627</v>
      </c>
      <c r="D1368" s="2" t="s">
        <v>15</v>
      </c>
      <c r="E1368" s="2">
        <v>80</v>
      </c>
      <c r="F1368" s="2">
        <v>780.69</v>
      </c>
    </row>
    <row r="1369" spans="3:6" x14ac:dyDescent="0.25">
      <c r="C1369" s="2" t="s">
        <v>8628</v>
      </c>
      <c r="D1369" s="2" t="s">
        <v>15</v>
      </c>
      <c r="E1369" s="2">
        <v>80</v>
      </c>
      <c r="F1369" s="2">
        <v>948.1</v>
      </c>
    </row>
    <row r="1370" spans="3:6" x14ac:dyDescent="0.25">
      <c r="C1370" s="2" t="s">
        <v>8629</v>
      </c>
      <c r="D1370" s="2" t="s">
        <v>15</v>
      </c>
      <c r="E1370" s="2">
        <v>105</v>
      </c>
      <c r="F1370" s="2">
        <v>2012.22</v>
      </c>
    </row>
    <row r="1371" spans="3:6" x14ac:dyDescent="0.25">
      <c r="C1371" s="2" t="s">
        <v>8630</v>
      </c>
      <c r="D1371" s="2" t="s">
        <v>15</v>
      </c>
      <c r="E1371" s="2">
        <v>105</v>
      </c>
      <c r="F1371" s="2">
        <v>2118.24</v>
      </c>
    </row>
    <row r="1372" spans="3:6" x14ac:dyDescent="0.25">
      <c r="C1372" s="2" t="s">
        <v>8631</v>
      </c>
      <c r="D1372" s="2" t="s">
        <v>15</v>
      </c>
      <c r="E1372" s="2">
        <v>156</v>
      </c>
      <c r="F1372" s="2">
        <v>2811.42</v>
      </c>
    </row>
    <row r="1373" spans="3:6" x14ac:dyDescent="0.25">
      <c r="C1373" s="2" t="s">
        <v>8632</v>
      </c>
      <c r="D1373" s="2" t="s">
        <v>15</v>
      </c>
      <c r="E1373" s="2">
        <v>156</v>
      </c>
      <c r="F1373" s="2">
        <v>2990.189</v>
      </c>
    </row>
    <row r="1374" spans="3:6" x14ac:dyDescent="0.25">
      <c r="C1374" s="2" t="s">
        <v>8633</v>
      </c>
      <c r="D1374" s="2" t="s">
        <v>15</v>
      </c>
      <c r="E1374" s="2">
        <v>156</v>
      </c>
      <c r="F1374" s="2">
        <v>3036.299</v>
      </c>
    </row>
    <row r="1375" spans="3:6" x14ac:dyDescent="0.25">
      <c r="C1375" s="2" t="s">
        <v>8634</v>
      </c>
      <c r="D1375" s="2" t="s">
        <v>36</v>
      </c>
      <c r="E1375" s="2">
        <v>60</v>
      </c>
      <c r="F1375" s="2">
        <v>1080.33</v>
      </c>
    </row>
    <row r="1376" spans="3:6" x14ac:dyDescent="0.25">
      <c r="C1376" s="2" t="s">
        <v>8635</v>
      </c>
      <c r="D1376" s="2" t="s">
        <v>36</v>
      </c>
      <c r="E1376" s="2">
        <v>60</v>
      </c>
      <c r="F1376" s="2">
        <v>1143.879</v>
      </c>
    </row>
    <row r="1377" spans="3:6" x14ac:dyDescent="0.25">
      <c r="C1377" s="2" t="s">
        <v>8636</v>
      </c>
      <c r="D1377" s="2" t="s">
        <v>36</v>
      </c>
      <c r="E1377" s="2">
        <v>36</v>
      </c>
      <c r="F1377" s="2">
        <v>709.41</v>
      </c>
    </row>
    <row r="1378" spans="3:6" x14ac:dyDescent="0.25">
      <c r="C1378" s="2" t="s">
        <v>8637</v>
      </c>
      <c r="D1378" s="2" t="s">
        <v>36</v>
      </c>
      <c r="E1378" s="2">
        <v>76</v>
      </c>
      <c r="F1378" s="2">
        <v>1433.979</v>
      </c>
    </row>
    <row r="1379" spans="3:6" x14ac:dyDescent="0.25">
      <c r="C1379" s="2" t="s">
        <v>8638</v>
      </c>
      <c r="D1379" s="2" t="s">
        <v>36</v>
      </c>
      <c r="E1379" s="2">
        <v>80</v>
      </c>
      <c r="F1379" s="2">
        <v>1529.01</v>
      </c>
    </row>
    <row r="1380" spans="3:6" x14ac:dyDescent="0.25">
      <c r="C1380" s="2" t="s">
        <v>8639</v>
      </c>
      <c r="D1380" s="2" t="s">
        <v>15</v>
      </c>
      <c r="E1380" s="2">
        <v>136</v>
      </c>
      <c r="F1380" s="2">
        <v>2684.86</v>
      </c>
    </row>
    <row r="1381" spans="3:6" x14ac:dyDescent="0.25">
      <c r="C1381" s="2" t="s">
        <v>8546</v>
      </c>
      <c r="D1381" s="2" t="s">
        <v>15</v>
      </c>
      <c r="E1381" s="2">
        <v>36</v>
      </c>
      <c r="F1381" s="2">
        <v>726.04</v>
      </c>
    </row>
    <row r="1382" spans="3:6" x14ac:dyDescent="0.25">
      <c r="C1382" s="2" t="s">
        <v>8640</v>
      </c>
      <c r="D1382" s="2" t="s">
        <v>15</v>
      </c>
      <c r="E1382" s="2">
        <v>156</v>
      </c>
      <c r="F1382" s="2">
        <v>3145.87</v>
      </c>
    </row>
    <row r="1383" spans="3:6" x14ac:dyDescent="0.25">
      <c r="C1383" s="2" t="s">
        <v>8641</v>
      </c>
      <c r="D1383" s="2" t="s">
        <v>15</v>
      </c>
      <c r="E1383" s="2">
        <v>156</v>
      </c>
      <c r="F1383" s="2">
        <v>3190.14</v>
      </c>
    </row>
    <row r="1384" spans="3:6" x14ac:dyDescent="0.25">
      <c r="C1384" s="2" t="s">
        <v>8549</v>
      </c>
      <c r="D1384" s="2" t="s">
        <v>15</v>
      </c>
      <c r="E1384" s="2">
        <v>105</v>
      </c>
      <c r="F1384" s="2">
        <v>2057.409</v>
      </c>
    </row>
    <row r="1385" spans="3:6" x14ac:dyDescent="0.25">
      <c r="C1385" s="2" t="s">
        <v>8642</v>
      </c>
      <c r="D1385" s="2" t="s">
        <v>15</v>
      </c>
      <c r="E1385" s="2">
        <v>134</v>
      </c>
      <c r="F1385" s="2">
        <v>2723.9</v>
      </c>
    </row>
    <row r="1386" spans="3:6" x14ac:dyDescent="0.25">
      <c r="C1386" s="2" t="s">
        <v>8643</v>
      </c>
      <c r="D1386" s="2" t="s">
        <v>15</v>
      </c>
      <c r="E1386" s="2">
        <v>134</v>
      </c>
      <c r="F1386" s="2">
        <v>2639.87</v>
      </c>
    </row>
    <row r="1387" spans="3:6" x14ac:dyDescent="0.25">
      <c r="C1387" s="2" t="s">
        <v>8644</v>
      </c>
      <c r="D1387" s="2" t="s">
        <v>15</v>
      </c>
      <c r="E1387" s="2">
        <v>134</v>
      </c>
      <c r="F1387" s="2">
        <v>2638.227</v>
      </c>
    </row>
    <row r="1388" spans="3:6" x14ac:dyDescent="0.25">
      <c r="C1388" s="2" t="s">
        <v>8645</v>
      </c>
      <c r="D1388" s="2" t="s">
        <v>15</v>
      </c>
      <c r="E1388" s="2">
        <v>134</v>
      </c>
      <c r="F1388" s="2">
        <v>2683.4</v>
      </c>
    </row>
    <row r="1389" spans="3:6" x14ac:dyDescent="0.25">
      <c r="C1389" s="2" t="s">
        <v>8646</v>
      </c>
      <c r="D1389" s="2" t="s">
        <v>15</v>
      </c>
      <c r="E1389" s="2">
        <v>134</v>
      </c>
      <c r="F1389" s="2">
        <v>2644.369</v>
      </c>
    </row>
    <row r="1390" spans="3:6" x14ac:dyDescent="0.25">
      <c r="C1390" s="2" t="s">
        <v>8647</v>
      </c>
      <c r="D1390" s="2" t="s">
        <v>15</v>
      </c>
      <c r="E1390" s="2">
        <v>103</v>
      </c>
      <c r="F1390" s="2">
        <v>1767.51</v>
      </c>
    </row>
    <row r="1391" spans="3:6" x14ac:dyDescent="0.25">
      <c r="C1391" s="2" t="s">
        <v>8648</v>
      </c>
      <c r="D1391" s="2" t="s">
        <v>15</v>
      </c>
      <c r="E1391" s="2">
        <v>103</v>
      </c>
      <c r="F1391" s="2">
        <v>2009.45</v>
      </c>
    </row>
    <row r="1392" spans="3:6" x14ac:dyDescent="0.25">
      <c r="C1392" s="2" t="s">
        <v>8649</v>
      </c>
      <c r="D1392" s="2" t="s">
        <v>15</v>
      </c>
      <c r="E1392" s="2">
        <v>156</v>
      </c>
      <c r="F1392" s="2">
        <v>2780.97</v>
      </c>
    </row>
    <row r="1393" spans="3:6" x14ac:dyDescent="0.25">
      <c r="C1393" s="2" t="s">
        <v>8650</v>
      </c>
      <c r="D1393" s="2" t="s">
        <v>15</v>
      </c>
      <c r="E1393" s="2">
        <v>20</v>
      </c>
      <c r="F1393" s="2">
        <v>382</v>
      </c>
    </row>
    <row r="1395" spans="3:6" x14ac:dyDescent="0.25">
      <c r="C1395" s="2" t="s">
        <v>8651</v>
      </c>
      <c r="D1395" s="2" t="s">
        <v>136</v>
      </c>
      <c r="E1395" s="2">
        <v>156</v>
      </c>
      <c r="F1395" s="2">
        <v>3170.22</v>
      </c>
    </row>
    <row r="1396" spans="3:6" x14ac:dyDescent="0.25">
      <c r="C1396" s="2" t="s">
        <v>8652</v>
      </c>
      <c r="D1396" s="2" t="s">
        <v>136</v>
      </c>
      <c r="E1396" s="2">
        <v>156</v>
      </c>
      <c r="F1396" s="2">
        <v>3141.399</v>
      </c>
    </row>
    <row r="1398" spans="2:6" x14ac:dyDescent="0.25">
      <c r="B1398" s="2" t="s">
        <v>48</v>
      </c>
      <c r="C1398" s="2" t="s">
        <v>8653</v>
      </c>
      <c r="D1398" s="2" t="s">
        <v>26</v>
      </c>
      <c r="E1398" s="2">
        <v>156</v>
      </c>
      <c r="F1398" s="2">
        <v>2590</v>
      </c>
    </row>
    <row r="1399" spans="3:6" x14ac:dyDescent="0.25">
      <c r="C1399" s="2" t="s">
        <v>8654</v>
      </c>
      <c r="D1399" s="2" t="s">
        <v>26</v>
      </c>
      <c r="E1399" s="2">
        <v>134</v>
      </c>
      <c r="F1399" s="2">
        <v>2375</v>
      </c>
    </row>
    <row r="1401" spans="1:7" x14ac:dyDescent="0.25">
      <c r="A1401" s="1">
        <v>46155</v>
      </c>
      <c r="B1401" s="2" t="s">
        <v>1400</v>
      </c>
      <c r="C1401" s="2" t="s">
        <v>8655</v>
      </c>
      <c r="D1401" s="2" t="s">
        <v>82</v>
      </c>
      <c r="E1401" s="2">
        <v>141</v>
      </c>
      <c r="F1401" s="2">
        <v>2920.46</v>
      </c>
      <c r="G1401" s="1">
        <v>46155</v>
      </c>
    </row>
    <row r="1402" spans="3:6" x14ac:dyDescent="0.25">
      <c r="C1402" s="2" t="s">
        <v>8656</v>
      </c>
      <c r="D1402" s="2" t="s">
        <v>82</v>
      </c>
      <c r="E1402" s="2">
        <v>121</v>
      </c>
      <c r="F1402" s="2">
        <v>2551.42</v>
      </c>
    </row>
    <row r="1403" spans="3:6" x14ac:dyDescent="0.25">
      <c r="C1403" s="2" t="s">
        <v>8657</v>
      </c>
      <c r="D1403" s="2" t="s">
        <v>82</v>
      </c>
      <c r="E1403" s="2">
        <v>121</v>
      </c>
      <c r="F1403" s="2">
        <v>2498.37</v>
      </c>
    </row>
    <row r="1404" spans="3:6" x14ac:dyDescent="0.25">
      <c r="C1404" s="2" t="s">
        <v>8658</v>
      </c>
      <c r="D1404" s="2" t="s">
        <v>82</v>
      </c>
      <c r="E1404" s="2">
        <v>141</v>
      </c>
      <c r="F1404" s="2">
        <v>2948.96</v>
      </c>
    </row>
    <row r="1405" spans="3:6" x14ac:dyDescent="0.25">
      <c r="C1405" s="2" t="s">
        <v>8659</v>
      </c>
      <c r="D1405" s="2" t="s">
        <v>82</v>
      </c>
      <c r="E1405" s="2">
        <v>62</v>
      </c>
      <c r="F1405" s="2">
        <v>1277.68</v>
      </c>
    </row>
    <row r="1406" spans="3:6" x14ac:dyDescent="0.25">
      <c r="C1406" s="2" t="s">
        <v>8660</v>
      </c>
      <c r="D1406" s="2" t="s">
        <v>82</v>
      </c>
      <c r="E1406" s="2">
        <v>25</v>
      </c>
      <c r="F1406" s="2">
        <v>517.86</v>
      </c>
    </row>
    <row r="1407" spans="3:6" x14ac:dyDescent="0.25">
      <c r="C1407" s="2" t="s">
        <v>8661</v>
      </c>
      <c r="D1407" s="2" t="s">
        <v>82</v>
      </c>
      <c r="E1407" s="2">
        <v>54</v>
      </c>
      <c r="F1407" s="2">
        <v>1116.61</v>
      </c>
    </row>
    <row r="1408" spans="3:6" x14ac:dyDescent="0.25">
      <c r="C1408" s="2" t="s">
        <v>8662</v>
      </c>
      <c r="D1408" s="2" t="s">
        <v>82</v>
      </c>
      <c r="E1408" s="2">
        <v>141</v>
      </c>
      <c r="F1408" s="2">
        <v>2928.87</v>
      </c>
    </row>
    <row r="1409" spans="3:6" x14ac:dyDescent="0.25">
      <c r="C1409" s="2" t="s">
        <v>8663</v>
      </c>
      <c r="D1409" s="2" t="s">
        <v>82</v>
      </c>
      <c r="E1409" s="2">
        <v>141</v>
      </c>
      <c r="F1409" s="2">
        <v>2635.51</v>
      </c>
    </row>
    <row r="1410" spans="3:6" x14ac:dyDescent="0.25">
      <c r="C1410" s="2" t="s">
        <v>8664</v>
      </c>
      <c r="D1410" s="2" t="s">
        <v>82</v>
      </c>
      <c r="E1410" s="2">
        <v>82</v>
      </c>
      <c r="F1410" s="2">
        <v>1638.05</v>
      </c>
    </row>
    <row r="1411" spans="3:6" x14ac:dyDescent="0.25">
      <c r="C1411" s="2" t="s">
        <v>8665</v>
      </c>
      <c r="D1411" s="2" t="s">
        <v>82</v>
      </c>
      <c r="E1411" s="2">
        <v>60</v>
      </c>
      <c r="F1411" s="2">
        <v>1114.77</v>
      </c>
    </row>
    <row r="1412" spans="3:6" x14ac:dyDescent="0.25">
      <c r="C1412" s="2" t="s">
        <v>8666</v>
      </c>
      <c r="D1412" s="2" t="s">
        <v>82</v>
      </c>
      <c r="E1412" s="2">
        <v>69</v>
      </c>
      <c r="F1412" s="2">
        <v>1269.83</v>
      </c>
    </row>
    <row r="1413" spans="3:6" x14ac:dyDescent="0.25">
      <c r="C1413" s="2" t="s">
        <v>8667</v>
      </c>
      <c r="D1413" s="2" t="s">
        <v>82</v>
      </c>
      <c r="E1413" s="2">
        <v>32</v>
      </c>
      <c r="F1413" s="2">
        <v>575.8</v>
      </c>
    </row>
    <row r="1414" spans="3:6" x14ac:dyDescent="0.25">
      <c r="C1414" s="2" t="s">
        <v>8668</v>
      </c>
      <c r="D1414" s="2" t="s">
        <v>82</v>
      </c>
      <c r="E1414" s="2">
        <v>101</v>
      </c>
      <c r="F1414" s="2">
        <v>2130.01</v>
      </c>
    </row>
    <row r="1415" spans="3:6" x14ac:dyDescent="0.25">
      <c r="C1415" s="2" t="s">
        <v>8669</v>
      </c>
      <c r="D1415" s="2" t="s">
        <v>82</v>
      </c>
      <c r="E1415" s="2">
        <v>28</v>
      </c>
      <c r="F1415" s="2">
        <v>521.56</v>
      </c>
    </row>
    <row r="1416" spans="3:6" x14ac:dyDescent="0.25">
      <c r="C1416" s="2" t="s">
        <v>8670</v>
      </c>
      <c r="D1416" s="2" t="s">
        <v>82</v>
      </c>
      <c r="E1416" s="2">
        <v>46</v>
      </c>
      <c r="F1416" s="2">
        <v>916.78</v>
      </c>
    </row>
    <row r="1417" spans="3:6" x14ac:dyDescent="0.25">
      <c r="C1417" s="2" t="s">
        <v>8671</v>
      </c>
      <c r="D1417" s="2" t="s">
        <v>82</v>
      </c>
      <c r="E1417" s="2">
        <v>39</v>
      </c>
      <c r="F1417" s="2">
        <v>797.7</v>
      </c>
    </row>
    <row r="1418" spans="3:6" x14ac:dyDescent="0.25">
      <c r="C1418" s="2" t="s">
        <v>8672</v>
      </c>
      <c r="D1418" s="2" t="s">
        <v>82</v>
      </c>
      <c r="E1418" s="2">
        <v>28</v>
      </c>
      <c r="F1418" s="2">
        <v>539.098</v>
      </c>
    </row>
    <row r="1419" spans="3:6" x14ac:dyDescent="0.25">
      <c r="C1419" s="2" t="s">
        <v>8673</v>
      </c>
      <c r="D1419" s="2" t="s">
        <v>82</v>
      </c>
      <c r="E1419" s="2">
        <v>141</v>
      </c>
      <c r="F1419" s="2">
        <v>2965.58</v>
      </c>
    </row>
    <row r="1420" spans="3:6" x14ac:dyDescent="0.25">
      <c r="C1420" s="2" t="s">
        <v>8674</v>
      </c>
      <c r="D1420" s="2" t="s">
        <v>82</v>
      </c>
      <c r="E1420" s="2">
        <v>141</v>
      </c>
      <c r="F1420" s="2">
        <v>2914.53</v>
      </c>
    </row>
    <row r="1421" spans="3:6" x14ac:dyDescent="0.25">
      <c r="C1421" s="2" t="s">
        <v>8675</v>
      </c>
      <c r="D1421" s="2" t="s">
        <v>82</v>
      </c>
      <c r="E1421" s="2">
        <v>101</v>
      </c>
      <c r="F1421" s="2">
        <v>2141.16</v>
      </c>
    </row>
    <row r="1422" spans="3:6" x14ac:dyDescent="0.25">
      <c r="C1422" s="2" t="s">
        <v>8676</v>
      </c>
      <c r="D1422" s="2" t="s">
        <v>82</v>
      </c>
      <c r="E1422" s="2">
        <v>101</v>
      </c>
      <c r="F1422" s="2">
        <v>2096.1</v>
      </c>
    </row>
    <row r="1423" spans="3:6" x14ac:dyDescent="0.25">
      <c r="C1423" s="2" t="s">
        <v>8677</v>
      </c>
      <c r="D1423" s="2" t="s">
        <v>82</v>
      </c>
      <c r="E1423" s="2">
        <v>102</v>
      </c>
      <c r="F1423" s="2">
        <v>2046.72</v>
      </c>
    </row>
    <row r="1425" spans="1:7" x14ac:dyDescent="0.25">
      <c r="A1425" s="1">
        <v>46155</v>
      </c>
      <c r="B1425" s="2" t="s">
        <v>3948</v>
      </c>
      <c r="C1425" s="2" t="s">
        <v>8678</v>
      </c>
      <c r="D1425" s="2" t="s">
        <v>178</v>
      </c>
      <c r="E1425" s="2">
        <v>87</v>
      </c>
      <c r="F1425" s="2">
        <v>386.21</v>
      </c>
      <c r="G1425" s="1">
        <v>46155</v>
      </c>
    </row>
    <row r="1426" spans="3:6" x14ac:dyDescent="0.25">
      <c r="C1426" s="2" t="s">
        <v>8679</v>
      </c>
      <c r="D1426" s="2" t="s">
        <v>178</v>
      </c>
      <c r="E1426" s="2">
        <v>102</v>
      </c>
      <c r="F1426" s="2">
        <v>1910.109</v>
      </c>
    </row>
    <row r="1427" spans="3:6" x14ac:dyDescent="0.25">
      <c r="C1427" s="2" t="s">
        <v>8680</v>
      </c>
      <c r="D1427" s="2" t="s">
        <v>178</v>
      </c>
      <c r="E1427" s="2">
        <v>141</v>
      </c>
      <c r="F1427" s="2">
        <v>2669.319</v>
      </c>
    </row>
    <row r="1428" spans="3:6" x14ac:dyDescent="0.25">
      <c r="C1428" s="2" t="s">
        <v>8681</v>
      </c>
      <c r="D1428" s="2" t="s">
        <v>178</v>
      </c>
      <c r="E1428" s="2">
        <v>123</v>
      </c>
      <c r="F1428" s="2">
        <v>2113.709</v>
      </c>
    </row>
    <row r="1429" spans="3:6" x14ac:dyDescent="0.25">
      <c r="C1429" s="2" t="s">
        <v>8682</v>
      </c>
      <c r="D1429" s="2" t="s">
        <v>178</v>
      </c>
      <c r="E1429" s="2">
        <v>102</v>
      </c>
      <c r="F1429" s="2">
        <v>1871.869</v>
      </c>
    </row>
    <row r="1430" spans="3:6" x14ac:dyDescent="0.25">
      <c r="C1430" s="2" t="s">
        <v>8683</v>
      </c>
      <c r="D1430" s="2" t="s">
        <v>178</v>
      </c>
      <c r="E1430" s="2">
        <v>246</v>
      </c>
      <c r="F1430" s="2">
        <v>5052.76</v>
      </c>
    </row>
    <row r="1431" spans="3:6" x14ac:dyDescent="0.25">
      <c r="C1431" s="2" t="s">
        <v>8684</v>
      </c>
      <c r="D1431" s="2" t="s">
        <v>178</v>
      </c>
      <c r="E1431" s="2">
        <v>134</v>
      </c>
      <c r="F1431" s="2">
        <v>2716.85</v>
      </c>
    </row>
    <row r="1432" spans="3:6" x14ac:dyDescent="0.25">
      <c r="C1432" s="2" t="s">
        <v>8685</v>
      </c>
      <c r="D1432" s="2" t="s">
        <v>178</v>
      </c>
      <c r="E1432" s="2">
        <v>141</v>
      </c>
      <c r="F1432" s="2">
        <v>2978.47</v>
      </c>
    </row>
    <row r="1433" spans="3:6" x14ac:dyDescent="0.25">
      <c r="C1433" s="2" t="s">
        <v>8686</v>
      </c>
      <c r="D1433" s="2" t="s">
        <v>178</v>
      </c>
      <c r="E1433" s="2">
        <v>204</v>
      </c>
      <c r="F1433" s="2">
        <v>4128.7</v>
      </c>
    </row>
    <row r="1434" spans="3:6" x14ac:dyDescent="0.25">
      <c r="C1434" s="2" t="s">
        <v>8687</v>
      </c>
      <c r="D1434" s="2" t="s">
        <v>178</v>
      </c>
      <c r="E1434" s="2">
        <v>141</v>
      </c>
      <c r="F1434" s="2">
        <v>3050.11</v>
      </c>
    </row>
    <row r="1435" spans="3:6" x14ac:dyDescent="0.25">
      <c r="C1435" s="2" t="s">
        <v>8688</v>
      </c>
      <c r="D1435" s="2" t="s">
        <v>178</v>
      </c>
      <c r="E1435" s="2">
        <v>57</v>
      </c>
      <c r="F1435" s="2">
        <v>1098.71</v>
      </c>
    </row>
    <row r="1436" spans="3:6" x14ac:dyDescent="0.25">
      <c r="C1436" s="2" t="s">
        <v>8689</v>
      </c>
      <c r="D1436" s="2" t="s">
        <v>178</v>
      </c>
      <c r="E1436" s="2">
        <v>84</v>
      </c>
      <c r="F1436" s="2">
        <v>1584.399</v>
      </c>
    </row>
    <row r="1437" spans="3:6" x14ac:dyDescent="0.25">
      <c r="C1437" s="2" t="s">
        <v>8690</v>
      </c>
      <c r="D1437" s="2" t="s">
        <v>178</v>
      </c>
      <c r="E1437" s="2">
        <v>141</v>
      </c>
      <c r="F1437" s="2">
        <v>2901.04</v>
      </c>
    </row>
    <row r="1438" spans="3:6" x14ac:dyDescent="0.25">
      <c r="C1438" s="2" t="s">
        <v>8691</v>
      </c>
      <c r="D1438" s="2" t="s">
        <v>178</v>
      </c>
      <c r="E1438" s="2">
        <v>141</v>
      </c>
      <c r="F1438" s="2">
        <v>2962.24</v>
      </c>
    </row>
    <row r="1439" spans="3:6" x14ac:dyDescent="0.25">
      <c r="C1439" s="2" t="s">
        <v>8692</v>
      </c>
      <c r="D1439" s="2" t="s">
        <v>178</v>
      </c>
      <c r="E1439" s="2">
        <v>123</v>
      </c>
      <c r="F1439" s="2">
        <v>2509.78</v>
      </c>
    </row>
    <row r="1440" spans="3:6" x14ac:dyDescent="0.25">
      <c r="C1440" s="2" t="s">
        <v>8693</v>
      </c>
      <c r="D1440" s="2" t="s">
        <v>178</v>
      </c>
      <c r="E1440" s="2">
        <v>102</v>
      </c>
      <c r="F1440" s="2">
        <v>2139.34</v>
      </c>
    </row>
    <row r="1441" spans="3:6" x14ac:dyDescent="0.25">
      <c r="C1441" s="2" t="s">
        <v>8694</v>
      </c>
      <c r="D1441" s="2" t="s">
        <v>178</v>
      </c>
      <c r="E1441" s="2">
        <v>141</v>
      </c>
      <c r="F1441" s="2">
        <v>2874.999</v>
      </c>
    </row>
    <row r="1442" spans="3:6" x14ac:dyDescent="0.25">
      <c r="C1442" s="2" t="s">
        <v>8695</v>
      </c>
      <c r="D1442" s="2" t="s">
        <v>178</v>
      </c>
      <c r="E1442" s="2">
        <v>102</v>
      </c>
      <c r="F1442" s="2">
        <v>2027.16</v>
      </c>
    </row>
    <row r="1443" spans="3:6" x14ac:dyDescent="0.25">
      <c r="C1443" s="2" t="s">
        <v>8696</v>
      </c>
      <c r="D1443" s="2" t="s">
        <v>178</v>
      </c>
      <c r="E1443" s="2">
        <v>70</v>
      </c>
      <c r="F1443" s="2">
        <v>1260.99</v>
      </c>
    </row>
    <row r="1444" spans="3:6" x14ac:dyDescent="0.25">
      <c r="C1444" s="2" t="s">
        <v>8697</v>
      </c>
      <c r="D1444" s="2" t="s">
        <v>178</v>
      </c>
      <c r="E1444" s="2">
        <v>32</v>
      </c>
      <c r="F1444" s="2">
        <v>545.419</v>
      </c>
    </row>
    <row r="1445" spans="3:6" x14ac:dyDescent="0.25">
      <c r="C1445" s="2" t="s">
        <v>8698</v>
      </c>
      <c r="D1445" s="2" t="s">
        <v>178</v>
      </c>
      <c r="E1445" s="2">
        <v>141</v>
      </c>
      <c r="F1445" s="2">
        <v>2827.13</v>
      </c>
    </row>
    <row r="1446" spans="3:6" x14ac:dyDescent="0.25">
      <c r="C1446" s="2" t="s">
        <v>8699</v>
      </c>
      <c r="D1446" s="2" t="s">
        <v>178</v>
      </c>
      <c r="E1446" s="2">
        <v>143</v>
      </c>
      <c r="F1446" s="2">
        <v>2843.23</v>
      </c>
    </row>
    <row r="1447" spans="3:6" x14ac:dyDescent="0.25">
      <c r="C1447" s="2" t="s">
        <v>8700</v>
      </c>
      <c r="D1447" s="2" t="s">
        <v>178</v>
      </c>
      <c r="E1447" s="2">
        <v>141</v>
      </c>
      <c r="F1447" s="2">
        <v>3009.369</v>
      </c>
    </row>
    <row r="1448" spans="3:6" x14ac:dyDescent="0.25">
      <c r="C1448" s="2" t="s">
        <v>8701</v>
      </c>
      <c r="D1448" s="2" t="s">
        <v>178</v>
      </c>
      <c r="E1448" s="2">
        <v>141</v>
      </c>
      <c r="F1448" s="2">
        <v>2941.37</v>
      </c>
    </row>
    <row r="1449" spans="3:6" x14ac:dyDescent="0.25">
      <c r="C1449" s="2" t="s">
        <v>8702</v>
      </c>
      <c r="D1449" s="2" t="s">
        <v>178</v>
      </c>
      <c r="E1449" s="2">
        <v>141</v>
      </c>
      <c r="F1449" s="2">
        <v>2961.68</v>
      </c>
    </row>
    <row r="1450" spans="3:6" x14ac:dyDescent="0.25">
      <c r="C1450" s="2" t="s">
        <v>8703</v>
      </c>
      <c r="D1450" s="2" t="s">
        <v>178</v>
      </c>
      <c r="E1450" s="2">
        <v>142</v>
      </c>
      <c r="F1450" s="2">
        <v>2917.9</v>
      </c>
    </row>
    <row r="1451" spans="3:6" x14ac:dyDescent="0.25">
      <c r="C1451" s="2" t="s">
        <v>8704</v>
      </c>
      <c r="D1451" s="2" t="s">
        <v>178</v>
      </c>
      <c r="E1451" s="2">
        <v>141</v>
      </c>
      <c r="F1451" s="2">
        <v>2795.128</v>
      </c>
    </row>
    <row r="1452" spans="3:6" x14ac:dyDescent="0.25">
      <c r="C1452" s="2" t="s">
        <v>8705</v>
      </c>
      <c r="D1452" s="2" t="s">
        <v>178</v>
      </c>
      <c r="E1452" s="2">
        <v>175</v>
      </c>
      <c r="F1452" s="2">
        <v>3102.579</v>
      </c>
    </row>
    <row r="1453" spans="3:6" x14ac:dyDescent="0.25">
      <c r="C1453" s="2" t="s">
        <v>8706</v>
      </c>
      <c r="D1453" s="2" t="s">
        <v>178</v>
      </c>
      <c r="E1453" s="2">
        <v>25</v>
      </c>
      <c r="F1453" s="2">
        <v>483.04</v>
      </c>
    </row>
    <row r="1454" spans="3:6" x14ac:dyDescent="0.25">
      <c r="C1454" s="2" t="s">
        <v>8707</v>
      </c>
      <c r="D1454" s="2" t="s">
        <v>178</v>
      </c>
      <c r="E1454" s="2">
        <v>82</v>
      </c>
      <c r="F1454" s="2">
        <v>1576.77</v>
      </c>
    </row>
    <row r="1455" spans="3:6" x14ac:dyDescent="0.25">
      <c r="C1455" s="2" t="s">
        <v>8708</v>
      </c>
      <c r="D1455" s="2" t="s">
        <v>178</v>
      </c>
      <c r="E1455" s="2">
        <v>44</v>
      </c>
      <c r="F1455" s="2">
        <v>893.9</v>
      </c>
    </row>
    <row r="1456" spans="3:6" x14ac:dyDescent="0.25">
      <c r="C1456" s="2" t="s">
        <v>8709</v>
      </c>
      <c r="D1456" s="2" t="s">
        <v>178</v>
      </c>
      <c r="E1456" s="2">
        <v>32</v>
      </c>
      <c r="F1456" s="2">
        <v>562.92</v>
      </c>
    </row>
    <row r="1457" spans="3:6" x14ac:dyDescent="0.25">
      <c r="C1457" s="2" t="s">
        <v>8710</v>
      </c>
      <c r="D1457" s="2" t="s">
        <v>178</v>
      </c>
      <c r="E1457" s="2">
        <v>70</v>
      </c>
      <c r="F1457" s="2">
        <v>1433.09</v>
      </c>
    </row>
    <row r="1458" spans="3:6" x14ac:dyDescent="0.25">
      <c r="C1458" s="2" t="s">
        <v>8711</v>
      </c>
      <c r="D1458" s="2" t="s">
        <v>178</v>
      </c>
      <c r="E1458" s="2">
        <v>69</v>
      </c>
      <c r="F1458" s="2">
        <v>1428.38</v>
      </c>
    </row>
    <row r="1460" spans="1:6" x14ac:dyDescent="0.25">
      <c r="A1460" s="1">
        <v>46155</v>
      </c>
      <c r="B1460" s="2" t="s">
        <v>80</v>
      </c>
      <c r="C1460" s="2" t="s">
        <v>8712</v>
      </c>
      <c r="D1460" s="2" t="s">
        <v>292</v>
      </c>
      <c r="E1460" s="2">
        <v>36</v>
      </c>
      <c r="F1460" s="2">
        <v>798.07</v>
      </c>
    </row>
    <row r="1461" spans="3:6" x14ac:dyDescent="0.25">
      <c r="C1461" s="2" t="s">
        <v>8713</v>
      </c>
      <c r="D1461" s="2" t="s">
        <v>292</v>
      </c>
      <c r="E1461" s="2">
        <v>48</v>
      </c>
      <c r="F1461" s="2">
        <v>1001.359</v>
      </c>
    </row>
    <row r="1462" spans="3:6" x14ac:dyDescent="0.25">
      <c r="C1462" s="2" t="s">
        <v>8714</v>
      </c>
      <c r="D1462" s="2" t="s">
        <v>292</v>
      </c>
      <c r="E1462" s="2">
        <v>30</v>
      </c>
      <c r="F1462" s="2">
        <v>146.96</v>
      </c>
    </row>
    <row r="1463" spans="3:6" x14ac:dyDescent="0.25">
      <c r="C1463" s="2" t="s">
        <v>8715</v>
      </c>
      <c r="D1463" s="2" t="s">
        <v>292</v>
      </c>
      <c r="E1463" s="2">
        <v>13</v>
      </c>
      <c r="F1463" s="2">
        <v>236.2</v>
      </c>
    </row>
    <row r="1464" spans="3:6" x14ac:dyDescent="0.25">
      <c r="C1464" s="2" t="s">
        <v>8716</v>
      </c>
      <c r="D1464" s="2" t="s">
        <v>292</v>
      </c>
      <c r="E1464" s="2">
        <v>23</v>
      </c>
      <c r="F1464" s="2">
        <v>356.428</v>
      </c>
    </row>
    <row r="1465" spans="3:6" x14ac:dyDescent="0.25">
      <c r="C1465" s="2" t="s">
        <v>8717</v>
      </c>
      <c r="D1465" s="2" t="s">
        <v>292</v>
      </c>
      <c r="E1465" s="2">
        <v>27</v>
      </c>
      <c r="F1465" s="2">
        <v>556.75</v>
      </c>
    </row>
    <row r="1466" spans="3:6" x14ac:dyDescent="0.25">
      <c r="C1466" s="2" t="s">
        <v>8718</v>
      </c>
      <c r="D1466" s="2" t="s">
        <v>292</v>
      </c>
      <c r="E1466" s="2">
        <v>43</v>
      </c>
      <c r="F1466" s="2">
        <v>936.27</v>
      </c>
    </row>
    <row r="1467" spans="3:6" x14ac:dyDescent="0.25">
      <c r="C1467" s="2" t="s">
        <v>8719</v>
      </c>
      <c r="D1467" s="2" t="s">
        <v>292</v>
      </c>
      <c r="E1467" s="2">
        <v>110</v>
      </c>
      <c r="F1467" s="2">
        <v>2262.61</v>
      </c>
    </row>
    <row r="1468" spans="3:6" x14ac:dyDescent="0.25">
      <c r="C1468" s="2" t="s">
        <v>8720</v>
      </c>
      <c r="D1468" s="2" t="s">
        <v>292</v>
      </c>
      <c r="E1468" s="2">
        <v>123</v>
      </c>
      <c r="F1468" s="2">
        <v>2551.88</v>
      </c>
    </row>
    <row r="1469" spans="3:6" x14ac:dyDescent="0.25">
      <c r="C1469" s="2" t="s">
        <v>8721</v>
      </c>
      <c r="D1469" s="2" t="s">
        <v>292</v>
      </c>
      <c r="E1469" s="2">
        <v>123</v>
      </c>
      <c r="F1469" s="2">
        <v>2529.79</v>
      </c>
    </row>
    <row r="1470" spans="3:6" x14ac:dyDescent="0.25">
      <c r="C1470" s="2" t="s">
        <v>8722</v>
      </c>
      <c r="D1470" s="2" t="s">
        <v>292</v>
      </c>
      <c r="E1470" s="2">
        <v>123</v>
      </c>
      <c r="F1470" s="2">
        <v>2695.43</v>
      </c>
    </row>
    <row r="1471" spans="3:6" x14ac:dyDescent="0.25">
      <c r="C1471" s="2" t="s">
        <v>8723</v>
      </c>
      <c r="D1471" s="2" t="s">
        <v>292</v>
      </c>
      <c r="E1471" s="2">
        <v>85</v>
      </c>
      <c r="F1471" s="2">
        <v>1901.579</v>
      </c>
    </row>
    <row r="1472" spans="3:6" x14ac:dyDescent="0.25">
      <c r="C1472" s="2" t="s">
        <v>8724</v>
      </c>
      <c r="D1472" s="2" t="s">
        <v>292</v>
      </c>
      <c r="E1472" s="2">
        <v>141</v>
      </c>
      <c r="F1472" s="2">
        <v>2941.4</v>
      </c>
    </row>
    <row r="1473" spans="3:6" x14ac:dyDescent="0.25">
      <c r="C1473" s="2" t="s">
        <v>8725</v>
      </c>
      <c r="D1473" s="2" t="s">
        <v>292</v>
      </c>
      <c r="E1473" s="2">
        <v>95</v>
      </c>
      <c r="F1473" s="2">
        <v>1968.18</v>
      </c>
    </row>
    <row r="1474" spans="3:6" x14ac:dyDescent="0.25">
      <c r="C1474" s="2" t="s">
        <v>8726</v>
      </c>
      <c r="D1474" s="2" t="s">
        <v>292</v>
      </c>
      <c r="E1474" s="2">
        <v>121</v>
      </c>
      <c r="F1474" s="2">
        <v>2477.84</v>
      </c>
    </row>
    <row r="1475" spans="3:6" x14ac:dyDescent="0.25">
      <c r="C1475" s="2" t="s">
        <v>8727</v>
      </c>
      <c r="D1475" s="2" t="s">
        <v>292</v>
      </c>
      <c r="E1475" s="2">
        <v>114</v>
      </c>
      <c r="F1475" s="2">
        <v>2271.56</v>
      </c>
    </row>
    <row r="1476" spans="3:6" x14ac:dyDescent="0.25">
      <c r="C1476" s="2" t="s">
        <v>8728</v>
      </c>
      <c r="D1476" s="2" t="s">
        <v>292</v>
      </c>
      <c r="E1476" s="2">
        <v>141</v>
      </c>
      <c r="F1476" s="2">
        <v>2952.21</v>
      </c>
    </row>
    <row r="1477" spans="3:6" x14ac:dyDescent="0.25">
      <c r="C1477" s="2" t="s">
        <v>8729</v>
      </c>
      <c r="D1477" s="2" t="s">
        <v>292</v>
      </c>
      <c r="E1477" s="2">
        <v>142</v>
      </c>
      <c r="F1477" s="2">
        <v>2045.075</v>
      </c>
    </row>
    <row r="1478" spans="3:6" x14ac:dyDescent="0.25">
      <c r="C1478" s="2" t="s">
        <v>8730</v>
      </c>
      <c r="D1478" s="2" t="s">
        <v>292</v>
      </c>
      <c r="E1478" s="2">
        <v>141</v>
      </c>
      <c r="F1478" s="2">
        <v>2847.459</v>
      </c>
    </row>
    <row r="1479" spans="3:6" x14ac:dyDescent="0.25">
      <c r="C1479" s="2" t="s">
        <v>8731</v>
      </c>
      <c r="D1479" s="2" t="s">
        <v>292</v>
      </c>
      <c r="E1479" s="2">
        <v>83</v>
      </c>
      <c r="F1479" s="2">
        <v>1677.049</v>
      </c>
    </row>
    <row r="1480" spans="3:6" x14ac:dyDescent="0.25">
      <c r="C1480" s="2" t="s">
        <v>8732</v>
      </c>
      <c r="D1480" s="2" t="s">
        <v>292</v>
      </c>
      <c r="E1480" s="2">
        <v>132</v>
      </c>
      <c r="F1480" s="2">
        <v>1961.483</v>
      </c>
    </row>
    <row r="1481" spans="3:6" x14ac:dyDescent="0.25">
      <c r="C1481" s="2" t="s">
        <v>8733</v>
      </c>
      <c r="D1481" s="2" t="s">
        <v>292</v>
      </c>
      <c r="E1481" s="2">
        <v>141</v>
      </c>
      <c r="F1481" s="2">
        <v>2902.114</v>
      </c>
    </row>
    <row r="1482" spans="3:6" x14ac:dyDescent="0.25">
      <c r="C1482" s="2" t="s">
        <v>8734</v>
      </c>
      <c r="D1482" s="2" t="s">
        <v>292</v>
      </c>
      <c r="E1482" s="2">
        <v>141</v>
      </c>
      <c r="F1482" s="2">
        <v>2947.869</v>
      </c>
    </row>
    <row r="1483" spans="3:6" x14ac:dyDescent="0.25">
      <c r="C1483" s="2" t="s">
        <v>8735</v>
      </c>
      <c r="D1483" s="2" t="s">
        <v>292</v>
      </c>
      <c r="E1483" s="2">
        <v>95</v>
      </c>
      <c r="F1483" s="2">
        <v>1556.203</v>
      </c>
    </row>
    <row r="1484" spans="3:6" x14ac:dyDescent="0.25">
      <c r="C1484" s="2" t="s">
        <v>8736</v>
      </c>
      <c r="D1484" s="2" t="s">
        <v>292</v>
      </c>
      <c r="E1484" s="2">
        <v>100</v>
      </c>
      <c r="F1484" s="2">
        <v>2016.53</v>
      </c>
    </row>
    <row r="1485" spans="3:6" x14ac:dyDescent="0.25">
      <c r="C1485" s="2" t="s">
        <v>8737</v>
      </c>
      <c r="D1485" s="2" t="s">
        <v>292</v>
      </c>
      <c r="E1485" s="2">
        <v>47</v>
      </c>
      <c r="F1485" s="2">
        <v>963.199</v>
      </c>
    </row>
    <row r="1486" spans="3:6" x14ac:dyDescent="0.25">
      <c r="C1486" s="2" t="s">
        <v>8738</v>
      </c>
      <c r="D1486" s="2" t="s">
        <v>292</v>
      </c>
      <c r="E1486" s="2">
        <v>51</v>
      </c>
      <c r="F1486" s="2">
        <v>1017.173</v>
      </c>
    </row>
    <row r="1487" spans="3:6" x14ac:dyDescent="0.25">
      <c r="C1487" s="2" t="s">
        <v>8739</v>
      </c>
      <c r="D1487" s="2" t="s">
        <v>292</v>
      </c>
      <c r="E1487" s="2">
        <v>44</v>
      </c>
      <c r="F1487" s="2">
        <v>926.54</v>
      </c>
    </row>
    <row r="1488" spans="3:6" x14ac:dyDescent="0.25">
      <c r="C1488" s="2" t="s">
        <v>8740</v>
      </c>
      <c r="D1488" s="2" t="s">
        <v>292</v>
      </c>
      <c r="E1488" s="2">
        <v>57</v>
      </c>
      <c r="F1488" s="2">
        <v>1120.09</v>
      </c>
    </row>
    <row r="1489" spans="3:6" x14ac:dyDescent="0.25">
      <c r="C1489" s="2" t="s">
        <v>8741</v>
      </c>
      <c r="D1489" s="2" t="s">
        <v>292</v>
      </c>
      <c r="E1489" s="2">
        <v>10</v>
      </c>
      <c r="F1489" s="2">
        <v>204.77</v>
      </c>
    </row>
    <row r="1490" spans="3:6" x14ac:dyDescent="0.25">
      <c r="C1490" s="2" t="s">
        <v>8742</v>
      </c>
      <c r="D1490" s="2" t="s">
        <v>292</v>
      </c>
      <c r="E1490" s="2">
        <v>65</v>
      </c>
      <c r="F1490" s="2">
        <v>1343.53</v>
      </c>
    </row>
    <row r="1491" spans="3:6" x14ac:dyDescent="0.25">
      <c r="C1491" s="2" t="s">
        <v>8743</v>
      </c>
      <c r="D1491" s="2" t="s">
        <v>292</v>
      </c>
      <c r="E1491" s="2">
        <v>75</v>
      </c>
      <c r="F1491" s="2">
        <v>378.3</v>
      </c>
    </row>
    <row r="1492" spans="3:6" x14ac:dyDescent="0.25">
      <c r="C1492" s="2" t="s">
        <v>8744</v>
      </c>
      <c r="D1492" s="2" t="s">
        <v>292</v>
      </c>
      <c r="E1492" s="2">
        <v>75</v>
      </c>
      <c r="F1492" s="2">
        <v>391.73</v>
      </c>
    </row>
    <row r="1493" spans="3:6" x14ac:dyDescent="0.25">
      <c r="C1493" s="2" t="s">
        <v>8745</v>
      </c>
      <c r="D1493" s="2" t="s">
        <v>292</v>
      </c>
      <c r="E1493" s="2">
        <v>20</v>
      </c>
      <c r="F1493" s="2">
        <v>104.51</v>
      </c>
    </row>
    <row r="1494" spans="3:6" x14ac:dyDescent="0.25">
      <c r="C1494" s="2" t="s">
        <v>8746</v>
      </c>
      <c r="D1494" s="2" t="s">
        <v>292</v>
      </c>
      <c r="E1494" s="2">
        <v>58</v>
      </c>
      <c r="F1494" s="2">
        <v>1143.75</v>
      </c>
    </row>
    <row r="1495" spans="3:6" x14ac:dyDescent="0.25">
      <c r="C1495" s="2" t="s">
        <v>8747</v>
      </c>
      <c r="D1495" s="2" t="s">
        <v>292</v>
      </c>
      <c r="E1495" s="2">
        <v>21</v>
      </c>
      <c r="F1495" s="2">
        <v>394.85</v>
      </c>
    </row>
    <row r="1496" spans="3:6" x14ac:dyDescent="0.25">
      <c r="C1496" s="2" t="s">
        <v>8748</v>
      </c>
      <c r="D1496" s="2" t="s">
        <v>292</v>
      </c>
      <c r="E1496" s="2">
        <v>32</v>
      </c>
      <c r="F1496" s="2">
        <v>591.54</v>
      </c>
    </row>
    <row r="1497" spans="3:6" x14ac:dyDescent="0.25">
      <c r="C1497" s="2" t="s">
        <v>8749</v>
      </c>
      <c r="D1497" s="2" t="s">
        <v>292</v>
      </c>
      <c r="E1497" s="2">
        <v>27</v>
      </c>
      <c r="F1497" s="2">
        <v>551.799</v>
      </c>
    </row>
    <row r="1498" spans="3:6" x14ac:dyDescent="0.25">
      <c r="C1498" s="2" t="s">
        <v>8750</v>
      </c>
      <c r="D1498" s="2" t="s">
        <v>292</v>
      </c>
      <c r="E1498" s="2">
        <v>59</v>
      </c>
      <c r="F1498" s="2">
        <v>808.728</v>
      </c>
    </row>
    <row r="1499" spans="3:6" x14ac:dyDescent="0.25">
      <c r="C1499" s="2" t="s">
        <v>8751</v>
      </c>
      <c r="D1499" s="2" t="s">
        <v>292</v>
      </c>
      <c r="E1499" s="2">
        <v>20</v>
      </c>
      <c r="F1499" s="2">
        <v>400.32</v>
      </c>
    </row>
    <row r="1500" spans="3:6" x14ac:dyDescent="0.25">
      <c r="C1500" s="2" t="s">
        <v>8752</v>
      </c>
      <c r="D1500" s="2" t="s">
        <v>292</v>
      </c>
      <c r="E1500" s="2">
        <v>141</v>
      </c>
      <c r="F1500" s="2">
        <v>2903.51</v>
      </c>
    </row>
    <row r="1501" spans="3:6" x14ac:dyDescent="0.25">
      <c r="C1501" s="2" t="s">
        <v>8753</v>
      </c>
      <c r="D1501" s="2" t="s">
        <v>292</v>
      </c>
      <c r="E1501" s="2">
        <v>141</v>
      </c>
      <c r="F1501" s="2">
        <v>2903.459</v>
      </c>
    </row>
    <row r="1502" spans="3:6" x14ac:dyDescent="0.25">
      <c r="C1502" s="2" t="s">
        <v>8754</v>
      </c>
      <c r="D1502" s="2" t="s">
        <v>292</v>
      </c>
      <c r="E1502" s="2">
        <v>102</v>
      </c>
      <c r="F1502" s="2">
        <v>2074.63</v>
      </c>
    </row>
    <row r="1503" spans="3:6" x14ac:dyDescent="0.25">
      <c r="C1503" s="2" t="s">
        <v>8755</v>
      </c>
      <c r="D1503" s="2" t="s">
        <v>292</v>
      </c>
      <c r="E1503" s="2">
        <v>102</v>
      </c>
      <c r="F1503" s="2">
        <v>2094.089</v>
      </c>
    </row>
    <row r="1505" spans="1:7" x14ac:dyDescent="0.25">
      <c r="A1505" s="1">
        <v>46155</v>
      </c>
      <c r="B1505" s="2" t="s">
        <v>7</v>
      </c>
      <c r="C1505" s="2" t="s">
        <v>8756</v>
      </c>
      <c r="D1505" s="2" t="s">
        <v>9</v>
      </c>
      <c r="E1505" s="2">
        <v>99</v>
      </c>
      <c r="F1505" s="2">
        <v>1817.659</v>
      </c>
      <c r="G1505" s="1">
        <v>46155</v>
      </c>
    </row>
    <row r="1506" spans="3:6" x14ac:dyDescent="0.25">
      <c r="C1506" s="2" t="s">
        <v>8757</v>
      </c>
      <c r="D1506" s="2" t="s">
        <v>9</v>
      </c>
      <c r="E1506" s="2">
        <v>99</v>
      </c>
      <c r="F1506" s="2">
        <v>2031.441</v>
      </c>
    </row>
    <row r="1509" spans="1:7" x14ac:dyDescent="0.25">
      <c r="A1509" s="1">
        <v>46155</v>
      </c>
      <c r="B1509" s="2" t="s">
        <v>2084</v>
      </c>
      <c r="C1509" s="2" t="s">
        <v>8758</v>
      </c>
      <c r="D1509" s="2" t="s">
        <v>4096</v>
      </c>
      <c r="E1509" s="2">
        <v>100</v>
      </c>
      <c r="F1509" s="2">
        <v>1937.599</v>
      </c>
      <c r="G1509" s="1">
        <v>46155</v>
      </c>
    </row>
    <row r="1511" spans="1:7" x14ac:dyDescent="0.25">
      <c r="A1511" s="1">
        <v>46155</v>
      </c>
      <c r="B1511" s="2" t="s">
        <v>378</v>
      </c>
      <c r="C1511" s="2" t="s">
        <v>8759</v>
      </c>
      <c r="D1511" s="2" t="s">
        <v>136</v>
      </c>
      <c r="E1511" s="2">
        <v>129</v>
      </c>
      <c r="F1511" s="2">
        <v>2522.59</v>
      </c>
      <c r="G1511" s="1">
        <v>46156</v>
      </c>
    </row>
    <row r="1512" spans="3:6" x14ac:dyDescent="0.25">
      <c r="C1512" s="2" t="s">
        <v>8760</v>
      </c>
      <c r="D1512" s="2" t="s">
        <v>136</v>
      </c>
      <c r="E1512" s="2">
        <v>27</v>
      </c>
      <c r="F1512" s="2">
        <v>470.87</v>
      </c>
    </row>
    <row r="1514" spans="2:7" x14ac:dyDescent="0.25">
      <c r="B1514" s="2" t="s">
        <v>8761</v>
      </c>
      <c r="C1514" s="2" t="s">
        <v>8762</v>
      </c>
      <c r="D1514" s="2" t="s">
        <v>36</v>
      </c>
      <c r="E1514" s="2">
        <v>55</v>
      </c>
      <c r="F1514" s="2">
        <v>1001.17</v>
      </c>
      <c r="G1514" s="1">
        <v>46156</v>
      </c>
    </row>
    <row r="1515" spans="3:6" x14ac:dyDescent="0.25">
      <c r="C1515" s="2" t="s">
        <v>8763</v>
      </c>
      <c r="D1515" s="2" t="s">
        <v>36</v>
      </c>
      <c r="E1515" s="2">
        <v>50</v>
      </c>
      <c r="F1515" s="2">
        <v>933</v>
      </c>
    </row>
    <row r="1516" spans="3:6" x14ac:dyDescent="0.25">
      <c r="C1516" s="2" t="s">
        <v>8764</v>
      </c>
      <c r="D1516" s="2" t="s">
        <v>15</v>
      </c>
      <c r="E1516" s="2">
        <v>105</v>
      </c>
      <c r="F1516" s="2">
        <v>1971.319</v>
      </c>
    </row>
    <row r="1517" spans="3:6" x14ac:dyDescent="0.25">
      <c r="C1517" s="2" t="s">
        <v>8765</v>
      </c>
      <c r="D1517" s="2" t="s">
        <v>15</v>
      </c>
      <c r="E1517" s="2">
        <v>77</v>
      </c>
      <c r="F1517" s="2">
        <v>1083.839</v>
      </c>
    </row>
    <row r="1518" spans="3:6" x14ac:dyDescent="0.25">
      <c r="C1518" s="2" t="s">
        <v>8766</v>
      </c>
      <c r="D1518" s="2" t="s">
        <v>15</v>
      </c>
      <c r="E1518" s="2">
        <v>24</v>
      </c>
      <c r="F1518" s="2">
        <v>450.16</v>
      </c>
    </row>
    <row r="1519" spans="3:6" x14ac:dyDescent="0.25">
      <c r="C1519" s="2" t="s">
        <v>8767</v>
      </c>
      <c r="D1519" s="2" t="s">
        <v>15</v>
      </c>
      <c r="E1519" s="2">
        <v>148</v>
      </c>
      <c r="F1519" s="2">
        <v>2955.96</v>
      </c>
    </row>
    <row r="1520" spans="3:6" x14ac:dyDescent="0.25">
      <c r="C1520" s="2" t="s">
        <v>8768</v>
      </c>
      <c r="D1520" s="2" t="s">
        <v>15</v>
      </c>
      <c r="E1520" s="2">
        <v>105</v>
      </c>
      <c r="F1520" s="2">
        <v>2082.289</v>
      </c>
    </row>
    <row r="1521" spans="3:6" x14ac:dyDescent="0.25">
      <c r="C1521" s="2" t="s">
        <v>8769</v>
      </c>
      <c r="D1521" s="2" t="s">
        <v>30</v>
      </c>
      <c r="E1521" s="2">
        <v>163</v>
      </c>
      <c r="F1521" s="2">
        <v>3093.819</v>
      </c>
    </row>
    <row r="1522" spans="3:6" x14ac:dyDescent="0.25">
      <c r="C1522" s="2" t="s">
        <v>8770</v>
      </c>
      <c r="D1522" s="2" t="s">
        <v>30</v>
      </c>
      <c r="E1522" s="2">
        <v>163</v>
      </c>
      <c r="F1522" s="2">
        <v>3212.319</v>
      </c>
    </row>
    <row r="1523" spans="3:6" x14ac:dyDescent="0.25">
      <c r="C1523" s="2" t="s">
        <v>8771</v>
      </c>
      <c r="D1523" s="2" t="s">
        <v>15</v>
      </c>
      <c r="E1523" s="2">
        <v>156</v>
      </c>
      <c r="F1523" s="2">
        <v>3059.099</v>
      </c>
    </row>
    <row r="1524" spans="3:6" x14ac:dyDescent="0.25">
      <c r="C1524" s="2" t="s">
        <v>8772</v>
      </c>
      <c r="D1524" s="2" t="s">
        <v>15</v>
      </c>
      <c r="E1524" s="2">
        <v>156</v>
      </c>
      <c r="F1524" s="2">
        <v>2681.91</v>
      </c>
    </row>
    <row r="1525" spans="3:6" x14ac:dyDescent="0.25">
      <c r="C1525" s="2" t="s">
        <v>8773</v>
      </c>
      <c r="D1525" s="2" t="s">
        <v>15</v>
      </c>
      <c r="E1525" s="2">
        <v>156</v>
      </c>
      <c r="F1525" s="2">
        <v>3098.02</v>
      </c>
    </row>
    <row r="1526" spans="3:6" x14ac:dyDescent="0.25">
      <c r="C1526" s="2" t="s">
        <v>8774</v>
      </c>
      <c r="D1526" s="2" t="s">
        <v>15</v>
      </c>
      <c r="E1526" s="2">
        <v>156</v>
      </c>
      <c r="F1526" s="2">
        <v>3103.699</v>
      </c>
    </row>
    <row r="1527" spans="3:6" x14ac:dyDescent="0.25">
      <c r="C1527" s="2" t="s">
        <v>8775</v>
      </c>
      <c r="D1527" s="2" t="s">
        <v>15</v>
      </c>
      <c r="E1527" s="2">
        <v>156</v>
      </c>
      <c r="F1527" s="2">
        <v>3081.298</v>
      </c>
    </row>
    <row r="1528" spans="3:6" x14ac:dyDescent="0.25">
      <c r="C1528" s="2" t="s">
        <v>8776</v>
      </c>
      <c r="D1528" s="2" t="s">
        <v>26</v>
      </c>
      <c r="E1528" s="2">
        <v>156</v>
      </c>
      <c r="F1528" s="2">
        <v>3028.777</v>
      </c>
    </row>
    <row r="1529" spans="3:6" x14ac:dyDescent="0.25">
      <c r="C1529" s="2" t="s">
        <v>8777</v>
      </c>
      <c r="D1529" s="2" t="s">
        <v>36</v>
      </c>
      <c r="E1529" s="2">
        <v>80</v>
      </c>
      <c r="F1529" s="2">
        <v>1510.52</v>
      </c>
    </row>
    <row r="1530" spans="3:6" x14ac:dyDescent="0.25">
      <c r="C1530" s="2" t="s">
        <v>8778</v>
      </c>
      <c r="D1530" s="2" t="s">
        <v>36</v>
      </c>
      <c r="E1530" s="2">
        <v>76</v>
      </c>
      <c r="F1530" s="2">
        <v>1483.21</v>
      </c>
    </row>
    <row r="1531" spans="3:6" x14ac:dyDescent="0.25">
      <c r="C1531" s="2" t="s">
        <v>8629</v>
      </c>
      <c r="D1531" s="2" t="s">
        <v>15</v>
      </c>
      <c r="E1531" s="2">
        <v>105</v>
      </c>
      <c r="F1531" s="2">
        <v>2012.22</v>
      </c>
    </row>
    <row r="1532" spans="3:6" x14ac:dyDescent="0.25">
      <c r="C1532" s="2" t="s">
        <v>8779</v>
      </c>
      <c r="D1532" s="2" t="s">
        <v>30</v>
      </c>
      <c r="E1532" s="2">
        <v>134</v>
      </c>
      <c r="F1532" s="2">
        <v>2658.998</v>
      </c>
    </row>
    <row r="1533" spans="3:6" x14ac:dyDescent="0.25">
      <c r="C1533" s="2" t="s">
        <v>8780</v>
      </c>
      <c r="D1533" s="2" t="s">
        <v>30</v>
      </c>
      <c r="E1533" s="2">
        <v>134</v>
      </c>
      <c r="F1533" s="2">
        <v>2630.05</v>
      </c>
    </row>
    <row r="1534" spans="3:6" x14ac:dyDescent="0.25">
      <c r="C1534" s="2" t="s">
        <v>8781</v>
      </c>
      <c r="D1534" s="2" t="s">
        <v>30</v>
      </c>
      <c r="E1534" s="2">
        <v>134</v>
      </c>
      <c r="F1534" s="2">
        <v>2783.34</v>
      </c>
    </row>
    <row r="1535" spans="3:6" x14ac:dyDescent="0.25">
      <c r="C1535" s="2" t="s">
        <v>8782</v>
      </c>
      <c r="D1535" s="2" t="s">
        <v>30</v>
      </c>
      <c r="E1535" s="2">
        <v>134</v>
      </c>
      <c r="F1535" s="2">
        <v>2578.36</v>
      </c>
    </row>
    <row r="1536" spans="3:6" x14ac:dyDescent="0.25">
      <c r="C1536" s="2" t="s">
        <v>8783</v>
      </c>
      <c r="D1536" s="2" t="s">
        <v>30</v>
      </c>
      <c r="E1536" s="2">
        <v>134</v>
      </c>
      <c r="F1536" s="2">
        <v>2643.41</v>
      </c>
    </row>
    <row r="1537" spans="3:6" x14ac:dyDescent="0.25">
      <c r="C1537" s="2" t="s">
        <v>8784</v>
      </c>
      <c r="D1537" s="2" t="s">
        <v>30</v>
      </c>
      <c r="E1537" s="2">
        <v>134</v>
      </c>
      <c r="F1537" s="2">
        <v>2680.129</v>
      </c>
    </row>
    <row r="1538" spans="3:6" x14ac:dyDescent="0.25">
      <c r="C1538" s="2" t="s">
        <v>8546</v>
      </c>
      <c r="D1538" s="2" t="s">
        <v>15</v>
      </c>
      <c r="E1538" s="2">
        <v>36</v>
      </c>
      <c r="F1538" s="2">
        <v>726.04</v>
      </c>
    </row>
    <row r="1540" spans="2:6" x14ac:dyDescent="0.25">
      <c r="B1540" s="2" t="s">
        <v>48</v>
      </c>
      <c r="C1540" s="2" t="s">
        <v>8785</v>
      </c>
      <c r="D1540" s="2" t="s">
        <v>26</v>
      </c>
      <c r="E1540" s="2">
        <v>156</v>
      </c>
      <c r="F1540" s="2">
        <v>2564</v>
      </c>
    </row>
    <row r="1541" spans="3:6" x14ac:dyDescent="0.25">
      <c r="C1541" s="2" t="s">
        <v>8786</v>
      </c>
      <c r="D1541" s="2" t="s">
        <v>30</v>
      </c>
      <c r="E1541" s="2">
        <v>105</v>
      </c>
      <c r="F1541" s="2">
        <v>1802</v>
      </c>
    </row>
    <row r="1542" spans="3:6" x14ac:dyDescent="0.25">
      <c r="C1542" s="2" t="s">
        <v>8787</v>
      </c>
      <c r="D1542" s="2" t="s">
        <v>30</v>
      </c>
      <c r="E1542" s="2">
        <v>13</v>
      </c>
      <c r="F1542" s="2">
        <v>210</v>
      </c>
    </row>
    <row r="1543" spans="3:6" x14ac:dyDescent="0.25">
      <c r="C1543" s="2" t="s">
        <v>8788</v>
      </c>
      <c r="D1543" s="2" t="s">
        <v>30</v>
      </c>
      <c r="E1543" s="2">
        <v>143</v>
      </c>
      <c r="F1543" s="2">
        <v>2628</v>
      </c>
    </row>
    <row r="1544" spans="3:6" x14ac:dyDescent="0.25">
      <c r="C1544" s="2" t="s">
        <v>8789</v>
      </c>
      <c r="D1544" s="2" t="s">
        <v>26</v>
      </c>
      <c r="E1544" s="2">
        <v>105</v>
      </c>
      <c r="F1544" s="2">
        <v>1808</v>
      </c>
    </row>
    <row r="1545" spans="3:6" x14ac:dyDescent="0.25">
      <c r="C1545" s="2" t="s">
        <v>8790</v>
      </c>
      <c r="D1545" s="2" t="s">
        <v>30</v>
      </c>
      <c r="E1545" s="2">
        <v>156</v>
      </c>
      <c r="F1545" s="2">
        <v>2822</v>
      </c>
    </row>
    <row r="1546" spans="3:6" x14ac:dyDescent="0.25">
      <c r="C1546" s="2" t="s">
        <v>8791</v>
      </c>
      <c r="D1546" s="2" t="s">
        <v>26</v>
      </c>
      <c r="E1546" s="2">
        <v>156</v>
      </c>
      <c r="F1546" s="2">
        <v>2688</v>
      </c>
    </row>
    <row r="1547" spans="3:6" x14ac:dyDescent="0.25">
      <c r="C1547" s="2" t="s">
        <v>8792</v>
      </c>
      <c r="D1547" s="2" t="s">
        <v>30</v>
      </c>
      <c r="E1547" s="2">
        <v>105</v>
      </c>
      <c r="F1547" s="2">
        <v>1934</v>
      </c>
    </row>
    <row r="1549" spans="1:7" x14ac:dyDescent="0.25">
      <c r="A1549" s="1">
        <v>46155</v>
      </c>
      <c r="B1549" s="2" t="s">
        <v>347</v>
      </c>
      <c r="C1549" s="2" t="s">
        <v>8793</v>
      </c>
      <c r="D1549" s="2" t="s">
        <v>59</v>
      </c>
      <c r="E1549" s="2">
        <v>102</v>
      </c>
      <c r="F1549" s="2">
        <v>2054.44</v>
      </c>
      <c r="G1549" s="1">
        <v>46153</v>
      </c>
    </row>
    <row r="1550" spans="3:6" x14ac:dyDescent="0.25">
      <c r="C1550" s="2" t="s">
        <v>8794</v>
      </c>
      <c r="D1550" s="2" t="s">
        <v>59</v>
      </c>
      <c r="E1550" s="2">
        <v>222</v>
      </c>
      <c r="F1550" s="2">
        <v>3862.207</v>
      </c>
    </row>
    <row r="1551" spans="3:6" x14ac:dyDescent="0.25">
      <c r="C1551" s="2" t="s">
        <v>8795</v>
      </c>
      <c r="D1551" s="2" t="s">
        <v>59</v>
      </c>
      <c r="E1551" s="2">
        <v>149</v>
      </c>
      <c r="F1551" s="2">
        <v>2786.609</v>
      </c>
    </row>
    <row r="1552" spans="3:6" x14ac:dyDescent="0.25">
      <c r="C1552" s="2" t="s">
        <v>8796</v>
      </c>
      <c r="D1552" s="2" t="s">
        <v>59</v>
      </c>
      <c r="E1552" s="2">
        <v>149</v>
      </c>
      <c r="F1552" s="2">
        <v>2721.393</v>
      </c>
    </row>
    <row r="1554" spans="1:7" x14ac:dyDescent="0.25">
      <c r="A1554" s="1">
        <v>46155</v>
      </c>
      <c r="B1554" s="2" t="s">
        <v>427</v>
      </c>
      <c r="C1554" s="2" t="s">
        <v>8797</v>
      </c>
      <c r="D1554" s="2" t="s">
        <v>59</v>
      </c>
      <c r="E1554" s="2">
        <v>142</v>
      </c>
      <c r="F1554" s="2">
        <v>3097.659</v>
      </c>
      <c r="G1554" s="1">
        <v>46154</v>
      </c>
    </row>
    <row r="1555" spans="3:6" x14ac:dyDescent="0.25">
      <c r="C1555" s="2" t="s">
        <v>8798</v>
      </c>
      <c r="D1555" s="2" t="s">
        <v>59</v>
      </c>
      <c r="E1555" s="2">
        <v>149</v>
      </c>
      <c r="F1555" s="2">
        <v>2837.03</v>
      </c>
    </row>
    <row r="1556" spans="3:6" x14ac:dyDescent="0.25">
      <c r="C1556" s="2" t="s">
        <v>8799</v>
      </c>
      <c r="D1556" s="2" t="s">
        <v>59</v>
      </c>
      <c r="E1556" s="2">
        <v>149</v>
      </c>
      <c r="F1556" s="2">
        <v>2834.628</v>
      </c>
    </row>
    <row r="1557" spans="3:6" x14ac:dyDescent="0.25">
      <c r="C1557" s="2" t="s">
        <v>8800</v>
      </c>
      <c r="D1557" s="2" t="s">
        <v>59</v>
      </c>
      <c r="E1557" s="2">
        <v>149</v>
      </c>
      <c r="F1557" s="2">
        <v>2860.89</v>
      </c>
    </row>
    <row r="1558" spans="3:6" x14ac:dyDescent="0.25">
      <c r="C1558" s="2" t="s">
        <v>8801</v>
      </c>
      <c r="D1558" s="2" t="s">
        <v>59</v>
      </c>
      <c r="E1558" s="2">
        <v>149</v>
      </c>
      <c r="F1558" s="2">
        <v>2948.71</v>
      </c>
    </row>
    <row r="1560" spans="1:7" x14ac:dyDescent="0.25">
      <c r="A1560" s="1">
        <v>46155</v>
      </c>
      <c r="B1560" s="2" t="s">
        <v>361</v>
      </c>
      <c r="C1560" s="2" t="s">
        <v>8802</v>
      </c>
      <c r="D1560" s="2" t="s">
        <v>70</v>
      </c>
      <c r="E1560" s="2">
        <v>154</v>
      </c>
      <c r="F1560" s="2">
        <v>2938.33</v>
      </c>
      <c r="G1560" s="1">
        <v>46154</v>
      </c>
    </row>
    <row r="1562" spans="1:7" x14ac:dyDescent="0.25">
      <c r="A1562" s="1">
        <v>46156</v>
      </c>
      <c r="B1562" s="2" t="s">
        <v>433</v>
      </c>
      <c r="C1562" s="2" t="s">
        <v>8803</v>
      </c>
      <c r="D1562" s="2" t="s">
        <v>73</v>
      </c>
      <c r="E1562" s="2">
        <v>101</v>
      </c>
      <c r="F1562" s="2">
        <v>1882.399</v>
      </c>
      <c r="G1562" s="1">
        <v>46155</v>
      </c>
    </row>
    <row r="1563" spans="3:6" x14ac:dyDescent="0.25">
      <c r="C1563" s="2" t="s">
        <v>8804</v>
      </c>
      <c r="D1563" s="2" t="s">
        <v>73</v>
      </c>
      <c r="E1563" s="2">
        <v>101</v>
      </c>
      <c r="F1563" s="2">
        <v>1581.76</v>
      </c>
    </row>
    <row r="1564" spans="3:6" x14ac:dyDescent="0.25">
      <c r="C1564" s="2" t="s">
        <v>8805</v>
      </c>
      <c r="D1564" s="2" t="s">
        <v>73</v>
      </c>
      <c r="E1564" s="2">
        <v>7</v>
      </c>
      <c r="F1564" s="2">
        <v>141</v>
      </c>
    </row>
    <row r="1565" spans="3:6" x14ac:dyDescent="0.25">
      <c r="C1565" s="2" t="s">
        <v>8806</v>
      </c>
      <c r="D1565" s="2" t="s">
        <v>73</v>
      </c>
      <c r="E1565" s="2">
        <v>59</v>
      </c>
      <c r="F1565" s="2">
        <v>1052.18</v>
      </c>
    </row>
    <row r="1566" spans="3:6" x14ac:dyDescent="0.25">
      <c r="C1566" s="2" t="s">
        <v>8807</v>
      </c>
      <c r="D1566" s="2" t="s">
        <v>73</v>
      </c>
      <c r="E1566" s="2">
        <v>35</v>
      </c>
      <c r="F1566" s="2">
        <v>648.7</v>
      </c>
    </row>
    <row r="1568" spans="1:7" x14ac:dyDescent="0.25">
      <c r="A1568" s="1">
        <v>46156</v>
      </c>
      <c r="B1568" s="2" t="s">
        <v>2084</v>
      </c>
      <c r="C1568" s="2" t="s">
        <v>8808</v>
      </c>
      <c r="D1568" s="2" t="s">
        <v>4334</v>
      </c>
      <c r="E1568" s="2">
        <v>100</v>
      </c>
      <c r="F1568" s="2">
        <v>2009.079</v>
      </c>
      <c r="G1568" s="1">
        <v>46156</v>
      </c>
    </row>
    <row r="1570" spans="1:7" x14ac:dyDescent="0.25">
      <c r="A1570" s="1">
        <v>46156</v>
      </c>
      <c r="B1570" s="2" t="s">
        <v>8809</v>
      </c>
      <c r="C1570" s="2" t="s">
        <v>8810</v>
      </c>
      <c r="D1570" s="2" t="s">
        <v>4096</v>
      </c>
      <c r="E1570" s="2">
        <v>77</v>
      </c>
      <c r="F1570" s="2">
        <v>1513.37</v>
      </c>
      <c r="G1570" s="1">
        <v>46155</v>
      </c>
    </row>
    <row r="1571" spans="3:6" x14ac:dyDescent="0.25">
      <c r="C1571" s="2" t="s">
        <v>8811</v>
      </c>
      <c r="D1571" s="2" t="s">
        <v>4096</v>
      </c>
      <c r="E1571" s="2">
        <v>23</v>
      </c>
      <c r="F1571" s="2">
        <v>471.9</v>
      </c>
    </row>
    <row r="1573" spans="1:7" x14ac:dyDescent="0.25">
      <c r="A1573" s="1">
        <v>46156</v>
      </c>
      <c r="B1573" s="2" t="s">
        <v>7875</v>
      </c>
      <c r="C1573" s="2" t="s">
        <v>8812</v>
      </c>
      <c r="D1573" s="2" t="s">
        <v>59</v>
      </c>
      <c r="E1573" s="2">
        <v>129</v>
      </c>
      <c r="F1573" s="2">
        <v>1937.944</v>
      </c>
      <c r="G1573" s="1">
        <v>46155</v>
      </c>
    </row>
    <row r="1574" spans="3:6" x14ac:dyDescent="0.25">
      <c r="C1574" s="2" t="s">
        <v>8813</v>
      </c>
      <c r="D1574" s="2" t="s">
        <v>59</v>
      </c>
      <c r="E1574" s="2">
        <v>208</v>
      </c>
      <c r="F1574" s="2">
        <v>4528.549</v>
      </c>
    </row>
    <row r="1575" spans="3:6" x14ac:dyDescent="0.25">
      <c r="C1575" s="2" t="s">
        <v>8814</v>
      </c>
      <c r="D1575" s="2" t="s">
        <v>59</v>
      </c>
      <c r="E1575" s="2">
        <v>149</v>
      </c>
      <c r="F1575" s="2">
        <v>2867.215</v>
      </c>
    </row>
    <row r="1576" spans="3:6" x14ac:dyDescent="0.25">
      <c r="C1576" s="2" t="s">
        <v>8815</v>
      </c>
      <c r="D1576" s="2" t="s">
        <v>59</v>
      </c>
      <c r="E1576" s="2">
        <v>102</v>
      </c>
      <c r="F1576" s="2">
        <v>1890.8</v>
      </c>
    </row>
    <row r="1578" spans="1:7" x14ac:dyDescent="0.25">
      <c r="A1578" s="1">
        <v>46156</v>
      </c>
      <c r="B1578" s="2" t="s">
        <v>2428</v>
      </c>
      <c r="C1578" s="2" t="s">
        <v>8816</v>
      </c>
      <c r="D1578" s="2" t="s">
        <v>59</v>
      </c>
      <c r="E1578" s="2">
        <v>281</v>
      </c>
      <c r="F1578" s="2">
        <v>5061.782</v>
      </c>
      <c r="G1578" s="1">
        <v>46156</v>
      </c>
    </row>
    <row r="1579" spans="3:6" x14ac:dyDescent="0.25">
      <c r="C1579" s="2" t="s">
        <v>8817</v>
      </c>
      <c r="D1579" s="2" t="s">
        <v>59</v>
      </c>
      <c r="E1579" s="2">
        <v>105</v>
      </c>
      <c r="F1579" s="2">
        <v>2174.61</v>
      </c>
    </row>
    <row r="1580" spans="3:6" x14ac:dyDescent="0.25">
      <c r="C1580" s="2" t="s">
        <v>8818</v>
      </c>
      <c r="D1580" s="2" t="s">
        <v>59</v>
      </c>
      <c r="E1580" s="2">
        <v>105</v>
      </c>
      <c r="F1580" s="2">
        <v>2170.28</v>
      </c>
    </row>
    <row r="1581" spans="3:6" x14ac:dyDescent="0.25">
      <c r="C1581" s="2" t="s">
        <v>8819</v>
      </c>
      <c r="D1581" s="2" t="s">
        <v>59</v>
      </c>
      <c r="E1581" s="2">
        <v>105</v>
      </c>
      <c r="F1581" s="2">
        <v>2072.22</v>
      </c>
    </row>
    <row r="1582" spans="3:6" x14ac:dyDescent="0.25">
      <c r="C1582" s="2" t="s">
        <v>8820</v>
      </c>
      <c r="D1582" s="2" t="s">
        <v>59</v>
      </c>
      <c r="E1582" s="2">
        <v>105</v>
      </c>
      <c r="F1582" s="2">
        <v>2148.16</v>
      </c>
    </row>
    <row r="1583" spans="3:6" x14ac:dyDescent="0.25">
      <c r="C1583" s="2" t="s">
        <v>8821</v>
      </c>
      <c r="D1583" s="2" t="s">
        <v>59</v>
      </c>
      <c r="E1583" s="2">
        <v>108</v>
      </c>
      <c r="F1583" s="2">
        <v>2166.19</v>
      </c>
    </row>
    <row r="1584" spans="3:6" x14ac:dyDescent="0.25">
      <c r="C1584" s="2" t="s">
        <v>8822</v>
      </c>
      <c r="D1584" s="2" t="s">
        <v>59</v>
      </c>
      <c r="E1584" s="2">
        <v>267</v>
      </c>
      <c r="F1584" s="2">
        <v>4845.073</v>
      </c>
    </row>
    <row r="1585" spans="3:6" x14ac:dyDescent="0.25">
      <c r="C1585" s="2" t="s">
        <v>8823</v>
      </c>
      <c r="D1585" s="2" t="s">
        <v>59</v>
      </c>
      <c r="E1585" s="2">
        <v>257</v>
      </c>
      <c r="F1585" s="2">
        <v>5046.933</v>
      </c>
    </row>
    <row r="1587" spans="1:7" x14ac:dyDescent="0.25">
      <c r="A1587" s="1">
        <v>46157</v>
      </c>
      <c r="B1587" s="2" t="s">
        <v>71</v>
      </c>
      <c r="C1587" s="2" t="s">
        <v>8824</v>
      </c>
      <c r="D1587" s="2" t="s">
        <v>73</v>
      </c>
      <c r="E1587" s="2">
        <v>77</v>
      </c>
      <c r="F1587" s="2">
        <v>1688.68</v>
      </c>
      <c r="G1587" s="1">
        <v>46156</v>
      </c>
    </row>
    <row r="1588" spans="3:6" x14ac:dyDescent="0.25">
      <c r="C1588" s="2" t="s">
        <v>8825</v>
      </c>
      <c r="D1588" s="2" t="s">
        <v>73</v>
      </c>
      <c r="E1588" s="2">
        <v>49</v>
      </c>
      <c r="F1588" s="2">
        <v>914.319</v>
      </c>
    </row>
    <row r="1589" spans="3:6" x14ac:dyDescent="0.25">
      <c r="C1589" s="2" t="s">
        <v>8826</v>
      </c>
      <c r="D1589" s="2" t="s">
        <v>73</v>
      </c>
      <c r="E1589" s="2">
        <v>50</v>
      </c>
      <c r="F1589" s="2">
        <v>829.73</v>
      </c>
    </row>
    <row r="1590" spans="3:6" x14ac:dyDescent="0.25">
      <c r="C1590" s="2" t="s">
        <v>8827</v>
      </c>
      <c r="D1590" s="2" t="s">
        <v>73</v>
      </c>
      <c r="E1590" s="2">
        <v>85</v>
      </c>
      <c r="F1590" s="2">
        <v>1732.33</v>
      </c>
    </row>
    <row r="1591" spans="3:6" x14ac:dyDescent="0.25">
      <c r="C1591" s="2" t="s">
        <v>8828</v>
      </c>
      <c r="D1591" s="2" t="s">
        <v>73</v>
      </c>
      <c r="E1591" s="2">
        <v>11</v>
      </c>
      <c r="F1591" s="2">
        <v>195.85</v>
      </c>
    </row>
    <row r="1593" spans="1:7" x14ac:dyDescent="0.25">
      <c r="A1593" s="1">
        <v>46157</v>
      </c>
      <c r="B1593" s="2" t="s">
        <v>229</v>
      </c>
      <c r="C1593" s="2" t="s">
        <v>8829</v>
      </c>
      <c r="D1593" s="2" t="s">
        <v>82</v>
      </c>
      <c r="E1593" s="2">
        <v>71</v>
      </c>
      <c r="F1593" s="2">
        <v>2221.722</v>
      </c>
      <c r="G1593" s="1">
        <v>46156</v>
      </c>
    </row>
    <row r="1594" spans="3:6" x14ac:dyDescent="0.25">
      <c r="C1594" s="2" t="s">
        <v>8830</v>
      </c>
      <c r="D1594" s="2" t="s">
        <v>82</v>
      </c>
      <c r="E1594" s="2">
        <v>79</v>
      </c>
      <c r="F1594" s="2">
        <v>2396.498</v>
      </c>
    </row>
    <row r="1595" spans="3:6" x14ac:dyDescent="0.25">
      <c r="C1595" s="2" t="s">
        <v>8831</v>
      </c>
      <c r="D1595" s="2" t="s">
        <v>82</v>
      </c>
      <c r="E1595" s="2">
        <v>11</v>
      </c>
      <c r="F1595" s="2">
        <v>192.59</v>
      </c>
    </row>
    <row r="1596" spans="3:6" x14ac:dyDescent="0.25">
      <c r="C1596" s="2" t="s">
        <v>8832</v>
      </c>
      <c r="D1596" s="2" t="s">
        <v>82</v>
      </c>
      <c r="E1596" s="2">
        <v>37</v>
      </c>
      <c r="F1596" s="2">
        <v>687.95</v>
      </c>
    </row>
    <row r="1597" spans="3:6" x14ac:dyDescent="0.25">
      <c r="C1597" s="2" t="s">
        <v>8833</v>
      </c>
      <c r="D1597" s="2" t="s">
        <v>82</v>
      </c>
      <c r="E1597" s="2">
        <v>38</v>
      </c>
      <c r="F1597" s="2">
        <v>766.13</v>
      </c>
    </row>
    <row r="1598" spans="3:6" x14ac:dyDescent="0.25">
      <c r="C1598" s="2" t="s">
        <v>8834</v>
      </c>
      <c r="D1598" s="2" t="s">
        <v>82</v>
      </c>
      <c r="E1598" s="2">
        <v>16</v>
      </c>
      <c r="F1598" s="2">
        <v>303.43</v>
      </c>
    </row>
    <row r="1599" spans="3:6" x14ac:dyDescent="0.25">
      <c r="C1599" s="2" t="s">
        <v>8835</v>
      </c>
      <c r="D1599" s="2" t="s">
        <v>82</v>
      </c>
      <c r="E1599" s="2">
        <v>8</v>
      </c>
      <c r="F1599" s="2">
        <v>99.042</v>
      </c>
    </row>
    <row r="1600" spans="3:6" x14ac:dyDescent="0.25">
      <c r="C1600" s="2" t="s">
        <v>8836</v>
      </c>
      <c r="D1600" s="2" t="s">
        <v>82</v>
      </c>
      <c r="E1600" s="2">
        <v>11</v>
      </c>
      <c r="F1600" s="2">
        <v>203.47</v>
      </c>
    </row>
    <row r="1601" spans="3:6" x14ac:dyDescent="0.25">
      <c r="C1601" s="2" t="s">
        <v>8837</v>
      </c>
      <c r="D1601" s="2" t="s">
        <v>82</v>
      </c>
      <c r="E1601" s="2">
        <v>45</v>
      </c>
      <c r="F1601" s="2">
        <v>501.911</v>
      </c>
    </row>
    <row r="1602" spans="3:6" x14ac:dyDescent="0.25">
      <c r="C1602" s="2" t="s">
        <v>8838</v>
      </c>
      <c r="D1602" s="2" t="s">
        <v>82</v>
      </c>
      <c r="E1602" s="2">
        <v>30</v>
      </c>
      <c r="F1602" s="2">
        <v>608.1</v>
      </c>
    </row>
    <row r="1603" spans="3:6" x14ac:dyDescent="0.25">
      <c r="C1603" s="2" t="s">
        <v>8839</v>
      </c>
      <c r="D1603" s="2" t="s">
        <v>82</v>
      </c>
      <c r="E1603" s="2">
        <v>43</v>
      </c>
      <c r="F1603" s="2">
        <v>920.74</v>
      </c>
    </row>
    <row r="1604" spans="3:6" x14ac:dyDescent="0.25">
      <c r="C1604" s="2" t="s">
        <v>8840</v>
      </c>
      <c r="D1604" s="2" t="s">
        <v>82</v>
      </c>
      <c r="E1604" s="2">
        <v>29</v>
      </c>
      <c r="F1604" s="2">
        <v>576.04</v>
      </c>
    </row>
    <row r="1605" spans="3:6" x14ac:dyDescent="0.25">
      <c r="C1605" s="2" t="s">
        <v>8841</v>
      </c>
      <c r="D1605" s="2" t="s">
        <v>82</v>
      </c>
      <c r="E1605" s="2">
        <v>82</v>
      </c>
      <c r="F1605" s="2">
        <v>1683.199</v>
      </c>
    </row>
    <row r="1606" spans="3:6" x14ac:dyDescent="0.25">
      <c r="C1606" s="2" t="s">
        <v>8842</v>
      </c>
      <c r="D1606" s="2" t="s">
        <v>82</v>
      </c>
      <c r="E1606" s="2">
        <v>20</v>
      </c>
      <c r="F1606" s="2">
        <v>404.24</v>
      </c>
    </row>
    <row r="1607" spans="3:6" x14ac:dyDescent="0.25">
      <c r="C1607" s="2" t="s">
        <v>8843</v>
      </c>
      <c r="D1607" s="2" t="s">
        <v>82</v>
      </c>
      <c r="E1607" s="2">
        <v>140</v>
      </c>
      <c r="F1607" s="2">
        <v>611.918</v>
      </c>
    </row>
    <row r="1608" spans="3:6" x14ac:dyDescent="0.25">
      <c r="C1608" s="2" t="s">
        <v>8844</v>
      </c>
      <c r="D1608" s="2" t="s">
        <v>82</v>
      </c>
      <c r="E1608" s="2">
        <v>135</v>
      </c>
      <c r="F1608" s="2">
        <v>2753.26</v>
      </c>
    </row>
    <row r="1609" spans="3:6" x14ac:dyDescent="0.25">
      <c r="C1609" s="2" t="s">
        <v>8845</v>
      </c>
      <c r="D1609" s="2" t="s">
        <v>82</v>
      </c>
      <c r="E1609" s="2">
        <v>123</v>
      </c>
      <c r="F1609" s="2">
        <v>2537.15</v>
      </c>
    </row>
    <row r="1610" spans="3:6" x14ac:dyDescent="0.25">
      <c r="C1610" s="2" t="s">
        <v>8846</v>
      </c>
      <c r="D1610" s="2" t="s">
        <v>82</v>
      </c>
      <c r="E1610" s="2">
        <v>123</v>
      </c>
      <c r="F1610" s="2">
        <v>2560.799</v>
      </c>
    </row>
    <row r="1611" spans="3:6" x14ac:dyDescent="0.25">
      <c r="C1611" s="2" t="s">
        <v>8847</v>
      </c>
      <c r="D1611" s="2" t="s">
        <v>82</v>
      </c>
      <c r="E1611" s="2">
        <v>121</v>
      </c>
      <c r="F1611" s="2">
        <v>2506.728</v>
      </c>
    </row>
    <row r="1612" spans="3:6" x14ac:dyDescent="0.25">
      <c r="C1612" s="2" t="s">
        <v>8848</v>
      </c>
      <c r="D1612" s="2" t="s">
        <v>82</v>
      </c>
      <c r="E1612" s="2">
        <v>121</v>
      </c>
      <c r="F1612" s="2">
        <v>2501.84</v>
      </c>
    </row>
    <row r="1613" spans="3:6" x14ac:dyDescent="0.25">
      <c r="C1613" s="2" t="s">
        <v>8849</v>
      </c>
      <c r="D1613" s="2" t="s">
        <v>82</v>
      </c>
      <c r="E1613" s="2">
        <v>92</v>
      </c>
      <c r="F1613" s="2">
        <v>1830.679</v>
      </c>
    </row>
    <row r="1614" spans="3:6" x14ac:dyDescent="0.25">
      <c r="C1614" s="2" t="s">
        <v>8850</v>
      </c>
      <c r="D1614" s="2" t="s">
        <v>82</v>
      </c>
      <c r="E1614" s="2">
        <v>49</v>
      </c>
      <c r="F1614" s="2">
        <v>909.96</v>
      </c>
    </row>
    <row r="1615" spans="3:6" x14ac:dyDescent="0.25">
      <c r="C1615" s="2" t="s">
        <v>8851</v>
      </c>
      <c r="D1615" s="2" t="s">
        <v>82</v>
      </c>
      <c r="E1615" s="2">
        <v>79</v>
      </c>
      <c r="F1615" s="2">
        <v>1523.68</v>
      </c>
    </row>
    <row r="1616" spans="3:6" x14ac:dyDescent="0.25">
      <c r="C1616" s="2" t="s">
        <v>8852</v>
      </c>
      <c r="D1616" s="2" t="s">
        <v>82</v>
      </c>
      <c r="E1616" s="2">
        <v>62</v>
      </c>
      <c r="F1616" s="2">
        <v>1267.12</v>
      </c>
    </row>
    <row r="1617" spans="3:6" x14ac:dyDescent="0.25">
      <c r="C1617" s="2" t="s">
        <v>8853</v>
      </c>
      <c r="D1617" s="2" t="s">
        <v>82</v>
      </c>
      <c r="E1617" s="2">
        <v>141</v>
      </c>
      <c r="F1617" s="2">
        <v>2879.17</v>
      </c>
    </row>
    <row r="1618" spans="3:6" x14ac:dyDescent="0.25">
      <c r="C1618" s="2" t="s">
        <v>8854</v>
      </c>
      <c r="D1618" s="2" t="s">
        <v>82</v>
      </c>
      <c r="E1618" s="2">
        <v>102</v>
      </c>
      <c r="F1618" s="2">
        <v>2127.33</v>
      </c>
    </row>
    <row r="1619" spans="3:6" x14ac:dyDescent="0.25">
      <c r="C1619" s="2" t="s">
        <v>8855</v>
      </c>
      <c r="D1619" s="2" t="s">
        <v>82</v>
      </c>
      <c r="E1619" s="2">
        <v>85</v>
      </c>
      <c r="F1619" s="2">
        <v>1741.36</v>
      </c>
    </row>
    <row r="1620" spans="3:6" x14ac:dyDescent="0.25">
      <c r="C1620" s="2" t="s">
        <v>8856</v>
      </c>
      <c r="D1620" s="2" t="s">
        <v>82</v>
      </c>
      <c r="E1620" s="2">
        <v>56</v>
      </c>
      <c r="F1620" s="2">
        <v>1046.2</v>
      </c>
    </row>
    <row r="1621" spans="3:6" x14ac:dyDescent="0.25">
      <c r="C1621" s="2" t="s">
        <v>8857</v>
      </c>
      <c r="D1621" s="2" t="s">
        <v>82</v>
      </c>
      <c r="E1621" s="2">
        <v>59</v>
      </c>
      <c r="F1621" s="2">
        <v>1222.23</v>
      </c>
    </row>
    <row r="1622" spans="3:6" x14ac:dyDescent="0.25">
      <c r="C1622" s="2" t="s">
        <v>8858</v>
      </c>
      <c r="D1622" s="2" t="s">
        <v>82</v>
      </c>
      <c r="E1622" s="2">
        <v>39</v>
      </c>
      <c r="F1622" s="2">
        <v>796.55</v>
      </c>
    </row>
    <row r="1623" spans="3:6" x14ac:dyDescent="0.25">
      <c r="C1623" s="2" t="s">
        <v>8859</v>
      </c>
      <c r="D1623" s="2" t="s">
        <v>82</v>
      </c>
      <c r="E1623" s="2">
        <v>43</v>
      </c>
      <c r="F1623" s="2">
        <v>865.37</v>
      </c>
    </row>
    <row r="1624" spans="3:6" x14ac:dyDescent="0.25">
      <c r="C1624" s="2" t="s">
        <v>8860</v>
      </c>
      <c r="D1624" s="2" t="s">
        <v>82</v>
      </c>
      <c r="E1624" s="2">
        <v>141</v>
      </c>
      <c r="F1624" s="2">
        <v>2730.55</v>
      </c>
    </row>
    <row r="1625" spans="3:6" x14ac:dyDescent="0.25">
      <c r="C1625" s="2" t="s">
        <v>8861</v>
      </c>
      <c r="D1625" s="2" t="s">
        <v>82</v>
      </c>
      <c r="E1625" s="2">
        <v>69</v>
      </c>
      <c r="F1625" s="2">
        <v>1470</v>
      </c>
    </row>
    <row r="1626" spans="3:6" x14ac:dyDescent="0.25">
      <c r="C1626" s="2" t="s">
        <v>8862</v>
      </c>
      <c r="D1626" s="2" t="s">
        <v>82</v>
      </c>
      <c r="E1626" s="2" t="s">
        <v>4167</v>
      </c>
      <c r="F1626" s="2" t="s">
        <v>4167</v>
      </c>
    </row>
    <row r="1627" spans="3:6" x14ac:dyDescent="0.25">
      <c r="C1627" s="2" t="s">
        <v>8863</v>
      </c>
      <c r="D1627" s="2" t="s">
        <v>82</v>
      </c>
      <c r="E1627" s="2">
        <v>141</v>
      </c>
      <c r="F1627" s="2">
        <v>2827.19</v>
      </c>
    </row>
    <row r="1628" spans="3:6" x14ac:dyDescent="0.25">
      <c r="C1628" s="2" t="s">
        <v>8864</v>
      </c>
      <c r="D1628" s="2" t="s">
        <v>82</v>
      </c>
      <c r="E1628" s="2">
        <v>141</v>
      </c>
      <c r="F1628" s="2">
        <v>2916.35</v>
      </c>
    </row>
    <row r="1629" spans="3:6" x14ac:dyDescent="0.25">
      <c r="C1629" s="2" t="s">
        <v>8865</v>
      </c>
      <c r="D1629" s="2" t="s">
        <v>82</v>
      </c>
      <c r="E1629" s="2">
        <v>11</v>
      </c>
      <c r="F1629" s="2">
        <v>139.24</v>
      </c>
    </row>
    <row r="1630" spans="3:6" x14ac:dyDescent="0.25">
      <c r="C1630" s="2" t="s">
        <v>8866</v>
      </c>
      <c r="D1630" s="2" t="s">
        <v>82</v>
      </c>
      <c r="E1630" s="2">
        <v>130</v>
      </c>
      <c r="F1630" s="2">
        <v>2567.269</v>
      </c>
    </row>
    <row r="1631" spans="3:6" x14ac:dyDescent="0.25">
      <c r="C1631" s="2" t="s">
        <v>8867</v>
      </c>
      <c r="D1631" s="2" t="s">
        <v>82</v>
      </c>
      <c r="E1631" s="2">
        <v>60</v>
      </c>
      <c r="F1631" s="2">
        <v>1210.97</v>
      </c>
    </row>
    <row r="1632" spans="3:6" x14ac:dyDescent="0.25">
      <c r="C1632" s="2" t="s">
        <v>8868</v>
      </c>
      <c r="D1632" s="2" t="s">
        <v>82</v>
      </c>
      <c r="E1632" s="2">
        <v>81</v>
      </c>
      <c r="F1632" s="2">
        <v>1632.38</v>
      </c>
    </row>
    <row r="1633" spans="3:6" x14ac:dyDescent="0.25">
      <c r="C1633" s="2" t="s">
        <v>8869</v>
      </c>
      <c r="D1633" s="2" t="s">
        <v>82</v>
      </c>
      <c r="E1633" s="2">
        <v>60</v>
      </c>
      <c r="F1633" s="2">
        <v>262.93</v>
      </c>
    </row>
    <row r="1635" spans="2:7" x14ac:dyDescent="0.25">
      <c r="B1635" s="2" t="s">
        <v>8870</v>
      </c>
      <c r="C1635" s="2" t="s">
        <v>8871</v>
      </c>
      <c r="D1635" s="2" t="s">
        <v>82</v>
      </c>
      <c r="E1635" s="2" t="s">
        <v>4167</v>
      </c>
      <c r="F1635" s="2" t="s">
        <v>4167</v>
      </c>
      <c r="G1635" s="1">
        <v>46156</v>
      </c>
    </row>
    <row r="1636" spans="3:6" x14ac:dyDescent="0.25">
      <c r="C1636" s="2" t="s">
        <v>8872</v>
      </c>
      <c r="D1636" s="2" t="s">
        <v>82</v>
      </c>
      <c r="E1636" s="2" t="s">
        <v>4167</v>
      </c>
      <c r="F1636" s="2" t="s">
        <v>4167</v>
      </c>
    </row>
    <row r="1638" spans="1:7" x14ac:dyDescent="0.25">
      <c r="A1638" s="1">
        <v>46157</v>
      </c>
      <c r="B1638" s="2" t="s">
        <v>897</v>
      </c>
      <c r="C1638" s="2" t="s">
        <v>8873</v>
      </c>
      <c r="D1638" s="2" t="s">
        <v>292</v>
      </c>
      <c r="E1638" s="2">
        <v>21</v>
      </c>
      <c r="F1638" s="2">
        <v>426.89</v>
      </c>
      <c r="G1638" s="1">
        <v>46156</v>
      </c>
    </row>
    <row r="1639" spans="3:6" x14ac:dyDescent="0.25">
      <c r="C1639" s="2" t="s">
        <v>8874</v>
      </c>
      <c r="D1639" s="2" t="s">
        <v>292</v>
      </c>
      <c r="E1639" s="2">
        <v>35</v>
      </c>
      <c r="F1639" s="2">
        <v>729.09</v>
      </c>
    </row>
    <row r="1640" spans="3:6" x14ac:dyDescent="0.25">
      <c r="C1640" s="2" t="s">
        <v>8875</v>
      </c>
      <c r="D1640" s="2" t="s">
        <v>292</v>
      </c>
      <c r="E1640" s="2">
        <v>32</v>
      </c>
      <c r="F1640" s="2">
        <v>510.348</v>
      </c>
    </row>
    <row r="1641" spans="3:6" x14ac:dyDescent="0.25">
      <c r="C1641" s="2" t="s">
        <v>8876</v>
      </c>
      <c r="D1641" s="2" t="s">
        <v>292</v>
      </c>
      <c r="E1641" s="2">
        <v>14</v>
      </c>
      <c r="F1641" s="2">
        <v>250.57</v>
      </c>
    </row>
    <row r="1642" spans="3:6" x14ac:dyDescent="0.25">
      <c r="C1642" s="2" t="s">
        <v>8877</v>
      </c>
      <c r="D1642" s="2" t="s">
        <v>292</v>
      </c>
      <c r="E1642" s="2">
        <v>30</v>
      </c>
      <c r="F1642" s="2">
        <v>147.69</v>
      </c>
    </row>
    <row r="1643" spans="3:6" x14ac:dyDescent="0.25">
      <c r="C1643" s="2" t="s">
        <v>8878</v>
      </c>
      <c r="D1643" s="2" t="s">
        <v>292</v>
      </c>
      <c r="E1643" s="2">
        <v>11</v>
      </c>
      <c r="F1643" s="2">
        <v>141.4</v>
      </c>
    </row>
    <row r="1644" spans="3:6" x14ac:dyDescent="0.25">
      <c r="C1644" s="2" t="s">
        <v>8879</v>
      </c>
      <c r="D1644" s="2" t="s">
        <v>292</v>
      </c>
      <c r="E1644" s="2">
        <v>17</v>
      </c>
      <c r="F1644" s="2">
        <v>340.05</v>
      </c>
    </row>
    <row r="1645" spans="3:6" x14ac:dyDescent="0.25">
      <c r="C1645" s="2" t="s">
        <v>8880</v>
      </c>
      <c r="D1645" s="2" t="s">
        <v>292</v>
      </c>
      <c r="E1645" s="2">
        <v>6</v>
      </c>
      <c r="F1645" s="2">
        <v>65.41</v>
      </c>
    </row>
    <row r="1646" spans="3:6" x14ac:dyDescent="0.25">
      <c r="C1646" s="2" t="s">
        <v>8881</v>
      </c>
      <c r="D1646" s="2" t="s">
        <v>292</v>
      </c>
      <c r="E1646" s="2">
        <v>123</v>
      </c>
      <c r="F1646" s="2">
        <v>2375.857</v>
      </c>
    </row>
    <row r="1647" spans="3:6" x14ac:dyDescent="0.25">
      <c r="C1647" s="2" t="s">
        <v>8882</v>
      </c>
      <c r="D1647" s="2" t="s">
        <v>292</v>
      </c>
      <c r="E1647" s="2">
        <v>109</v>
      </c>
      <c r="F1647" s="2">
        <v>2234.236</v>
      </c>
    </row>
    <row r="1648" spans="3:6" x14ac:dyDescent="0.25">
      <c r="C1648" s="2" t="s">
        <v>8883</v>
      </c>
      <c r="D1648" s="2" t="s">
        <v>292</v>
      </c>
      <c r="E1648" s="2">
        <v>123</v>
      </c>
      <c r="F1648" s="2">
        <v>2464.086</v>
      </c>
    </row>
    <row r="1649" spans="3:6" x14ac:dyDescent="0.25">
      <c r="C1649" s="2" t="s">
        <v>8884</v>
      </c>
      <c r="D1649" s="2" t="s">
        <v>292</v>
      </c>
      <c r="E1649" s="2">
        <v>119</v>
      </c>
      <c r="F1649" s="2">
        <v>1508.851</v>
      </c>
    </row>
    <row r="1650" spans="3:6" x14ac:dyDescent="0.25">
      <c r="C1650" s="2" t="s">
        <v>8885</v>
      </c>
      <c r="D1650" s="2" t="s">
        <v>292</v>
      </c>
      <c r="E1650" s="2">
        <v>141</v>
      </c>
      <c r="F1650" s="2">
        <v>2912.02</v>
      </c>
    </row>
    <row r="1651" spans="3:6" x14ac:dyDescent="0.25">
      <c r="C1651" s="2" t="s">
        <v>8886</v>
      </c>
      <c r="D1651" s="2" t="s">
        <v>292</v>
      </c>
      <c r="E1651" s="2">
        <v>127</v>
      </c>
      <c r="F1651" s="2">
        <v>2588.19</v>
      </c>
    </row>
    <row r="1652" spans="3:6" x14ac:dyDescent="0.25">
      <c r="C1652" s="2" t="s">
        <v>8887</v>
      </c>
      <c r="D1652" s="2" t="s">
        <v>292</v>
      </c>
      <c r="E1652" s="2">
        <v>74</v>
      </c>
      <c r="F1652" s="2">
        <v>1506.698</v>
      </c>
    </row>
    <row r="1653" spans="3:6" x14ac:dyDescent="0.25">
      <c r="C1653" s="2" t="s">
        <v>8888</v>
      </c>
      <c r="D1653" s="2" t="s">
        <v>292</v>
      </c>
      <c r="E1653" s="2">
        <v>64</v>
      </c>
      <c r="F1653" s="2">
        <v>1322.859</v>
      </c>
    </row>
    <row r="1654" spans="3:6" x14ac:dyDescent="0.25">
      <c r="C1654" s="2" t="s">
        <v>8889</v>
      </c>
      <c r="D1654" s="2" t="s">
        <v>292</v>
      </c>
      <c r="E1654" s="2">
        <v>95</v>
      </c>
      <c r="F1654" s="2">
        <v>449.718</v>
      </c>
    </row>
    <row r="1655" spans="3:6" x14ac:dyDescent="0.25">
      <c r="C1655" s="2" t="s">
        <v>8890</v>
      </c>
      <c r="D1655" s="2" t="s">
        <v>292</v>
      </c>
      <c r="E1655" s="2">
        <v>94</v>
      </c>
      <c r="F1655" s="2">
        <v>2011.29</v>
      </c>
    </row>
    <row r="1656" spans="3:6" x14ac:dyDescent="0.25">
      <c r="C1656" s="2" t="s">
        <v>8891</v>
      </c>
      <c r="D1656" s="2" t="s">
        <v>292</v>
      </c>
      <c r="E1656" s="2">
        <v>69</v>
      </c>
      <c r="F1656" s="2">
        <v>1414.05</v>
      </c>
    </row>
    <row r="1657" spans="3:6" x14ac:dyDescent="0.25">
      <c r="C1657" s="2" t="s">
        <v>8892</v>
      </c>
      <c r="D1657" s="2" t="s">
        <v>292</v>
      </c>
      <c r="E1657" s="2">
        <v>141</v>
      </c>
      <c r="F1657" s="2">
        <v>2824.059</v>
      </c>
    </row>
    <row r="1658" spans="3:6" x14ac:dyDescent="0.25">
      <c r="C1658" s="2" t="s">
        <v>8893</v>
      </c>
      <c r="D1658" s="2" t="s">
        <v>292</v>
      </c>
      <c r="E1658" s="2">
        <v>141</v>
      </c>
      <c r="F1658" s="2">
        <v>2793.945</v>
      </c>
    </row>
    <row r="1659" spans="3:6" x14ac:dyDescent="0.25">
      <c r="C1659" s="2" t="s">
        <v>8894</v>
      </c>
      <c r="D1659" s="2" t="s">
        <v>292</v>
      </c>
      <c r="E1659" s="2">
        <v>141</v>
      </c>
      <c r="F1659" s="2">
        <v>3065.22</v>
      </c>
    </row>
    <row r="1660" spans="3:6" x14ac:dyDescent="0.25">
      <c r="C1660" s="2" t="s">
        <v>8895</v>
      </c>
      <c r="D1660" s="2" t="s">
        <v>292</v>
      </c>
      <c r="E1660" s="2">
        <v>141</v>
      </c>
      <c r="F1660" s="2">
        <v>2934.82</v>
      </c>
    </row>
    <row r="1661" spans="3:6" x14ac:dyDescent="0.25">
      <c r="C1661" s="2" t="s">
        <v>8896</v>
      </c>
      <c r="D1661" s="2" t="s">
        <v>292</v>
      </c>
      <c r="E1661" s="2">
        <v>114</v>
      </c>
      <c r="F1661" s="2">
        <v>2249.99</v>
      </c>
    </row>
    <row r="1662" spans="3:6" x14ac:dyDescent="0.25">
      <c r="C1662" s="2" t="s">
        <v>8897</v>
      </c>
      <c r="D1662" s="2" t="s">
        <v>292</v>
      </c>
      <c r="E1662" s="2">
        <v>42</v>
      </c>
      <c r="F1662" s="2">
        <v>848.87</v>
      </c>
    </row>
    <row r="1663" spans="3:6" x14ac:dyDescent="0.25">
      <c r="C1663" s="2" t="s">
        <v>8898</v>
      </c>
      <c r="D1663" s="2" t="s">
        <v>292</v>
      </c>
      <c r="E1663" s="2">
        <v>100</v>
      </c>
      <c r="F1663" s="2">
        <v>2048.88</v>
      </c>
    </row>
    <row r="1664" spans="3:6" x14ac:dyDescent="0.25">
      <c r="C1664" s="2" t="s">
        <v>8899</v>
      </c>
      <c r="D1664" s="2" t="s">
        <v>292</v>
      </c>
      <c r="E1664" s="2">
        <v>67</v>
      </c>
      <c r="F1664" s="2">
        <v>1316.42</v>
      </c>
    </row>
    <row r="1665" spans="3:6" x14ac:dyDescent="0.25">
      <c r="C1665" s="2" t="s">
        <v>8900</v>
      </c>
      <c r="D1665" s="2" t="s">
        <v>292</v>
      </c>
      <c r="E1665" s="2">
        <v>65</v>
      </c>
      <c r="F1665" s="2">
        <v>1370.92</v>
      </c>
    </row>
    <row r="1666" spans="3:6" x14ac:dyDescent="0.25">
      <c r="C1666" s="2" t="s">
        <v>8901</v>
      </c>
      <c r="D1666" s="2" t="s">
        <v>292</v>
      </c>
      <c r="E1666" s="2">
        <v>10</v>
      </c>
      <c r="F1666" s="2">
        <v>209.59</v>
      </c>
    </row>
    <row r="1667" spans="3:6" x14ac:dyDescent="0.25">
      <c r="C1667" s="2" t="s">
        <v>8902</v>
      </c>
      <c r="D1667" s="2" t="s">
        <v>292</v>
      </c>
      <c r="E1667" s="2">
        <v>27</v>
      </c>
      <c r="F1667" s="2">
        <v>525.55</v>
      </c>
    </row>
    <row r="1668" spans="3:6" x14ac:dyDescent="0.25">
      <c r="C1668" s="2" t="s">
        <v>8903</v>
      </c>
      <c r="D1668" s="2" t="s">
        <v>292</v>
      </c>
      <c r="E1668" s="2">
        <v>75</v>
      </c>
      <c r="F1668" s="2">
        <v>337.942</v>
      </c>
    </row>
    <row r="1669" spans="3:6" x14ac:dyDescent="0.25">
      <c r="C1669" s="2" t="s">
        <v>8904</v>
      </c>
      <c r="D1669" s="2" t="s">
        <v>292</v>
      </c>
      <c r="E1669" s="2">
        <v>20</v>
      </c>
      <c r="F1669" s="2">
        <v>92.25</v>
      </c>
    </row>
    <row r="1670" spans="3:6" x14ac:dyDescent="0.25">
      <c r="C1670" s="2" t="s">
        <v>8905</v>
      </c>
      <c r="D1670" s="2" t="s">
        <v>292</v>
      </c>
      <c r="E1670" s="2">
        <v>64</v>
      </c>
      <c r="F1670" s="2">
        <v>1249.322</v>
      </c>
    </row>
    <row r="1671" spans="3:6" x14ac:dyDescent="0.25">
      <c r="C1671" s="2" t="s">
        <v>8906</v>
      </c>
      <c r="D1671" s="2" t="s">
        <v>292</v>
      </c>
      <c r="E1671" s="2">
        <v>56</v>
      </c>
      <c r="F1671" s="2">
        <v>1103.48</v>
      </c>
    </row>
    <row r="1672" spans="3:6" x14ac:dyDescent="0.25">
      <c r="C1672" s="2" t="s">
        <v>8907</v>
      </c>
      <c r="D1672" s="2" t="s">
        <v>292</v>
      </c>
      <c r="E1672" s="2">
        <v>16</v>
      </c>
      <c r="F1672" s="2">
        <v>337.79</v>
      </c>
    </row>
    <row r="1673" spans="3:6" x14ac:dyDescent="0.25">
      <c r="C1673" s="2" t="s">
        <v>8908</v>
      </c>
      <c r="D1673" s="2" t="s">
        <v>292</v>
      </c>
      <c r="E1673" s="2">
        <v>75</v>
      </c>
      <c r="F1673" s="2">
        <v>362.088</v>
      </c>
    </row>
    <row r="1674" spans="3:6" x14ac:dyDescent="0.25">
      <c r="C1674" s="2" t="s">
        <v>8909</v>
      </c>
      <c r="D1674" s="2" t="s">
        <v>292</v>
      </c>
      <c r="E1674" s="2">
        <v>34</v>
      </c>
      <c r="F1674" s="2">
        <v>613.04</v>
      </c>
    </row>
    <row r="1675" spans="3:6" x14ac:dyDescent="0.25">
      <c r="C1675" s="2" t="s">
        <v>8910</v>
      </c>
      <c r="D1675" s="2" t="s">
        <v>292</v>
      </c>
      <c r="E1675" s="2">
        <v>13</v>
      </c>
      <c r="F1675" s="2">
        <v>235.64</v>
      </c>
    </row>
    <row r="1676" spans="3:6" x14ac:dyDescent="0.25">
      <c r="C1676" s="2" t="s">
        <v>8911</v>
      </c>
      <c r="D1676" s="2" t="s">
        <v>292</v>
      </c>
      <c r="E1676" s="2">
        <v>70</v>
      </c>
      <c r="F1676" s="2">
        <v>1461.73</v>
      </c>
    </row>
    <row r="1677" spans="3:6" x14ac:dyDescent="0.25">
      <c r="C1677" s="2" t="s">
        <v>8912</v>
      </c>
      <c r="D1677" s="2" t="s">
        <v>292</v>
      </c>
      <c r="E1677" s="2">
        <v>8</v>
      </c>
      <c r="F1677" s="2">
        <v>133.74</v>
      </c>
    </row>
    <row r="1678" spans="3:6" x14ac:dyDescent="0.25">
      <c r="C1678" s="2" t="s">
        <v>8913</v>
      </c>
      <c r="D1678" s="2" t="s">
        <v>292</v>
      </c>
      <c r="E1678" s="2">
        <v>56</v>
      </c>
      <c r="F1678" s="2">
        <v>1101.284</v>
      </c>
    </row>
    <row r="1679" spans="3:6" x14ac:dyDescent="0.25">
      <c r="C1679" s="2" t="s">
        <v>8914</v>
      </c>
      <c r="D1679" s="2" t="s">
        <v>292</v>
      </c>
      <c r="E1679" s="2">
        <v>141</v>
      </c>
      <c r="F1679" s="2">
        <v>2918.93</v>
      </c>
    </row>
    <row r="1680" spans="3:6" x14ac:dyDescent="0.25">
      <c r="C1680" s="2" t="s">
        <v>8915</v>
      </c>
      <c r="D1680" s="2" t="s">
        <v>292</v>
      </c>
      <c r="E1680" s="2">
        <v>141</v>
      </c>
      <c r="F1680" s="2">
        <v>2805.54</v>
      </c>
    </row>
    <row r="1681" spans="3:6" x14ac:dyDescent="0.25">
      <c r="C1681" s="2" t="s">
        <v>8916</v>
      </c>
      <c r="D1681" s="2" t="s">
        <v>292</v>
      </c>
      <c r="E1681" s="2">
        <v>102</v>
      </c>
      <c r="F1681" s="2">
        <v>2184.37</v>
      </c>
    </row>
    <row r="1682" spans="3:6" x14ac:dyDescent="0.25">
      <c r="C1682" s="2" t="s">
        <v>8917</v>
      </c>
      <c r="D1682" s="2" t="s">
        <v>292</v>
      </c>
      <c r="E1682" s="2">
        <v>102</v>
      </c>
      <c r="F1682" s="2">
        <v>2001.38</v>
      </c>
    </row>
    <row r="1683" spans="3:6" x14ac:dyDescent="0.25">
      <c r="C1683" s="2" t="s">
        <v>8918</v>
      </c>
      <c r="D1683" s="2" t="s">
        <v>292</v>
      </c>
      <c r="E1683" s="2">
        <v>102</v>
      </c>
      <c r="F1683" s="2">
        <v>2059.25</v>
      </c>
    </row>
    <row r="1684" spans="3:6" x14ac:dyDescent="0.25">
      <c r="C1684" s="2" t="s">
        <v>8919</v>
      </c>
      <c r="D1684" s="2" t="s">
        <v>292</v>
      </c>
      <c r="E1684" s="2">
        <v>102</v>
      </c>
      <c r="F1684" s="2">
        <v>2059.72</v>
      </c>
    </row>
    <row r="1685" spans="3:6" x14ac:dyDescent="0.25">
      <c r="C1685" s="2" t="s">
        <v>8920</v>
      </c>
      <c r="D1685" s="2" t="s">
        <v>292</v>
      </c>
      <c r="E1685" s="2">
        <v>102</v>
      </c>
      <c r="F1685" s="2">
        <v>2065.82</v>
      </c>
    </row>
    <row r="1687" spans="1:7" x14ac:dyDescent="0.25">
      <c r="A1687" s="1">
        <v>46157</v>
      </c>
      <c r="B1687" s="2" t="s">
        <v>290</v>
      </c>
      <c r="C1687" s="2" t="s">
        <v>8921</v>
      </c>
      <c r="D1687" s="2" t="s">
        <v>178</v>
      </c>
      <c r="E1687" s="2">
        <v>141</v>
      </c>
      <c r="F1687" s="2">
        <v>2682.969</v>
      </c>
      <c r="G1687" s="1">
        <v>46157</v>
      </c>
    </row>
    <row r="1688" spans="3:6" x14ac:dyDescent="0.25">
      <c r="C1688" s="2" t="s">
        <v>8922</v>
      </c>
      <c r="D1688" s="2" t="s">
        <v>178</v>
      </c>
      <c r="E1688" s="2">
        <v>141</v>
      </c>
      <c r="F1688" s="2">
        <v>2647.849</v>
      </c>
    </row>
    <row r="1689" spans="3:6" x14ac:dyDescent="0.25">
      <c r="C1689" s="2" t="s">
        <v>8923</v>
      </c>
      <c r="D1689" s="2" t="s">
        <v>178</v>
      </c>
      <c r="E1689" s="2">
        <v>141</v>
      </c>
      <c r="F1689" s="2">
        <v>2830.39</v>
      </c>
    </row>
    <row r="1690" spans="3:6" x14ac:dyDescent="0.25">
      <c r="C1690" s="2" t="s">
        <v>8924</v>
      </c>
      <c r="D1690" s="2" t="s">
        <v>178</v>
      </c>
      <c r="E1690" s="2">
        <v>102</v>
      </c>
      <c r="F1690" s="2">
        <v>1844.429</v>
      </c>
    </row>
    <row r="1691" spans="3:6" x14ac:dyDescent="0.25">
      <c r="C1691" s="2" t="s">
        <v>8925</v>
      </c>
      <c r="D1691" s="2" t="s">
        <v>178</v>
      </c>
      <c r="E1691" s="2">
        <v>282</v>
      </c>
      <c r="F1691" s="2">
        <v>5805.249</v>
      </c>
    </row>
    <row r="1692" spans="3:6" x14ac:dyDescent="0.25">
      <c r="C1692" s="2" t="s">
        <v>8926</v>
      </c>
      <c r="D1692" s="2" t="s">
        <v>178</v>
      </c>
      <c r="E1692" s="2">
        <v>76</v>
      </c>
      <c r="F1692" s="2">
        <v>1458.82</v>
      </c>
    </row>
    <row r="1693" spans="3:6" x14ac:dyDescent="0.25">
      <c r="C1693" s="2" t="s">
        <v>8927</v>
      </c>
      <c r="D1693" s="2" t="s">
        <v>178</v>
      </c>
      <c r="E1693" s="2">
        <v>65</v>
      </c>
      <c r="F1693" s="2">
        <v>1261.449</v>
      </c>
    </row>
    <row r="1694" spans="3:6" x14ac:dyDescent="0.25">
      <c r="C1694" s="2" t="s">
        <v>8928</v>
      </c>
      <c r="D1694" s="2" t="s">
        <v>178</v>
      </c>
      <c r="E1694" s="2">
        <v>246</v>
      </c>
      <c r="F1694" s="2">
        <v>5035.849</v>
      </c>
    </row>
    <row r="1695" spans="3:6" x14ac:dyDescent="0.25">
      <c r="C1695" s="2" t="s">
        <v>8929</v>
      </c>
      <c r="D1695" s="2" t="s">
        <v>178</v>
      </c>
      <c r="E1695" s="2">
        <v>123</v>
      </c>
      <c r="F1695" s="2">
        <v>2561.34</v>
      </c>
    </row>
    <row r="1696" spans="3:6" x14ac:dyDescent="0.25">
      <c r="C1696" s="2" t="s">
        <v>8930</v>
      </c>
      <c r="D1696" s="2" t="s">
        <v>178</v>
      </c>
      <c r="E1696" s="2">
        <v>30</v>
      </c>
      <c r="F1696" s="2">
        <v>126.66</v>
      </c>
    </row>
    <row r="1697" spans="3:6" x14ac:dyDescent="0.25">
      <c r="C1697" s="2" t="s">
        <v>8931</v>
      </c>
      <c r="D1697" s="2" t="s">
        <v>178</v>
      </c>
      <c r="E1697" s="2">
        <v>141</v>
      </c>
      <c r="F1697" s="2">
        <v>2945.38</v>
      </c>
    </row>
    <row r="1698" spans="3:6" x14ac:dyDescent="0.25">
      <c r="C1698" s="2" t="s">
        <v>8932</v>
      </c>
      <c r="D1698" s="2" t="s">
        <v>178</v>
      </c>
      <c r="E1698" s="2">
        <v>141</v>
      </c>
      <c r="F1698" s="2">
        <v>2796.169</v>
      </c>
    </row>
    <row r="1699" spans="3:6" x14ac:dyDescent="0.25">
      <c r="C1699" s="2" t="s">
        <v>8933</v>
      </c>
      <c r="D1699" s="2" t="s">
        <v>178</v>
      </c>
      <c r="E1699" s="2">
        <v>236</v>
      </c>
      <c r="F1699" s="2">
        <v>4786.979</v>
      </c>
    </row>
    <row r="1700" spans="3:6" x14ac:dyDescent="0.25">
      <c r="C1700" s="2" t="s">
        <v>8934</v>
      </c>
      <c r="D1700" s="2" t="s">
        <v>178</v>
      </c>
      <c r="E1700" s="2">
        <v>102</v>
      </c>
      <c r="F1700" s="2">
        <v>2105.73</v>
      </c>
    </row>
    <row r="1701" spans="3:6" x14ac:dyDescent="0.25">
      <c r="C1701" s="2" t="s">
        <v>8935</v>
      </c>
      <c r="D1701" s="2" t="s">
        <v>178</v>
      </c>
      <c r="E1701" s="2">
        <v>77</v>
      </c>
      <c r="F1701" s="2">
        <v>1565.67</v>
      </c>
    </row>
    <row r="1702" spans="3:6" x14ac:dyDescent="0.25">
      <c r="C1702" s="2" t="s">
        <v>8936</v>
      </c>
      <c r="D1702" s="2" t="s">
        <v>178</v>
      </c>
      <c r="E1702" s="2">
        <v>45</v>
      </c>
      <c r="F1702" s="2">
        <v>188.49</v>
      </c>
    </row>
    <row r="1703" spans="3:6" x14ac:dyDescent="0.25">
      <c r="C1703" s="2" t="s">
        <v>8937</v>
      </c>
      <c r="D1703" s="2" t="s">
        <v>178</v>
      </c>
      <c r="E1703" s="2">
        <v>77</v>
      </c>
      <c r="F1703" s="2">
        <v>1515.59</v>
      </c>
    </row>
    <row r="1704" spans="3:6" x14ac:dyDescent="0.25">
      <c r="C1704" s="2" t="s">
        <v>8938</v>
      </c>
      <c r="D1704" s="2" t="s">
        <v>178</v>
      </c>
      <c r="E1704" s="2">
        <v>45</v>
      </c>
      <c r="F1704" s="2">
        <v>191.599</v>
      </c>
    </row>
    <row r="1705" spans="3:6" x14ac:dyDescent="0.25">
      <c r="C1705" s="2" t="s">
        <v>8939</v>
      </c>
      <c r="D1705" s="2" t="s">
        <v>178</v>
      </c>
      <c r="E1705" s="2">
        <v>123</v>
      </c>
      <c r="F1705" s="2">
        <v>2479.55</v>
      </c>
    </row>
    <row r="1706" spans="3:6" x14ac:dyDescent="0.25">
      <c r="C1706" s="2" t="s">
        <v>8940</v>
      </c>
      <c r="D1706" s="2" t="s">
        <v>178</v>
      </c>
      <c r="E1706" s="2">
        <v>30</v>
      </c>
      <c r="F1706" s="2">
        <v>129.56</v>
      </c>
    </row>
    <row r="1707" spans="3:6" x14ac:dyDescent="0.25">
      <c r="C1707" s="2" t="s">
        <v>8941</v>
      </c>
      <c r="D1707" s="2" t="s">
        <v>178</v>
      </c>
      <c r="E1707" s="2">
        <v>141</v>
      </c>
      <c r="F1707" s="2">
        <v>2865.1</v>
      </c>
    </row>
    <row r="1708" spans="3:6" x14ac:dyDescent="0.25">
      <c r="C1708" s="2" t="s">
        <v>8942</v>
      </c>
      <c r="D1708" s="2" t="s">
        <v>178</v>
      </c>
      <c r="E1708" s="2">
        <v>141</v>
      </c>
      <c r="F1708" s="2">
        <v>2830.65</v>
      </c>
    </row>
    <row r="1709" spans="3:6" x14ac:dyDescent="0.25">
      <c r="C1709" s="2" t="s">
        <v>8943</v>
      </c>
      <c r="D1709" s="2" t="s">
        <v>178</v>
      </c>
      <c r="E1709" s="2">
        <v>141</v>
      </c>
      <c r="F1709" s="2">
        <v>2921.97</v>
      </c>
    </row>
    <row r="1710" spans="3:6" x14ac:dyDescent="0.25">
      <c r="C1710" s="2" t="s">
        <v>8944</v>
      </c>
      <c r="D1710" s="2" t="s">
        <v>178</v>
      </c>
      <c r="E1710" s="2">
        <v>141</v>
      </c>
      <c r="F1710" s="2">
        <v>3020.7</v>
      </c>
    </row>
    <row r="1711" spans="3:6" x14ac:dyDescent="0.25">
      <c r="C1711" s="2" t="s">
        <v>8945</v>
      </c>
      <c r="D1711" s="2" t="s">
        <v>178</v>
      </c>
      <c r="E1711" s="2">
        <v>141</v>
      </c>
      <c r="F1711" s="2">
        <v>2883.88</v>
      </c>
    </row>
    <row r="1712" spans="3:6" x14ac:dyDescent="0.25">
      <c r="C1712" s="2" t="s">
        <v>8946</v>
      </c>
      <c r="D1712" s="2" t="s">
        <v>178</v>
      </c>
      <c r="E1712" s="2">
        <v>77</v>
      </c>
      <c r="F1712" s="2">
        <v>1573.57</v>
      </c>
    </row>
    <row r="1713" spans="3:6" x14ac:dyDescent="0.25">
      <c r="C1713" s="2" t="s">
        <v>8947</v>
      </c>
      <c r="D1713" s="2" t="s">
        <v>178</v>
      </c>
      <c r="E1713" s="2">
        <v>45</v>
      </c>
      <c r="F1713" s="2">
        <v>194.86</v>
      </c>
    </row>
    <row r="1714" spans="3:6" x14ac:dyDescent="0.25">
      <c r="C1714" s="2" t="s">
        <v>8948</v>
      </c>
      <c r="D1714" s="2" t="s">
        <v>178</v>
      </c>
      <c r="E1714" s="2">
        <v>95</v>
      </c>
      <c r="F1714" s="2">
        <v>2049.54</v>
      </c>
    </row>
    <row r="1715" spans="3:6" x14ac:dyDescent="0.25">
      <c r="C1715" s="2" t="s">
        <v>8949</v>
      </c>
      <c r="D1715" s="2" t="s">
        <v>178</v>
      </c>
      <c r="E1715" s="2">
        <v>12</v>
      </c>
      <c r="F1715" s="2">
        <v>51.86</v>
      </c>
    </row>
    <row r="1716" spans="3:6" x14ac:dyDescent="0.25">
      <c r="C1716" s="2" t="s">
        <v>8950</v>
      </c>
      <c r="D1716" s="2" t="s">
        <v>178</v>
      </c>
      <c r="E1716" s="2">
        <v>25</v>
      </c>
      <c r="F1716" s="2">
        <v>459.61</v>
      </c>
    </row>
    <row r="1717" spans="3:6" x14ac:dyDescent="0.25">
      <c r="C1717" s="2" t="s">
        <v>8951</v>
      </c>
      <c r="D1717" s="2" t="s">
        <v>178</v>
      </c>
      <c r="E1717" s="2">
        <v>33</v>
      </c>
      <c r="F1717" s="2">
        <v>588.36</v>
      </c>
    </row>
    <row r="1718" spans="3:6" x14ac:dyDescent="0.25">
      <c r="C1718" s="2" t="s">
        <v>8952</v>
      </c>
      <c r="D1718" s="2" t="s">
        <v>178</v>
      </c>
      <c r="E1718" s="2">
        <v>2</v>
      </c>
      <c r="F1718" s="2">
        <v>34.99</v>
      </c>
    </row>
    <row r="1719" spans="3:6" x14ac:dyDescent="0.25">
      <c r="C1719" s="2" t="s">
        <v>8953</v>
      </c>
      <c r="D1719" s="2" t="s">
        <v>178</v>
      </c>
      <c r="E1719" s="2">
        <v>15</v>
      </c>
      <c r="F1719" s="2">
        <v>292.63</v>
      </c>
    </row>
    <row r="1720" spans="3:6" x14ac:dyDescent="0.25">
      <c r="C1720" s="2" t="s">
        <v>8954</v>
      </c>
      <c r="D1720" s="2" t="s">
        <v>178</v>
      </c>
      <c r="E1720" s="2">
        <v>1</v>
      </c>
      <c r="F1720" s="2">
        <v>11.28</v>
      </c>
    </row>
    <row r="1721" spans="3:6" x14ac:dyDescent="0.25">
      <c r="C1721" s="2" t="s">
        <v>8955</v>
      </c>
      <c r="D1721" s="2" t="s">
        <v>178</v>
      </c>
      <c r="E1721" s="2">
        <v>142</v>
      </c>
      <c r="F1721" s="2">
        <v>2850.79</v>
      </c>
    </row>
    <row r="1722" spans="3:6" x14ac:dyDescent="0.25">
      <c r="C1722" s="2" t="s">
        <v>8956</v>
      </c>
      <c r="D1722" s="2" t="s">
        <v>178</v>
      </c>
      <c r="E1722" s="2">
        <v>47</v>
      </c>
      <c r="F1722" s="2">
        <v>976.07</v>
      </c>
    </row>
    <row r="1723" spans="3:6" x14ac:dyDescent="0.25">
      <c r="C1723" s="2" t="s">
        <v>8957</v>
      </c>
      <c r="D1723" s="2" t="s">
        <v>178</v>
      </c>
      <c r="E1723" s="2">
        <v>94</v>
      </c>
      <c r="F1723" s="2">
        <v>1882.209</v>
      </c>
    </row>
    <row r="1724" spans="3:6" x14ac:dyDescent="0.25">
      <c r="C1724" s="2" t="s">
        <v>8958</v>
      </c>
      <c r="D1724" s="2" t="s">
        <v>178</v>
      </c>
      <c r="E1724" s="2">
        <v>142</v>
      </c>
      <c r="F1724" s="2">
        <v>2853.16</v>
      </c>
    </row>
    <row r="1725" spans="3:6" x14ac:dyDescent="0.25">
      <c r="C1725" s="2" t="s">
        <v>8959</v>
      </c>
      <c r="D1725" s="2" t="s">
        <v>178</v>
      </c>
      <c r="E1725" s="2">
        <v>50</v>
      </c>
      <c r="F1725" s="2">
        <v>1023.28</v>
      </c>
    </row>
    <row r="1726" spans="3:6" x14ac:dyDescent="0.25">
      <c r="C1726" s="2" t="s">
        <v>8960</v>
      </c>
      <c r="D1726" s="2" t="s">
        <v>178</v>
      </c>
      <c r="E1726" s="2">
        <v>91</v>
      </c>
      <c r="F1726" s="2">
        <v>1931.55</v>
      </c>
    </row>
    <row r="1727" spans="3:6" x14ac:dyDescent="0.25">
      <c r="C1727" s="2" t="s">
        <v>8961</v>
      </c>
      <c r="D1727" s="2" t="s">
        <v>178</v>
      </c>
      <c r="E1727" s="2">
        <v>61</v>
      </c>
      <c r="F1727" s="2">
        <v>1207.88</v>
      </c>
    </row>
    <row r="1728" spans="3:6" x14ac:dyDescent="0.25">
      <c r="C1728" s="2" t="s">
        <v>8962</v>
      </c>
      <c r="D1728" s="2" t="s">
        <v>178</v>
      </c>
      <c r="E1728" s="2">
        <v>31</v>
      </c>
      <c r="F1728" s="2">
        <v>617.22</v>
      </c>
    </row>
    <row r="1729" spans="3:6" x14ac:dyDescent="0.25">
      <c r="C1729" s="2" t="s">
        <v>8963</v>
      </c>
      <c r="D1729" s="2" t="s">
        <v>178</v>
      </c>
      <c r="E1729" s="2">
        <v>50</v>
      </c>
      <c r="F1729" s="2">
        <v>1046.71</v>
      </c>
    </row>
    <row r="1730" spans="3:6" x14ac:dyDescent="0.25">
      <c r="C1730" s="2" t="s">
        <v>8964</v>
      </c>
      <c r="D1730" s="2" t="s">
        <v>178</v>
      </c>
      <c r="E1730" s="2">
        <v>55</v>
      </c>
      <c r="F1730" s="2">
        <v>980.429</v>
      </c>
    </row>
    <row r="1731" spans="3:6" x14ac:dyDescent="0.25">
      <c r="C1731" s="2" t="s">
        <v>8965</v>
      </c>
      <c r="D1731" s="2" t="s">
        <v>178</v>
      </c>
      <c r="E1731" s="2">
        <v>86</v>
      </c>
      <c r="F1731" s="2">
        <v>1656.659</v>
      </c>
    </row>
    <row r="1733" spans="1:7" x14ac:dyDescent="0.25">
      <c r="A1733" s="1">
        <v>46157</v>
      </c>
      <c r="B1733" s="2" t="s">
        <v>989</v>
      </c>
      <c r="C1733" s="2" t="s">
        <v>8966</v>
      </c>
      <c r="D1733" s="2" t="s">
        <v>9</v>
      </c>
      <c r="E1733" s="2">
        <v>70</v>
      </c>
      <c r="F1733" s="2">
        <v>1493</v>
      </c>
      <c r="G1733" s="1">
        <v>46157</v>
      </c>
    </row>
    <row r="1734" spans="3:6" x14ac:dyDescent="0.25">
      <c r="C1734" s="2" t="s">
        <v>8967</v>
      </c>
      <c r="D1734" s="2" t="s">
        <v>9</v>
      </c>
      <c r="E1734" s="2">
        <v>156</v>
      </c>
      <c r="F1734" s="2">
        <v>3191.207</v>
      </c>
    </row>
    <row r="1735" spans="3:6" x14ac:dyDescent="0.25">
      <c r="C1735" s="2" t="s">
        <v>8968</v>
      </c>
      <c r="D1735" s="2" t="s">
        <v>9</v>
      </c>
      <c r="E1735" s="2">
        <v>156</v>
      </c>
      <c r="F1735" s="2">
        <v>2950.068</v>
      </c>
    </row>
    <row r="1737" spans="1:7" x14ac:dyDescent="0.25">
      <c r="A1737" s="1">
        <v>46157</v>
      </c>
      <c r="B1737" s="2" t="s">
        <v>7</v>
      </c>
      <c r="C1737" s="2" t="s">
        <v>8969</v>
      </c>
      <c r="D1737" s="2" t="s">
        <v>9</v>
      </c>
      <c r="E1737" s="2">
        <v>99</v>
      </c>
      <c r="F1737" s="2">
        <v>1771.553</v>
      </c>
      <c r="G1737" s="1">
        <v>46156</v>
      </c>
    </row>
    <row r="1738" spans="3:6" x14ac:dyDescent="0.25">
      <c r="C1738" s="2" t="s">
        <v>8970</v>
      </c>
      <c r="D1738" s="2" t="s">
        <v>9</v>
      </c>
      <c r="E1738" s="2">
        <v>99</v>
      </c>
      <c r="F1738" s="2">
        <v>1922.413</v>
      </c>
    </row>
    <row r="1740" spans="1:7" x14ac:dyDescent="0.25">
      <c r="A1740" s="1">
        <v>46157</v>
      </c>
      <c r="B1740" s="2" t="s">
        <v>7</v>
      </c>
      <c r="C1740" s="2" t="s">
        <v>8971</v>
      </c>
      <c r="D1740" s="2" t="s">
        <v>9</v>
      </c>
      <c r="E1740" s="2">
        <v>53</v>
      </c>
      <c r="F1740" s="2">
        <v>1040.73</v>
      </c>
      <c r="G1740" s="1">
        <v>46157</v>
      </c>
    </row>
    <row r="1741" spans="3:6" x14ac:dyDescent="0.25">
      <c r="C1741" s="2" t="s">
        <v>8972</v>
      </c>
      <c r="D1741" s="2" t="s">
        <v>9</v>
      </c>
      <c r="E1741" s="2">
        <v>77</v>
      </c>
      <c r="F1741" s="2">
        <v>1614.28</v>
      </c>
    </row>
    <row r="1743" spans="1:7" x14ac:dyDescent="0.25">
      <c r="A1743" s="1">
        <v>46157</v>
      </c>
      <c r="B1743" s="2" t="s">
        <v>2428</v>
      </c>
      <c r="C1743" s="2" t="s">
        <v>8973</v>
      </c>
      <c r="D1743" s="2" t="s">
        <v>59</v>
      </c>
      <c r="E1743" s="2">
        <v>163</v>
      </c>
      <c r="F1743" s="2">
        <v>3028.92</v>
      </c>
      <c r="G1743" s="1">
        <v>46156</v>
      </c>
    </row>
    <row r="1744" spans="3:6" x14ac:dyDescent="0.25">
      <c r="C1744" s="2" t="s">
        <v>8974</v>
      </c>
      <c r="D1744" s="2" t="s">
        <v>59</v>
      </c>
      <c r="E1744" s="2">
        <v>274</v>
      </c>
      <c r="F1744" s="2">
        <v>5011.196</v>
      </c>
    </row>
    <row r="1745" spans="3:6" x14ac:dyDescent="0.25">
      <c r="C1745" s="2" t="s">
        <v>8975</v>
      </c>
      <c r="D1745" s="2" t="s">
        <v>59</v>
      </c>
      <c r="E1745" s="2">
        <v>105</v>
      </c>
      <c r="F1745" s="2">
        <v>1969.816</v>
      </c>
    </row>
    <row r="1746" spans="3:6" x14ac:dyDescent="0.25">
      <c r="C1746" s="2" t="s">
        <v>8976</v>
      </c>
      <c r="D1746" s="2" t="s">
        <v>59</v>
      </c>
      <c r="E1746" s="2">
        <v>138</v>
      </c>
      <c r="F1746" s="2">
        <v>2855.22</v>
      </c>
    </row>
    <row r="1747" spans="3:6" x14ac:dyDescent="0.25">
      <c r="C1747" s="2" t="s">
        <v>8977</v>
      </c>
      <c r="D1747" s="2" t="s">
        <v>59</v>
      </c>
      <c r="E1747" s="2">
        <v>289</v>
      </c>
      <c r="F1747" s="2">
        <v>4719.991</v>
      </c>
    </row>
    <row r="1749" spans="1:7" x14ac:dyDescent="0.25">
      <c r="A1749" s="1">
        <v>46157</v>
      </c>
      <c r="B1749" s="2" t="s">
        <v>664</v>
      </c>
      <c r="C1749" s="2" t="s">
        <v>8978</v>
      </c>
      <c r="D1749" s="2" t="s">
        <v>136</v>
      </c>
      <c r="E1749" s="2">
        <v>112</v>
      </c>
      <c r="F1749" s="2">
        <v>2111.65</v>
      </c>
      <c r="G1749" s="1">
        <v>46156</v>
      </c>
    </row>
    <row r="1750" spans="3:6" x14ac:dyDescent="0.25">
      <c r="C1750" s="2" t="s">
        <v>8979</v>
      </c>
      <c r="D1750" s="2" t="s">
        <v>136</v>
      </c>
      <c r="E1750" s="2">
        <v>27</v>
      </c>
      <c r="F1750" s="2">
        <v>487.43</v>
      </c>
    </row>
    <row r="1752" spans="2:6" x14ac:dyDescent="0.25">
      <c r="B1752" s="2" t="s">
        <v>48</v>
      </c>
      <c r="C1752" s="2" t="s">
        <v>8980</v>
      </c>
      <c r="D1752" s="2" t="s">
        <v>136</v>
      </c>
      <c r="E1752" s="2">
        <v>99</v>
      </c>
      <c r="F1752" s="2">
        <v>2551</v>
      </c>
    </row>
    <row r="1754" spans="1:7" x14ac:dyDescent="0.25">
      <c r="A1754" s="1">
        <v>46157</v>
      </c>
      <c r="B1754" s="2" t="s">
        <v>666</v>
      </c>
      <c r="C1754" s="2" t="s">
        <v>8981</v>
      </c>
      <c r="D1754" s="2" t="s">
        <v>59</v>
      </c>
      <c r="E1754" s="2">
        <v>142</v>
      </c>
      <c r="F1754" s="2">
        <v>2958.65</v>
      </c>
      <c r="G1754" s="1">
        <v>46155</v>
      </c>
    </row>
    <row r="1755" spans="3:6" x14ac:dyDescent="0.25">
      <c r="C1755" s="2" t="s">
        <v>8982</v>
      </c>
      <c r="D1755" s="2" t="s">
        <v>59</v>
      </c>
      <c r="E1755" s="2">
        <v>142</v>
      </c>
      <c r="F1755" s="2">
        <v>3184.799</v>
      </c>
    </row>
    <row r="1756" spans="3:6" x14ac:dyDescent="0.25">
      <c r="C1756" s="2" t="s">
        <v>8983</v>
      </c>
      <c r="D1756" s="2" t="s">
        <v>59</v>
      </c>
      <c r="E1756" s="2">
        <v>149</v>
      </c>
      <c r="F1756" s="2">
        <v>2939.49</v>
      </c>
    </row>
    <row r="1757" spans="3:6" x14ac:dyDescent="0.25">
      <c r="C1757" s="2" t="s">
        <v>8984</v>
      </c>
      <c r="D1757" s="2" t="s">
        <v>59</v>
      </c>
      <c r="E1757" s="2">
        <v>149</v>
      </c>
      <c r="F1757" s="2">
        <v>2940.289</v>
      </c>
    </row>
    <row r="1758" spans="3:6" x14ac:dyDescent="0.25">
      <c r="C1758" s="2" t="s">
        <v>8985</v>
      </c>
      <c r="D1758" s="2" t="s">
        <v>59</v>
      </c>
      <c r="E1758" s="2">
        <v>149</v>
      </c>
      <c r="F1758" s="2">
        <v>2972.72</v>
      </c>
    </row>
    <row r="1759" spans="3:6" x14ac:dyDescent="0.25">
      <c r="C1759" s="2" t="s">
        <v>8986</v>
      </c>
      <c r="D1759" s="2" t="s">
        <v>59</v>
      </c>
      <c r="E1759" s="2">
        <v>149</v>
      </c>
      <c r="F1759" s="2">
        <v>2950.99</v>
      </c>
    </row>
    <row r="1760" spans="3:6" x14ac:dyDescent="0.25">
      <c r="C1760" s="2" t="s">
        <v>8987</v>
      </c>
      <c r="D1760" s="2" t="s">
        <v>59</v>
      </c>
      <c r="E1760" s="2">
        <v>149</v>
      </c>
      <c r="F1760" s="2">
        <v>2918.219</v>
      </c>
    </row>
    <row r="1761" spans="3:6" x14ac:dyDescent="0.25">
      <c r="C1761" s="2" t="s">
        <v>8988</v>
      </c>
      <c r="D1761" s="2" t="s">
        <v>59</v>
      </c>
      <c r="E1761" s="2">
        <v>149</v>
      </c>
      <c r="F1761" s="2">
        <v>2916.62</v>
      </c>
    </row>
    <row r="1763" spans="1:7" x14ac:dyDescent="0.25">
      <c r="A1763" s="1">
        <v>46158</v>
      </c>
      <c r="B1763" s="2" t="s">
        <v>8989</v>
      </c>
      <c r="C1763" s="2" t="s">
        <v>8990</v>
      </c>
      <c r="D1763" s="2" t="s">
        <v>4096</v>
      </c>
      <c r="E1763" s="2">
        <v>141</v>
      </c>
      <c r="F1763" s="2">
        <v>2595.28</v>
      </c>
      <c r="G1763" s="1">
        <v>46157</v>
      </c>
    </row>
    <row r="1764" spans="3:6" x14ac:dyDescent="0.25">
      <c r="C1764" s="2" t="s">
        <v>8991</v>
      </c>
      <c r="D1764" s="2" t="s">
        <v>4096</v>
      </c>
      <c r="E1764" s="2">
        <v>26</v>
      </c>
      <c r="F1764" s="2">
        <v>959.08</v>
      </c>
    </row>
    <row r="1765" spans="3:6" x14ac:dyDescent="0.25">
      <c r="C1765" s="2" t="s">
        <v>8992</v>
      </c>
      <c r="D1765" s="2" t="s">
        <v>4096</v>
      </c>
      <c r="E1765" s="2">
        <v>72</v>
      </c>
      <c r="F1765" s="2">
        <v>1524.57</v>
      </c>
    </row>
    <row r="1766" spans="3:6" x14ac:dyDescent="0.25">
      <c r="C1766" s="2" t="s">
        <v>8993</v>
      </c>
      <c r="D1766" s="2" t="s">
        <v>4096</v>
      </c>
      <c r="E1766" s="2">
        <v>17</v>
      </c>
      <c r="F1766" s="2">
        <v>354.83</v>
      </c>
    </row>
    <row r="1767" spans="3:6" x14ac:dyDescent="0.25">
      <c r="C1767" s="2" t="s">
        <v>8994</v>
      </c>
      <c r="D1767" s="2" t="s">
        <v>4096</v>
      </c>
      <c r="E1767" s="2">
        <v>100</v>
      </c>
      <c r="F1767" s="2">
        <v>1937.489</v>
      </c>
    </row>
    <row r="1768" spans="3:6" x14ac:dyDescent="0.25">
      <c r="C1768" s="2" t="s">
        <v>8995</v>
      </c>
      <c r="D1768" s="2" t="s">
        <v>4096</v>
      </c>
      <c r="E1768" s="2">
        <v>37</v>
      </c>
      <c r="F1768" s="2">
        <v>725.64</v>
      </c>
    </row>
    <row r="1769" spans="3:6" x14ac:dyDescent="0.25">
      <c r="C1769" s="2" t="s">
        <v>8996</v>
      </c>
      <c r="D1769" s="2" t="s">
        <v>4096</v>
      </c>
      <c r="E1769" s="2">
        <v>63</v>
      </c>
      <c r="F1769" s="2">
        <v>1246.65</v>
      </c>
    </row>
    <row r="1771" spans="1:7" x14ac:dyDescent="0.25">
      <c r="A1771" s="1">
        <v>46158</v>
      </c>
      <c r="B1771" s="2" t="s">
        <v>1009</v>
      </c>
      <c r="C1771" s="2" t="s">
        <v>8997</v>
      </c>
      <c r="D1771" s="2" t="s">
        <v>82</v>
      </c>
      <c r="E1771" s="2">
        <v>121</v>
      </c>
      <c r="F1771" s="2">
        <v>2499.18</v>
      </c>
      <c r="G1771" s="1">
        <v>46158</v>
      </c>
    </row>
    <row r="1772" spans="3:6" x14ac:dyDescent="0.25">
      <c r="C1772" s="2" t="s">
        <v>8998</v>
      </c>
      <c r="D1772" s="2" t="s">
        <v>82</v>
      </c>
      <c r="E1772" s="2">
        <v>121</v>
      </c>
      <c r="F1772" s="2">
        <v>2502.98</v>
      </c>
    </row>
    <row r="1773" spans="3:6" x14ac:dyDescent="0.25">
      <c r="C1773" s="2" t="s">
        <v>8999</v>
      </c>
      <c r="D1773" s="2" t="s">
        <v>82</v>
      </c>
      <c r="E1773" s="2">
        <v>142</v>
      </c>
      <c r="F1773" s="2">
        <v>2896.21</v>
      </c>
    </row>
    <row r="1774" spans="3:6" x14ac:dyDescent="0.25">
      <c r="C1774" s="2" t="s">
        <v>9000</v>
      </c>
      <c r="D1774" s="2" t="s">
        <v>82</v>
      </c>
      <c r="E1774" s="2">
        <v>141</v>
      </c>
      <c r="F1774" s="2">
        <v>2906.72</v>
      </c>
    </row>
    <row r="1775" spans="3:6" x14ac:dyDescent="0.25">
      <c r="C1775" s="2" t="s">
        <v>9001</v>
      </c>
      <c r="D1775" s="2" t="s">
        <v>82</v>
      </c>
      <c r="E1775" s="2">
        <v>101</v>
      </c>
      <c r="F1775" s="2">
        <v>2026.14</v>
      </c>
    </row>
    <row r="1776" spans="3:6" x14ac:dyDescent="0.25">
      <c r="C1776" s="2" t="s">
        <v>9002</v>
      </c>
      <c r="D1776" s="2" t="s">
        <v>82</v>
      </c>
      <c r="E1776" s="2">
        <v>101</v>
      </c>
      <c r="F1776" s="2">
        <v>2085.269</v>
      </c>
    </row>
    <row r="1777" spans="3:6" x14ac:dyDescent="0.25">
      <c r="C1777" s="2" t="s">
        <v>9003</v>
      </c>
      <c r="D1777" s="2" t="s">
        <v>82</v>
      </c>
      <c r="E1777" s="2">
        <v>48</v>
      </c>
      <c r="F1777" s="2">
        <v>947.13</v>
      </c>
    </row>
    <row r="1778" spans="3:6" x14ac:dyDescent="0.25">
      <c r="C1778" s="2" t="s">
        <v>9004</v>
      </c>
      <c r="D1778" s="2" t="s">
        <v>82</v>
      </c>
      <c r="E1778" s="2">
        <v>95</v>
      </c>
      <c r="F1778" s="2">
        <v>1880.21</v>
      </c>
    </row>
    <row r="1779" spans="3:6" x14ac:dyDescent="0.25">
      <c r="C1779" s="2" t="s">
        <v>9005</v>
      </c>
      <c r="D1779" s="2" t="s">
        <v>82</v>
      </c>
      <c r="E1779" s="2">
        <v>77</v>
      </c>
      <c r="F1779" s="2">
        <v>2461.083</v>
      </c>
    </row>
    <row r="1780" spans="3:6" x14ac:dyDescent="0.25">
      <c r="C1780" s="2" t="s">
        <v>9006</v>
      </c>
      <c r="D1780" s="2" t="s">
        <v>82</v>
      </c>
      <c r="E1780" s="2">
        <v>72</v>
      </c>
      <c r="F1780" s="2">
        <v>2625.151</v>
      </c>
    </row>
    <row r="1781" spans="3:6" x14ac:dyDescent="0.25">
      <c r="C1781" s="2" t="s">
        <v>9007</v>
      </c>
      <c r="D1781" s="2" t="s">
        <v>82</v>
      </c>
      <c r="E1781" s="2">
        <v>101</v>
      </c>
      <c r="F1781" s="2">
        <v>2144.03</v>
      </c>
    </row>
    <row r="1782" spans="3:6" x14ac:dyDescent="0.25">
      <c r="C1782" s="2" t="s">
        <v>9008</v>
      </c>
      <c r="D1782" s="2" t="s">
        <v>82</v>
      </c>
      <c r="E1782" s="2">
        <v>63</v>
      </c>
      <c r="F1782" s="2">
        <v>1146.04</v>
      </c>
    </row>
    <row r="1783" spans="3:6" x14ac:dyDescent="0.25">
      <c r="C1783" s="2" t="s">
        <v>9009</v>
      </c>
      <c r="D1783" s="2" t="s">
        <v>82</v>
      </c>
      <c r="E1783" s="2">
        <v>78</v>
      </c>
      <c r="F1783" s="2">
        <v>1595.84</v>
      </c>
    </row>
    <row r="1784" spans="3:6" x14ac:dyDescent="0.25">
      <c r="C1784" s="2" t="s">
        <v>9010</v>
      </c>
      <c r="D1784" s="2" t="s">
        <v>82</v>
      </c>
      <c r="E1784" s="2">
        <v>77</v>
      </c>
      <c r="F1784" s="2">
        <v>2532.344</v>
      </c>
    </row>
    <row r="1785" spans="3:6" x14ac:dyDescent="0.25">
      <c r="C1785" s="2" t="s">
        <v>9011</v>
      </c>
      <c r="D1785" s="2" t="s">
        <v>82</v>
      </c>
      <c r="E1785" s="2">
        <v>28</v>
      </c>
      <c r="F1785" s="2">
        <v>543.39</v>
      </c>
    </row>
    <row r="1786" spans="3:6" x14ac:dyDescent="0.25">
      <c r="C1786" s="2" t="s">
        <v>9012</v>
      </c>
      <c r="D1786" s="2" t="s">
        <v>82</v>
      </c>
      <c r="E1786" s="2">
        <v>57</v>
      </c>
      <c r="F1786" s="2">
        <v>1190.45</v>
      </c>
    </row>
    <row r="1787" spans="3:6" x14ac:dyDescent="0.25">
      <c r="C1787" s="2" t="s">
        <v>9013</v>
      </c>
      <c r="D1787" s="2" t="s">
        <v>82</v>
      </c>
      <c r="E1787" s="2">
        <v>56</v>
      </c>
      <c r="F1787" s="2">
        <v>1108.379</v>
      </c>
    </row>
    <row r="1788" spans="3:6" x14ac:dyDescent="0.25">
      <c r="C1788" s="2" t="s">
        <v>9014</v>
      </c>
      <c r="D1788" s="2" t="s">
        <v>82</v>
      </c>
      <c r="E1788" s="2">
        <v>141</v>
      </c>
      <c r="F1788" s="2">
        <v>2973.45</v>
      </c>
    </row>
    <row r="1789" spans="3:6" x14ac:dyDescent="0.25">
      <c r="C1789" s="2" t="s">
        <v>9015</v>
      </c>
      <c r="D1789" s="2" t="s">
        <v>82</v>
      </c>
      <c r="E1789" s="2">
        <v>101</v>
      </c>
      <c r="F1789" s="2">
        <v>2004.709</v>
      </c>
    </row>
    <row r="1790" spans="3:6" x14ac:dyDescent="0.25">
      <c r="C1790" s="2" t="s">
        <v>9016</v>
      </c>
      <c r="D1790" s="2" t="s">
        <v>82</v>
      </c>
      <c r="E1790" s="2">
        <v>35</v>
      </c>
      <c r="F1790" s="2">
        <v>743.84</v>
      </c>
    </row>
    <row r="1791" spans="3:6" x14ac:dyDescent="0.25">
      <c r="C1791" s="2" t="s">
        <v>9017</v>
      </c>
      <c r="D1791" s="2" t="s">
        <v>82</v>
      </c>
      <c r="E1791" s="2">
        <v>66</v>
      </c>
      <c r="F1791" s="2">
        <v>1354.649</v>
      </c>
    </row>
    <row r="1793" spans="1:7" x14ac:dyDescent="0.25">
      <c r="A1793" s="1">
        <v>46158</v>
      </c>
      <c r="B1793" s="2" t="s">
        <v>1012</v>
      </c>
      <c r="C1793" s="2" t="s">
        <v>9018</v>
      </c>
      <c r="D1793" s="2" t="s">
        <v>73</v>
      </c>
      <c r="E1793" s="2">
        <v>11</v>
      </c>
      <c r="F1793" s="2">
        <v>221.35</v>
      </c>
      <c r="G1793" s="1">
        <v>46157</v>
      </c>
    </row>
    <row r="1794" spans="3:6" x14ac:dyDescent="0.25">
      <c r="C1794" s="2" t="s">
        <v>9019</v>
      </c>
      <c r="D1794" s="2" t="s">
        <v>73</v>
      </c>
      <c r="E1794" s="2">
        <v>45</v>
      </c>
      <c r="F1794" s="2">
        <v>812.55</v>
      </c>
    </row>
    <row r="1795" spans="3:6" x14ac:dyDescent="0.25">
      <c r="C1795" s="2" t="s">
        <v>9020</v>
      </c>
      <c r="D1795" s="2" t="s">
        <v>73</v>
      </c>
      <c r="E1795" s="2">
        <v>45</v>
      </c>
      <c r="F1795" s="2">
        <v>718.6</v>
      </c>
    </row>
    <row r="1796" spans="3:6" x14ac:dyDescent="0.25">
      <c r="C1796" s="2" t="s">
        <v>9021</v>
      </c>
      <c r="D1796" s="2" t="s">
        <v>73</v>
      </c>
      <c r="E1796" s="2">
        <v>89</v>
      </c>
      <c r="F1796" s="2">
        <v>1842.06</v>
      </c>
    </row>
    <row r="1797" spans="3:6" x14ac:dyDescent="0.25">
      <c r="C1797" s="2" t="s">
        <v>9022</v>
      </c>
      <c r="D1797" s="2" t="s">
        <v>73</v>
      </c>
      <c r="E1797" s="2">
        <v>95</v>
      </c>
      <c r="F1797" s="2">
        <v>1850.24</v>
      </c>
    </row>
    <row r="1799" spans="1:7" x14ac:dyDescent="0.25">
      <c r="A1799" s="1">
        <v>46158</v>
      </c>
      <c r="B1799" s="2" t="s">
        <v>4335</v>
      </c>
      <c r="C1799" s="2" t="s">
        <v>9023</v>
      </c>
      <c r="D1799" s="2" t="s">
        <v>82</v>
      </c>
      <c r="E1799" s="2">
        <v>71</v>
      </c>
      <c r="F1799" s="2">
        <v>2303.02</v>
      </c>
      <c r="G1799" s="1">
        <v>46157</v>
      </c>
    </row>
    <row r="1800" spans="3:6" x14ac:dyDescent="0.25">
      <c r="C1800" s="2" t="s">
        <v>9024</v>
      </c>
      <c r="D1800" s="2" t="s">
        <v>82</v>
      </c>
      <c r="E1800" s="2">
        <v>71</v>
      </c>
      <c r="F1800" s="2">
        <v>2519.482</v>
      </c>
    </row>
    <row r="1801" spans="3:6" x14ac:dyDescent="0.25">
      <c r="C1801" s="2" t="s">
        <v>9025</v>
      </c>
      <c r="D1801" s="2" t="s">
        <v>82</v>
      </c>
      <c r="E1801" s="2">
        <v>112</v>
      </c>
      <c r="F1801" s="2">
        <v>2309.219</v>
      </c>
    </row>
    <row r="1802" spans="3:6" x14ac:dyDescent="0.25">
      <c r="C1802" s="2" t="s">
        <v>9026</v>
      </c>
      <c r="D1802" s="2" t="s">
        <v>82</v>
      </c>
      <c r="E1802" s="2">
        <v>19</v>
      </c>
      <c r="F1802" s="2">
        <v>355.75</v>
      </c>
    </row>
    <row r="1803" spans="3:6" x14ac:dyDescent="0.25">
      <c r="C1803" s="2" t="s">
        <v>9027</v>
      </c>
      <c r="D1803" s="2" t="s">
        <v>82</v>
      </c>
      <c r="E1803" s="2">
        <v>9</v>
      </c>
      <c r="F1803" s="2">
        <v>182.55</v>
      </c>
    </row>
    <row r="1804" spans="3:6" x14ac:dyDescent="0.25">
      <c r="C1804" s="2" t="s">
        <v>9028</v>
      </c>
      <c r="D1804" s="2" t="s">
        <v>82</v>
      </c>
      <c r="E1804" s="2">
        <v>75</v>
      </c>
      <c r="F1804" s="2">
        <v>1355.06</v>
      </c>
    </row>
    <row r="1805" spans="3:6" x14ac:dyDescent="0.25">
      <c r="C1805" s="2" t="s">
        <v>9029</v>
      </c>
      <c r="D1805" s="2" t="s">
        <v>82</v>
      </c>
      <c r="E1805" s="2">
        <v>142</v>
      </c>
      <c r="F1805" s="2">
        <v>2899.98</v>
      </c>
    </row>
    <row r="1806" spans="3:6" x14ac:dyDescent="0.25">
      <c r="C1806" s="2" t="s">
        <v>9030</v>
      </c>
      <c r="D1806" s="2" t="s">
        <v>82</v>
      </c>
      <c r="E1806" s="2">
        <v>138</v>
      </c>
      <c r="F1806" s="2">
        <v>2913.76</v>
      </c>
    </row>
    <row r="1807" spans="3:6" x14ac:dyDescent="0.25">
      <c r="C1807" s="2" t="s">
        <v>9031</v>
      </c>
      <c r="D1807" s="2" t="s">
        <v>82</v>
      </c>
      <c r="E1807" s="2">
        <v>128</v>
      </c>
      <c r="F1807" s="2">
        <v>544.09</v>
      </c>
    </row>
    <row r="1808" spans="3:6" x14ac:dyDescent="0.25">
      <c r="C1808" s="2" t="s">
        <v>9032</v>
      </c>
      <c r="D1808" s="2" t="s">
        <v>82</v>
      </c>
      <c r="E1808" s="2">
        <v>141</v>
      </c>
      <c r="F1808" s="2">
        <v>2909.839</v>
      </c>
    </row>
    <row r="1809" spans="3:6" x14ac:dyDescent="0.25">
      <c r="C1809" s="2" t="s">
        <v>9033</v>
      </c>
      <c r="D1809" s="2" t="s">
        <v>82</v>
      </c>
      <c r="E1809" s="2">
        <v>105</v>
      </c>
      <c r="F1809" s="2">
        <v>2068.25</v>
      </c>
    </row>
    <row r="1810" spans="3:6" x14ac:dyDescent="0.25">
      <c r="C1810" s="2" t="s">
        <v>9034</v>
      </c>
      <c r="D1810" s="2" t="s">
        <v>82</v>
      </c>
      <c r="E1810" s="2">
        <v>77</v>
      </c>
      <c r="F1810" s="2">
        <v>1591.18</v>
      </c>
    </row>
    <row r="1811" spans="3:6" x14ac:dyDescent="0.25">
      <c r="C1811" s="2" t="s">
        <v>9035</v>
      </c>
      <c r="D1811" s="2" t="s">
        <v>82</v>
      </c>
      <c r="E1811" s="2">
        <v>34</v>
      </c>
      <c r="F1811" s="2">
        <v>320.601</v>
      </c>
    </row>
    <row r="1812" spans="3:6" x14ac:dyDescent="0.25">
      <c r="C1812" s="2" t="s">
        <v>9036</v>
      </c>
      <c r="D1812" s="2" t="s">
        <v>82</v>
      </c>
      <c r="E1812" s="2">
        <v>102</v>
      </c>
      <c r="F1812" s="2">
        <v>2139.52</v>
      </c>
    </row>
    <row r="1813" spans="3:6" x14ac:dyDescent="0.25">
      <c r="C1813" s="2" t="s">
        <v>9037</v>
      </c>
      <c r="D1813" s="2" t="s">
        <v>82</v>
      </c>
      <c r="E1813" s="2">
        <v>65</v>
      </c>
      <c r="F1813" s="2">
        <v>1860.629</v>
      </c>
    </row>
    <row r="1814" spans="3:6" x14ac:dyDescent="0.25">
      <c r="C1814" s="2" t="s">
        <v>9038</v>
      </c>
      <c r="D1814" s="2" t="s">
        <v>82</v>
      </c>
      <c r="E1814" s="2">
        <v>121</v>
      </c>
      <c r="F1814" s="2">
        <v>2520.37</v>
      </c>
    </row>
    <row r="1815" spans="3:6" x14ac:dyDescent="0.25">
      <c r="C1815" s="2" t="s">
        <v>9039</v>
      </c>
      <c r="D1815" s="2" t="s">
        <v>82</v>
      </c>
      <c r="E1815" s="2">
        <v>65</v>
      </c>
      <c r="F1815" s="2">
        <v>2231.146</v>
      </c>
    </row>
    <row r="1816" spans="3:6" x14ac:dyDescent="0.25">
      <c r="C1816" s="2" t="s">
        <v>9040</v>
      </c>
      <c r="D1816" s="2" t="s">
        <v>82</v>
      </c>
      <c r="E1816" s="2">
        <v>134</v>
      </c>
      <c r="F1816" s="2">
        <v>2661.389</v>
      </c>
    </row>
    <row r="1817" spans="3:6" x14ac:dyDescent="0.25">
      <c r="C1817" s="2" t="s">
        <v>9041</v>
      </c>
      <c r="D1817" s="2" t="s">
        <v>82</v>
      </c>
      <c r="E1817" s="2">
        <v>102</v>
      </c>
      <c r="F1817" s="2">
        <v>2052.499</v>
      </c>
    </row>
    <row r="1818" spans="3:6" x14ac:dyDescent="0.25">
      <c r="C1818" s="2" t="s">
        <v>9042</v>
      </c>
      <c r="D1818" s="2" t="s">
        <v>82</v>
      </c>
      <c r="E1818" s="2">
        <v>102</v>
      </c>
      <c r="F1818" s="2">
        <v>2098.009</v>
      </c>
    </row>
    <row r="1819" spans="3:6" x14ac:dyDescent="0.25">
      <c r="C1819" s="2" t="s">
        <v>9043</v>
      </c>
      <c r="D1819" s="2" t="s">
        <v>82</v>
      </c>
      <c r="E1819" s="2">
        <v>141</v>
      </c>
      <c r="F1819" s="2">
        <v>2956.07</v>
      </c>
    </row>
    <row r="1820" spans="3:6" x14ac:dyDescent="0.25">
      <c r="C1820" s="2" t="s">
        <v>9044</v>
      </c>
      <c r="D1820" s="2" t="s">
        <v>82</v>
      </c>
      <c r="E1820" s="2">
        <v>141</v>
      </c>
      <c r="F1820" s="2">
        <v>2879.71</v>
      </c>
    </row>
    <row r="1821" spans="3:6" x14ac:dyDescent="0.25">
      <c r="C1821" s="2" t="s">
        <v>9045</v>
      </c>
      <c r="D1821" s="2" t="s">
        <v>82</v>
      </c>
      <c r="E1821" s="2">
        <v>141</v>
      </c>
      <c r="F1821" s="2">
        <v>2851.23</v>
      </c>
    </row>
    <row r="1822" spans="3:6" x14ac:dyDescent="0.25">
      <c r="C1822" s="2" t="s">
        <v>9046</v>
      </c>
      <c r="D1822" s="2" t="s">
        <v>82</v>
      </c>
      <c r="E1822" s="2">
        <v>72</v>
      </c>
      <c r="F1822" s="2">
        <v>1450.773</v>
      </c>
    </row>
    <row r="1823" spans="3:6" x14ac:dyDescent="0.25">
      <c r="C1823" s="2" t="s">
        <v>9047</v>
      </c>
      <c r="D1823" s="2" t="s">
        <v>82</v>
      </c>
      <c r="E1823" s="2">
        <v>69</v>
      </c>
      <c r="F1823" s="2">
        <v>1397.69</v>
      </c>
    </row>
    <row r="1824" spans="3:6" x14ac:dyDescent="0.25">
      <c r="C1824" s="2" t="s">
        <v>9048</v>
      </c>
      <c r="D1824" s="2" t="s">
        <v>82</v>
      </c>
      <c r="E1824" s="2">
        <v>46</v>
      </c>
      <c r="F1824" s="2">
        <v>927.85</v>
      </c>
    </row>
    <row r="1825" spans="3:6" x14ac:dyDescent="0.25">
      <c r="C1825" s="2" t="s">
        <v>9049</v>
      </c>
      <c r="D1825" s="2" t="s">
        <v>82</v>
      </c>
      <c r="E1825" s="2">
        <v>45</v>
      </c>
      <c r="F1825" s="2">
        <v>826.07</v>
      </c>
    </row>
    <row r="1826" spans="3:6" x14ac:dyDescent="0.25">
      <c r="C1826" s="2" t="s">
        <v>9050</v>
      </c>
      <c r="D1826" s="2" t="s">
        <v>82</v>
      </c>
      <c r="E1826" s="2">
        <v>50</v>
      </c>
      <c r="F1826" s="2">
        <v>975.48</v>
      </c>
    </row>
    <row r="1827" spans="3:6" x14ac:dyDescent="0.25">
      <c r="C1827" s="2" t="s">
        <v>9051</v>
      </c>
      <c r="D1827" s="2" t="s">
        <v>82</v>
      </c>
      <c r="E1827" s="2">
        <v>128</v>
      </c>
      <c r="F1827" s="2">
        <v>2605.639</v>
      </c>
    </row>
    <row r="1828" spans="3:6" x14ac:dyDescent="0.25">
      <c r="C1828" s="2" t="s">
        <v>9052</v>
      </c>
      <c r="D1828" s="2" t="s">
        <v>82</v>
      </c>
      <c r="E1828" s="2">
        <v>13</v>
      </c>
      <c r="F1828" s="2">
        <v>259.97</v>
      </c>
    </row>
    <row r="1829" spans="3:6" x14ac:dyDescent="0.25">
      <c r="C1829" s="2" t="s">
        <v>9053</v>
      </c>
      <c r="D1829" s="2" t="s">
        <v>82</v>
      </c>
      <c r="E1829" s="2">
        <v>12</v>
      </c>
      <c r="F1829" s="2">
        <v>242.19</v>
      </c>
    </row>
    <row r="1830" spans="3:6" x14ac:dyDescent="0.25">
      <c r="C1830" s="2" t="s">
        <v>9054</v>
      </c>
      <c r="D1830" s="2" t="s">
        <v>82</v>
      </c>
      <c r="E1830" s="2">
        <v>90</v>
      </c>
      <c r="F1830" s="2">
        <v>1727.26</v>
      </c>
    </row>
    <row r="1832" spans="1:7" x14ac:dyDescent="0.25">
      <c r="A1832" s="1">
        <v>46158</v>
      </c>
      <c r="B1832" s="2" t="s">
        <v>7</v>
      </c>
      <c r="C1832" s="2" t="s">
        <v>9055</v>
      </c>
      <c r="D1832" s="2" t="s">
        <v>9</v>
      </c>
      <c r="E1832" s="2">
        <v>99</v>
      </c>
      <c r="F1832" s="2">
        <v>1822.267</v>
      </c>
      <c r="G1832" s="1">
        <v>46157</v>
      </c>
    </row>
    <row r="1833" spans="3:6" x14ac:dyDescent="0.25">
      <c r="C1833" s="2" t="s">
        <v>9056</v>
      </c>
      <c r="D1833" s="2" t="s">
        <v>9</v>
      </c>
      <c r="E1833" s="2">
        <v>99</v>
      </c>
      <c r="F1833" s="2">
        <v>1817.854</v>
      </c>
    </row>
    <row r="1835" spans="1:7" x14ac:dyDescent="0.25">
      <c r="A1835" s="1">
        <v>46159</v>
      </c>
      <c r="B1835" s="2" t="s">
        <v>1032</v>
      </c>
      <c r="C1835" s="2" t="s">
        <v>9057</v>
      </c>
      <c r="D1835" s="2" t="s">
        <v>73</v>
      </c>
      <c r="E1835" s="2">
        <v>34</v>
      </c>
      <c r="F1835" s="2">
        <v>582.24</v>
      </c>
      <c r="G1835" s="1">
        <v>46159</v>
      </c>
    </row>
    <row r="1836" spans="3:6" x14ac:dyDescent="0.25">
      <c r="C1836" s="2" t="s">
        <v>9058</v>
      </c>
      <c r="D1836" s="2" t="s">
        <v>73</v>
      </c>
      <c r="E1836" s="2">
        <v>24</v>
      </c>
      <c r="F1836" s="2">
        <v>516.24</v>
      </c>
    </row>
    <row r="1837" spans="3:6" x14ac:dyDescent="0.25">
      <c r="C1837" s="2" t="s">
        <v>9059</v>
      </c>
      <c r="D1837" s="2" t="s">
        <v>73</v>
      </c>
      <c r="E1837" s="2">
        <v>34</v>
      </c>
      <c r="F1837" s="2">
        <v>605.91</v>
      </c>
    </row>
    <row r="1838" spans="3:6" x14ac:dyDescent="0.25">
      <c r="C1838" s="2" t="s">
        <v>9060</v>
      </c>
      <c r="D1838" s="2" t="s">
        <v>73</v>
      </c>
      <c r="E1838" s="2">
        <v>98</v>
      </c>
      <c r="F1838" s="2">
        <v>1952.94</v>
      </c>
    </row>
    <row r="1839" spans="3:6" x14ac:dyDescent="0.25">
      <c r="C1839" s="2" t="s">
        <v>9061</v>
      </c>
      <c r="D1839" s="2" t="s">
        <v>73</v>
      </c>
      <c r="E1839" s="2">
        <v>81</v>
      </c>
      <c r="F1839" s="2">
        <v>1744.03</v>
      </c>
    </row>
    <row r="1841" spans="1:7" x14ac:dyDescent="0.25">
      <c r="A1841" s="1">
        <v>46159</v>
      </c>
      <c r="B1841" s="2" t="s">
        <v>71</v>
      </c>
      <c r="C1841" s="2" t="s">
        <v>9062</v>
      </c>
      <c r="D1841" s="2" t="s">
        <v>73</v>
      </c>
      <c r="E1841" s="2">
        <v>96</v>
      </c>
      <c r="F1841" s="2">
        <v>1900.589</v>
      </c>
      <c r="G1841" s="1">
        <v>46157</v>
      </c>
    </row>
    <row r="1842" spans="3:6" x14ac:dyDescent="0.25">
      <c r="C1842" s="2" t="s">
        <v>9063</v>
      </c>
      <c r="D1842" s="2" t="s">
        <v>73</v>
      </c>
      <c r="E1842" s="2">
        <v>85</v>
      </c>
      <c r="F1842" s="2">
        <v>1738.93</v>
      </c>
    </row>
    <row r="1843" spans="3:6" x14ac:dyDescent="0.25">
      <c r="C1843" s="2" t="s">
        <v>9064</v>
      </c>
      <c r="D1843" s="2" t="s">
        <v>73</v>
      </c>
      <c r="E1843" s="2">
        <v>40</v>
      </c>
      <c r="F1843" s="2">
        <v>687.67</v>
      </c>
    </row>
    <row r="1844" spans="3:6" x14ac:dyDescent="0.25">
      <c r="C1844" s="2" t="s">
        <v>9065</v>
      </c>
      <c r="D1844" s="2" t="s">
        <v>73</v>
      </c>
      <c r="E1844" s="2">
        <v>13</v>
      </c>
      <c r="F1844" s="2">
        <v>232.47</v>
      </c>
    </row>
    <row r="1845" spans="3:6" x14ac:dyDescent="0.25">
      <c r="C1845" s="2" t="s">
        <v>9066</v>
      </c>
      <c r="D1845" s="2" t="s">
        <v>73</v>
      </c>
      <c r="E1845" s="2">
        <v>47</v>
      </c>
      <c r="F1845" s="2">
        <v>856.46</v>
      </c>
    </row>
    <row r="1847" spans="1:7" x14ac:dyDescent="0.25">
      <c r="A1847" s="1">
        <v>46159</v>
      </c>
      <c r="B1847" s="2" t="s">
        <v>5812</v>
      </c>
      <c r="C1847" s="2" t="s">
        <v>9067</v>
      </c>
      <c r="D1847" s="2" t="s">
        <v>15</v>
      </c>
      <c r="E1847" s="2">
        <v>99</v>
      </c>
      <c r="F1847" s="2">
        <v>2345.85</v>
      </c>
      <c r="G1847" s="1">
        <v>46157</v>
      </c>
    </row>
    <row r="1849" spans="1:7" x14ac:dyDescent="0.25">
      <c r="A1849" s="1">
        <v>46159</v>
      </c>
      <c r="B1849" s="2" t="s">
        <v>495</v>
      </c>
      <c r="C1849" s="2" t="s">
        <v>9068</v>
      </c>
      <c r="D1849" s="2" t="s">
        <v>178</v>
      </c>
      <c r="E1849" s="2">
        <v>242</v>
      </c>
      <c r="F1849" s="2">
        <v>4827.97</v>
      </c>
      <c r="G1849" s="1">
        <v>46159</v>
      </c>
    </row>
    <row r="1850" spans="3:6" x14ac:dyDescent="0.25">
      <c r="C1850" s="2" t="s">
        <v>9069</v>
      </c>
      <c r="D1850" s="2" t="s">
        <v>178</v>
      </c>
      <c r="E1850" s="2">
        <v>121</v>
      </c>
      <c r="F1850" s="2">
        <v>2333.7</v>
      </c>
    </row>
    <row r="1851" spans="3:6" x14ac:dyDescent="0.25">
      <c r="C1851" s="2" t="s">
        <v>9070</v>
      </c>
      <c r="D1851" s="2" t="s">
        <v>178</v>
      </c>
      <c r="E1851" s="2">
        <v>121</v>
      </c>
      <c r="F1851" s="2">
        <v>2313.5</v>
      </c>
    </row>
    <row r="1852" spans="3:6" x14ac:dyDescent="0.25">
      <c r="C1852" s="2" t="s">
        <v>9071</v>
      </c>
      <c r="D1852" s="2" t="s">
        <v>178</v>
      </c>
      <c r="E1852" s="2">
        <v>300</v>
      </c>
      <c r="F1852" s="2">
        <v>6094.8</v>
      </c>
    </row>
    <row r="1853" spans="3:6" x14ac:dyDescent="0.25">
      <c r="C1853" s="2" t="s">
        <v>9072</v>
      </c>
      <c r="D1853" s="2" t="s">
        <v>178</v>
      </c>
      <c r="E1853" s="2">
        <v>133</v>
      </c>
      <c r="F1853" s="2">
        <v>2707.119</v>
      </c>
    </row>
    <row r="1854" spans="3:6" x14ac:dyDescent="0.25">
      <c r="C1854" s="2" t="s">
        <v>9073</v>
      </c>
      <c r="D1854" s="2" t="s">
        <v>178</v>
      </c>
      <c r="E1854" s="2">
        <v>139</v>
      </c>
      <c r="F1854" s="2">
        <v>2520.51</v>
      </c>
    </row>
    <row r="1855" spans="3:6" x14ac:dyDescent="0.25">
      <c r="C1855" s="2" t="s">
        <v>9074</v>
      </c>
      <c r="D1855" s="2" t="s">
        <v>178</v>
      </c>
      <c r="E1855" s="2">
        <v>139</v>
      </c>
      <c r="F1855" s="2">
        <v>2868.36</v>
      </c>
    </row>
    <row r="1856" spans="3:6" x14ac:dyDescent="0.25">
      <c r="C1856" s="2" t="s">
        <v>9075</v>
      </c>
      <c r="D1856" s="2" t="s">
        <v>178</v>
      </c>
      <c r="E1856" s="2">
        <v>45</v>
      </c>
      <c r="F1856" s="2">
        <v>194.63</v>
      </c>
    </row>
    <row r="1857" spans="3:6" x14ac:dyDescent="0.25">
      <c r="C1857" s="2" t="s">
        <v>9076</v>
      </c>
      <c r="D1857" s="2" t="s">
        <v>178</v>
      </c>
      <c r="E1857" s="2">
        <v>278</v>
      </c>
      <c r="F1857" s="2">
        <v>5931.969</v>
      </c>
    </row>
    <row r="1858" spans="3:6" x14ac:dyDescent="0.25">
      <c r="C1858" s="2" t="s">
        <v>9077</v>
      </c>
      <c r="D1858" s="2" t="s">
        <v>178</v>
      </c>
      <c r="E1858" s="2">
        <v>139</v>
      </c>
      <c r="F1858" s="2">
        <v>3021.56</v>
      </c>
    </row>
    <row r="1859" spans="3:6" x14ac:dyDescent="0.25">
      <c r="C1859" s="2" t="s">
        <v>9078</v>
      </c>
      <c r="D1859" s="2" t="s">
        <v>178</v>
      </c>
      <c r="E1859" s="2">
        <v>100</v>
      </c>
      <c r="F1859" s="2">
        <v>2075.76</v>
      </c>
    </row>
    <row r="1860" spans="3:6" x14ac:dyDescent="0.25">
      <c r="C1860" s="2" t="s">
        <v>9079</v>
      </c>
      <c r="D1860" s="2" t="s">
        <v>178</v>
      </c>
      <c r="E1860" s="2">
        <v>30</v>
      </c>
      <c r="F1860" s="2">
        <v>128.3</v>
      </c>
    </row>
    <row r="1861" spans="3:6" x14ac:dyDescent="0.25">
      <c r="C1861" s="2" t="s">
        <v>9080</v>
      </c>
      <c r="D1861" s="2" t="s">
        <v>178</v>
      </c>
      <c r="E1861" s="2">
        <v>278</v>
      </c>
      <c r="F1861" s="2">
        <v>5856.708</v>
      </c>
    </row>
    <row r="1862" spans="3:6" x14ac:dyDescent="0.25">
      <c r="C1862" s="2" t="s">
        <v>9081</v>
      </c>
      <c r="D1862" s="2" t="s">
        <v>178</v>
      </c>
      <c r="E1862" s="2">
        <v>139</v>
      </c>
      <c r="F1862" s="2">
        <v>2894.619</v>
      </c>
    </row>
    <row r="1863" spans="3:6" x14ac:dyDescent="0.25">
      <c r="C1863" s="2" t="s">
        <v>9082</v>
      </c>
      <c r="D1863" s="2" t="s">
        <v>178</v>
      </c>
      <c r="E1863" s="2">
        <v>100</v>
      </c>
      <c r="F1863" s="2">
        <v>2014.82</v>
      </c>
    </row>
    <row r="1864" spans="3:6" x14ac:dyDescent="0.25">
      <c r="C1864" s="2" t="s">
        <v>9083</v>
      </c>
      <c r="D1864" s="2" t="s">
        <v>178</v>
      </c>
      <c r="E1864" s="2">
        <v>100</v>
      </c>
      <c r="F1864" s="2">
        <v>2094.76</v>
      </c>
    </row>
    <row r="1865" spans="3:6" x14ac:dyDescent="0.25">
      <c r="C1865" s="2" t="s">
        <v>9084</v>
      </c>
      <c r="D1865" s="2" t="s">
        <v>178</v>
      </c>
      <c r="E1865" s="2">
        <v>139</v>
      </c>
      <c r="F1865" s="2">
        <v>2858.33</v>
      </c>
    </row>
    <row r="1866" spans="3:6" x14ac:dyDescent="0.25">
      <c r="C1866" s="2" t="s">
        <v>9085</v>
      </c>
      <c r="D1866" s="2" t="s">
        <v>178</v>
      </c>
      <c r="E1866" s="2">
        <v>139</v>
      </c>
      <c r="F1866" s="2">
        <v>2812.227</v>
      </c>
    </row>
    <row r="1867" spans="3:6" x14ac:dyDescent="0.25">
      <c r="C1867" s="2" t="s">
        <v>9086</v>
      </c>
      <c r="D1867" s="2" t="s">
        <v>178</v>
      </c>
      <c r="E1867" s="2">
        <v>139</v>
      </c>
      <c r="F1867" s="2">
        <v>2777.51</v>
      </c>
    </row>
    <row r="1868" spans="3:6" x14ac:dyDescent="0.25">
      <c r="C1868" s="2" t="s">
        <v>9087</v>
      </c>
      <c r="D1868" s="2" t="s">
        <v>178</v>
      </c>
      <c r="E1868" s="2">
        <v>139</v>
      </c>
      <c r="F1868" s="2">
        <v>2827.03</v>
      </c>
    </row>
    <row r="1869" spans="3:6" x14ac:dyDescent="0.25">
      <c r="C1869" s="2" t="s">
        <v>9088</v>
      </c>
      <c r="D1869" s="2" t="s">
        <v>178</v>
      </c>
      <c r="E1869" s="2">
        <v>139</v>
      </c>
      <c r="F1869" s="2">
        <v>2832.869</v>
      </c>
    </row>
    <row r="1870" spans="3:6" x14ac:dyDescent="0.25">
      <c r="C1870" s="2" t="s">
        <v>9089</v>
      </c>
      <c r="D1870" s="2" t="s">
        <v>178</v>
      </c>
      <c r="E1870" s="2">
        <v>100</v>
      </c>
      <c r="F1870" s="2">
        <v>2047.5</v>
      </c>
    </row>
    <row r="1871" spans="3:6" x14ac:dyDescent="0.25">
      <c r="C1871" s="2" t="s">
        <v>9090</v>
      </c>
      <c r="D1871" s="2" t="s">
        <v>178</v>
      </c>
      <c r="E1871" s="2">
        <v>20</v>
      </c>
      <c r="F1871" s="2">
        <v>361.348</v>
      </c>
    </row>
    <row r="1872" spans="3:6" x14ac:dyDescent="0.25">
      <c r="C1872" s="2" t="s">
        <v>9091</v>
      </c>
      <c r="D1872" s="2" t="s">
        <v>178</v>
      </c>
      <c r="E1872" s="2">
        <v>51</v>
      </c>
      <c r="F1872" s="2">
        <v>1053.23</v>
      </c>
    </row>
    <row r="1873" spans="3:6" x14ac:dyDescent="0.25">
      <c r="C1873" s="2" t="s">
        <v>9092</v>
      </c>
      <c r="D1873" s="2" t="s">
        <v>178</v>
      </c>
      <c r="E1873" s="2">
        <v>2</v>
      </c>
      <c r="F1873" s="2">
        <v>42.37</v>
      </c>
    </row>
    <row r="1874" spans="3:6" x14ac:dyDescent="0.25">
      <c r="C1874" s="2" t="s">
        <v>9093</v>
      </c>
      <c r="D1874" s="2" t="s">
        <v>178</v>
      </c>
      <c r="E1874" s="2">
        <v>3</v>
      </c>
      <c r="F1874" s="2">
        <v>44.04</v>
      </c>
    </row>
    <row r="1875" spans="3:6" x14ac:dyDescent="0.25">
      <c r="C1875" s="2" t="s">
        <v>9094</v>
      </c>
      <c r="D1875" s="2" t="s">
        <v>178</v>
      </c>
      <c r="E1875" s="2">
        <v>139</v>
      </c>
      <c r="F1875" s="2">
        <v>2971.509</v>
      </c>
    </row>
    <row r="1876" spans="3:6" x14ac:dyDescent="0.25">
      <c r="C1876" s="2" t="s">
        <v>9095</v>
      </c>
      <c r="D1876" s="2" t="s">
        <v>178</v>
      </c>
      <c r="E1876" s="2">
        <v>282</v>
      </c>
      <c r="F1876" s="2">
        <v>5861.43</v>
      </c>
    </row>
    <row r="1877" spans="3:6" x14ac:dyDescent="0.25">
      <c r="C1877" s="2" t="s">
        <v>9096</v>
      </c>
      <c r="D1877" s="2" t="s">
        <v>178</v>
      </c>
      <c r="E1877" s="2">
        <v>60</v>
      </c>
      <c r="F1877" s="2">
        <v>1159.059</v>
      </c>
    </row>
    <row r="1878" spans="3:6" x14ac:dyDescent="0.25">
      <c r="C1878" s="2" t="s">
        <v>9097</v>
      </c>
      <c r="D1878" s="2" t="s">
        <v>178</v>
      </c>
      <c r="E1878" s="2">
        <v>79</v>
      </c>
      <c r="F1878" s="2">
        <v>1474.18</v>
      </c>
    </row>
    <row r="1879" spans="3:6" x14ac:dyDescent="0.25">
      <c r="C1879" s="2" t="s">
        <v>9098</v>
      </c>
      <c r="D1879" s="2" t="s">
        <v>178</v>
      </c>
      <c r="E1879" s="2">
        <v>139</v>
      </c>
      <c r="F1879" s="2">
        <v>2849.649</v>
      </c>
    </row>
    <row r="1880" spans="3:6" x14ac:dyDescent="0.25">
      <c r="C1880" s="2" t="s">
        <v>9099</v>
      </c>
      <c r="D1880" s="2" t="s">
        <v>178</v>
      </c>
      <c r="E1880" s="2">
        <v>89</v>
      </c>
      <c r="F1880" s="2">
        <v>1908.55</v>
      </c>
    </row>
    <row r="1881" spans="3:6" x14ac:dyDescent="0.25">
      <c r="C1881" s="2" t="s">
        <v>9100</v>
      </c>
      <c r="D1881" s="2" t="s">
        <v>178</v>
      </c>
      <c r="E1881" s="2">
        <v>50</v>
      </c>
      <c r="F1881" s="2">
        <v>1019.51</v>
      </c>
    </row>
    <row r="1883" spans="1:7" x14ac:dyDescent="0.25">
      <c r="A1883" s="1">
        <v>46159</v>
      </c>
      <c r="B1883" s="2" t="s">
        <v>80</v>
      </c>
      <c r="C1883" s="2" t="s">
        <v>9101</v>
      </c>
      <c r="D1883" s="2" t="s">
        <v>82</v>
      </c>
      <c r="E1883" s="2">
        <v>77</v>
      </c>
      <c r="F1883" s="2">
        <v>330.28</v>
      </c>
      <c r="G1883" s="1">
        <v>46158</v>
      </c>
    </row>
    <row r="1884" spans="3:6" x14ac:dyDescent="0.25">
      <c r="C1884" s="2" t="s">
        <v>9102</v>
      </c>
      <c r="D1884" s="2" t="s">
        <v>82</v>
      </c>
      <c r="E1884" s="2">
        <v>77</v>
      </c>
      <c r="F1884" s="2">
        <v>1975.542</v>
      </c>
    </row>
    <row r="1885" spans="3:6" x14ac:dyDescent="0.25">
      <c r="C1885" s="2" t="s">
        <v>9103</v>
      </c>
      <c r="D1885" s="2" t="s">
        <v>82</v>
      </c>
      <c r="E1885" s="2">
        <v>77</v>
      </c>
      <c r="F1885" s="2">
        <v>2063.516</v>
      </c>
    </row>
    <row r="1886" spans="3:6" x14ac:dyDescent="0.25">
      <c r="C1886" s="2" t="s">
        <v>9104</v>
      </c>
      <c r="D1886" s="2" t="s">
        <v>82</v>
      </c>
      <c r="E1886" s="2">
        <v>76</v>
      </c>
      <c r="F1886" s="2">
        <v>2024.671</v>
      </c>
    </row>
    <row r="1887" spans="3:6" x14ac:dyDescent="0.25">
      <c r="C1887" s="2" t="s">
        <v>9105</v>
      </c>
      <c r="D1887" s="2" t="s">
        <v>82</v>
      </c>
      <c r="E1887" s="2">
        <v>44</v>
      </c>
      <c r="F1887" s="2">
        <v>873.11</v>
      </c>
    </row>
    <row r="1888" spans="3:6" x14ac:dyDescent="0.25">
      <c r="C1888" s="2" t="s">
        <v>9106</v>
      </c>
      <c r="D1888" s="2" t="s">
        <v>82</v>
      </c>
      <c r="E1888" s="2">
        <v>34</v>
      </c>
      <c r="F1888" s="2">
        <v>680.47</v>
      </c>
    </row>
    <row r="1889" spans="3:6" x14ac:dyDescent="0.25">
      <c r="C1889" s="2" t="s">
        <v>9107</v>
      </c>
      <c r="D1889" s="2" t="s">
        <v>82</v>
      </c>
      <c r="E1889" s="2">
        <v>32</v>
      </c>
      <c r="F1889" s="2">
        <v>592.77</v>
      </c>
    </row>
    <row r="1890" spans="3:6" x14ac:dyDescent="0.25">
      <c r="C1890" s="2" t="s">
        <v>9108</v>
      </c>
      <c r="D1890" s="2" t="s">
        <v>82</v>
      </c>
      <c r="E1890" s="2">
        <v>11</v>
      </c>
      <c r="F1890" s="2">
        <v>228.58</v>
      </c>
    </row>
    <row r="1891" spans="3:6" x14ac:dyDescent="0.25">
      <c r="C1891" s="2" t="s">
        <v>9109</v>
      </c>
      <c r="D1891" s="2" t="s">
        <v>82</v>
      </c>
      <c r="E1891" s="2">
        <v>78</v>
      </c>
      <c r="F1891" s="2">
        <v>1732.897</v>
      </c>
    </row>
    <row r="1892" spans="3:6" x14ac:dyDescent="0.25">
      <c r="C1892" s="2" t="s">
        <v>9110</v>
      </c>
      <c r="D1892" s="2" t="s">
        <v>82</v>
      </c>
      <c r="E1892" s="2">
        <v>62</v>
      </c>
      <c r="F1892" s="2">
        <v>1283.919</v>
      </c>
    </row>
    <row r="1893" spans="3:6" x14ac:dyDescent="0.25">
      <c r="C1893" s="2" t="s">
        <v>9111</v>
      </c>
      <c r="D1893" s="2" t="s">
        <v>82</v>
      </c>
      <c r="E1893" s="2">
        <v>24</v>
      </c>
      <c r="F1893" s="2">
        <v>271.892</v>
      </c>
    </row>
    <row r="1894" spans="3:6" x14ac:dyDescent="0.25">
      <c r="C1894" s="2" t="s">
        <v>9112</v>
      </c>
      <c r="D1894" s="2" t="s">
        <v>82</v>
      </c>
      <c r="E1894" s="2">
        <v>45</v>
      </c>
      <c r="F1894" s="2">
        <v>903.83</v>
      </c>
    </row>
    <row r="1895" spans="3:6" x14ac:dyDescent="0.25">
      <c r="C1895" s="2" t="s">
        <v>9113</v>
      </c>
      <c r="D1895" s="2" t="s">
        <v>82</v>
      </c>
      <c r="E1895" s="2">
        <v>17</v>
      </c>
      <c r="F1895" s="2">
        <v>325.43</v>
      </c>
    </row>
    <row r="1896" spans="3:6" x14ac:dyDescent="0.25">
      <c r="C1896" s="2" t="s">
        <v>9114</v>
      </c>
      <c r="D1896" s="2" t="s">
        <v>82</v>
      </c>
      <c r="E1896" s="2">
        <v>18</v>
      </c>
      <c r="F1896" s="2">
        <v>250.86</v>
      </c>
    </row>
    <row r="1897" spans="3:6" x14ac:dyDescent="0.25">
      <c r="C1897" s="2" t="s">
        <v>9115</v>
      </c>
      <c r="D1897" s="2" t="s">
        <v>82</v>
      </c>
      <c r="E1897" s="2">
        <v>64</v>
      </c>
      <c r="F1897" s="2">
        <v>1163.87</v>
      </c>
    </row>
    <row r="1898" spans="3:6" x14ac:dyDescent="0.25">
      <c r="C1898" s="2" t="s">
        <v>9116</v>
      </c>
      <c r="D1898" s="2" t="s">
        <v>82</v>
      </c>
      <c r="E1898" s="2">
        <v>12</v>
      </c>
      <c r="F1898" s="2">
        <v>190.97</v>
      </c>
    </row>
    <row r="1899" spans="3:6" x14ac:dyDescent="0.25">
      <c r="C1899" s="2" t="s">
        <v>9117</v>
      </c>
      <c r="D1899" s="2" t="s">
        <v>82</v>
      </c>
      <c r="E1899" s="2">
        <v>54</v>
      </c>
      <c r="F1899" s="2">
        <v>992.31</v>
      </c>
    </row>
    <row r="1900" spans="3:6" x14ac:dyDescent="0.25">
      <c r="C1900" s="2" t="s">
        <v>9118</v>
      </c>
      <c r="D1900" s="2" t="s">
        <v>82</v>
      </c>
      <c r="E1900" s="2">
        <v>39</v>
      </c>
      <c r="F1900" s="2">
        <v>804.11</v>
      </c>
    </row>
    <row r="1901" spans="3:6" x14ac:dyDescent="0.25">
      <c r="C1901" s="2" t="s">
        <v>9119</v>
      </c>
      <c r="D1901" s="2" t="s">
        <v>82</v>
      </c>
      <c r="E1901" s="2">
        <v>16</v>
      </c>
      <c r="F1901" s="2">
        <v>306.4</v>
      </c>
    </row>
    <row r="1902" spans="3:6" x14ac:dyDescent="0.25">
      <c r="C1902" s="2" t="s">
        <v>9120</v>
      </c>
      <c r="D1902" s="2" t="s">
        <v>82</v>
      </c>
      <c r="E1902" s="2">
        <v>6</v>
      </c>
      <c r="F1902" s="2">
        <v>117.4</v>
      </c>
    </row>
    <row r="1903" spans="3:6" x14ac:dyDescent="0.25">
      <c r="C1903" s="2" t="s">
        <v>9121</v>
      </c>
      <c r="D1903" s="2" t="s">
        <v>82</v>
      </c>
      <c r="E1903" s="2">
        <v>7</v>
      </c>
      <c r="F1903" s="2">
        <v>130.83</v>
      </c>
    </row>
    <row r="1904" spans="3:6" x14ac:dyDescent="0.25">
      <c r="C1904" s="2" t="s">
        <v>9122</v>
      </c>
      <c r="D1904" s="2" t="s">
        <v>82</v>
      </c>
      <c r="E1904" s="2">
        <v>69</v>
      </c>
      <c r="F1904" s="2">
        <v>1371.25</v>
      </c>
    </row>
    <row r="1905" spans="3:6" x14ac:dyDescent="0.25">
      <c r="C1905" s="2" t="s">
        <v>9123</v>
      </c>
      <c r="D1905" s="2" t="s">
        <v>82</v>
      </c>
      <c r="E1905" s="2">
        <v>45</v>
      </c>
      <c r="F1905" s="2">
        <v>901.81</v>
      </c>
    </row>
    <row r="1906" spans="3:6" x14ac:dyDescent="0.25">
      <c r="C1906" s="2" t="s">
        <v>9124</v>
      </c>
      <c r="D1906" s="2" t="s">
        <v>82</v>
      </c>
      <c r="E1906" s="2">
        <v>102</v>
      </c>
      <c r="F1906" s="2">
        <v>2045.25</v>
      </c>
    </row>
    <row r="1907" spans="3:6" x14ac:dyDescent="0.25">
      <c r="C1907" s="2" t="s">
        <v>9125</v>
      </c>
      <c r="D1907" s="2" t="s">
        <v>82</v>
      </c>
      <c r="E1907" s="2">
        <v>11</v>
      </c>
      <c r="F1907" s="2">
        <v>210.57</v>
      </c>
    </row>
    <row r="1908" spans="3:6" x14ac:dyDescent="0.25">
      <c r="C1908" s="2" t="s">
        <v>9126</v>
      </c>
      <c r="D1908" s="2" t="s">
        <v>82</v>
      </c>
      <c r="E1908" s="2">
        <v>37</v>
      </c>
      <c r="F1908" s="2">
        <v>760.4</v>
      </c>
    </row>
    <row r="1909" spans="3:6" x14ac:dyDescent="0.25">
      <c r="C1909" s="2" t="s">
        <v>9127</v>
      </c>
      <c r="D1909" s="2" t="s">
        <v>82</v>
      </c>
      <c r="E1909" s="2">
        <v>54</v>
      </c>
      <c r="F1909" s="2">
        <v>1011.7</v>
      </c>
    </row>
    <row r="1910" spans="3:6" x14ac:dyDescent="0.25">
      <c r="C1910" s="2" t="s">
        <v>9128</v>
      </c>
      <c r="D1910" s="2" t="s">
        <v>82</v>
      </c>
      <c r="E1910" s="2">
        <v>75</v>
      </c>
      <c r="F1910" s="2">
        <v>1569.58</v>
      </c>
    </row>
    <row r="1911" spans="3:6" x14ac:dyDescent="0.25">
      <c r="C1911" s="2" t="s">
        <v>9129</v>
      </c>
      <c r="D1911" s="2" t="s">
        <v>82</v>
      </c>
      <c r="E1911" s="2">
        <v>71</v>
      </c>
      <c r="F1911" s="2">
        <v>2084.219</v>
      </c>
    </row>
    <row r="1912" spans="3:6" x14ac:dyDescent="0.25">
      <c r="C1912" s="2" t="s">
        <v>9130</v>
      </c>
      <c r="D1912" s="2" t="s">
        <v>82</v>
      </c>
      <c r="E1912" s="2">
        <v>77</v>
      </c>
      <c r="F1912" s="2">
        <v>1554.16</v>
      </c>
    </row>
    <row r="1913" spans="3:6" x14ac:dyDescent="0.25">
      <c r="C1913" s="2" t="s">
        <v>9131</v>
      </c>
      <c r="D1913" s="2" t="s">
        <v>82</v>
      </c>
      <c r="E1913" s="2">
        <v>33</v>
      </c>
      <c r="F1913" s="2">
        <v>702.54</v>
      </c>
    </row>
    <row r="1914" spans="3:6" x14ac:dyDescent="0.25">
      <c r="C1914" s="2" t="s">
        <v>9132</v>
      </c>
      <c r="D1914" s="2" t="s">
        <v>82</v>
      </c>
      <c r="E1914" s="2">
        <v>24</v>
      </c>
      <c r="F1914" s="2">
        <v>522.35</v>
      </c>
    </row>
    <row r="1915" spans="3:6" x14ac:dyDescent="0.25">
      <c r="C1915" s="2" t="s">
        <v>9133</v>
      </c>
      <c r="D1915" s="2" t="s">
        <v>82</v>
      </c>
      <c r="E1915" s="2">
        <v>141</v>
      </c>
      <c r="F1915" s="2">
        <v>2775.587</v>
      </c>
    </row>
    <row r="1916" spans="3:6" x14ac:dyDescent="0.25">
      <c r="C1916" s="2" t="s">
        <v>9134</v>
      </c>
      <c r="D1916" s="2" t="s">
        <v>82</v>
      </c>
      <c r="E1916" s="2">
        <v>141</v>
      </c>
      <c r="F1916" s="2">
        <v>2895.22</v>
      </c>
    </row>
    <row r="1917" spans="3:6" x14ac:dyDescent="0.25">
      <c r="C1917" s="2" t="s">
        <v>9135</v>
      </c>
      <c r="D1917" s="2" t="s">
        <v>82</v>
      </c>
      <c r="E1917" s="2">
        <v>141</v>
      </c>
      <c r="F1917" s="2">
        <v>2935.55</v>
      </c>
    </row>
    <row r="1918" spans="3:6" x14ac:dyDescent="0.25">
      <c r="C1918" s="2" t="s">
        <v>9136</v>
      </c>
      <c r="D1918" s="2" t="s">
        <v>82</v>
      </c>
      <c r="E1918" s="2">
        <v>35</v>
      </c>
      <c r="F1918" s="2">
        <v>686.47</v>
      </c>
    </row>
    <row r="1919" spans="3:6" x14ac:dyDescent="0.25">
      <c r="C1919" s="2" t="s">
        <v>9137</v>
      </c>
      <c r="D1919" s="2" t="s">
        <v>82</v>
      </c>
      <c r="E1919" s="2">
        <v>46</v>
      </c>
      <c r="F1919" s="2">
        <v>915.4</v>
      </c>
    </row>
    <row r="1920" spans="3:6" x14ac:dyDescent="0.25">
      <c r="C1920" s="2" t="s">
        <v>9138</v>
      </c>
      <c r="D1920" s="2" t="s">
        <v>82</v>
      </c>
      <c r="E1920" s="2">
        <v>21</v>
      </c>
      <c r="F1920" s="2">
        <v>439.79</v>
      </c>
    </row>
    <row r="1921" spans="3:6" x14ac:dyDescent="0.25">
      <c r="C1921" s="2" t="s">
        <v>9139</v>
      </c>
      <c r="D1921" s="2" t="s">
        <v>82</v>
      </c>
      <c r="E1921" s="2">
        <v>51</v>
      </c>
      <c r="F1921" s="2">
        <v>1096.73</v>
      </c>
    </row>
    <row r="1922" spans="3:6" x14ac:dyDescent="0.25">
      <c r="C1922" s="2" t="s">
        <v>9140</v>
      </c>
      <c r="D1922" s="2" t="s">
        <v>82</v>
      </c>
      <c r="E1922" s="2">
        <v>60</v>
      </c>
      <c r="F1922" s="2">
        <v>1266.6</v>
      </c>
    </row>
    <row r="1923" spans="3:6" x14ac:dyDescent="0.25">
      <c r="C1923" s="2" t="s">
        <v>9141</v>
      </c>
      <c r="D1923" s="2" t="s">
        <v>82</v>
      </c>
      <c r="E1923" s="2">
        <v>30</v>
      </c>
      <c r="F1923" s="2">
        <v>625.2</v>
      </c>
    </row>
    <row r="1924" spans="3:6" x14ac:dyDescent="0.25">
      <c r="C1924" s="2" t="s">
        <v>9142</v>
      </c>
      <c r="D1924" s="2" t="s">
        <v>82</v>
      </c>
      <c r="E1924" s="2">
        <v>29</v>
      </c>
      <c r="F1924" s="2">
        <v>581.509</v>
      </c>
    </row>
    <row r="1925" spans="3:6" x14ac:dyDescent="0.25">
      <c r="C1925" s="2" t="s">
        <v>9143</v>
      </c>
      <c r="D1925" s="2" t="s">
        <v>82</v>
      </c>
      <c r="E1925" s="2">
        <v>19</v>
      </c>
      <c r="F1925" s="2">
        <v>378.52</v>
      </c>
    </row>
    <row r="1926" spans="3:6" x14ac:dyDescent="0.25">
      <c r="C1926" s="2" t="s">
        <v>9144</v>
      </c>
      <c r="D1926" s="2" t="s">
        <v>82</v>
      </c>
      <c r="E1926" s="2">
        <v>20</v>
      </c>
      <c r="F1926" s="2">
        <v>413.97</v>
      </c>
    </row>
    <row r="1927" spans="3:6" x14ac:dyDescent="0.25">
      <c r="C1927" s="2" t="s">
        <v>9145</v>
      </c>
      <c r="D1927" s="2" t="s">
        <v>82</v>
      </c>
      <c r="E1927" s="2">
        <v>17</v>
      </c>
      <c r="F1927" s="2">
        <v>350.86</v>
      </c>
    </row>
    <row r="1928" spans="3:6" x14ac:dyDescent="0.25">
      <c r="C1928" s="2" t="s">
        <v>9146</v>
      </c>
      <c r="D1928" s="2" t="s">
        <v>82</v>
      </c>
      <c r="E1928" s="2">
        <v>15</v>
      </c>
      <c r="F1928" s="2">
        <v>316.33</v>
      </c>
    </row>
    <row r="1929" spans="3:6" x14ac:dyDescent="0.25">
      <c r="C1929" s="2" t="s">
        <v>9147</v>
      </c>
      <c r="D1929" s="2" t="s">
        <v>82</v>
      </c>
      <c r="E1929" s="2">
        <v>75</v>
      </c>
      <c r="F1929" s="2">
        <v>1533.51</v>
      </c>
    </row>
    <row r="1930" spans="3:6" x14ac:dyDescent="0.25">
      <c r="C1930" s="2" t="s">
        <v>9148</v>
      </c>
      <c r="D1930" s="2" t="s">
        <v>82</v>
      </c>
      <c r="E1930" s="2">
        <v>27</v>
      </c>
      <c r="F1930" s="2">
        <v>561.68</v>
      </c>
    </row>
    <row r="1931" spans="3:6" x14ac:dyDescent="0.25">
      <c r="C1931" s="2" t="s">
        <v>9149</v>
      </c>
      <c r="D1931" s="2" t="s">
        <v>82</v>
      </c>
      <c r="E1931" s="2">
        <v>141</v>
      </c>
      <c r="F1931" s="2">
        <v>2870.42</v>
      </c>
    </row>
    <row r="1932" spans="3:6" x14ac:dyDescent="0.25">
      <c r="C1932" s="2" t="s">
        <v>9150</v>
      </c>
      <c r="D1932" s="2" t="s">
        <v>82</v>
      </c>
      <c r="E1932" s="2">
        <v>44</v>
      </c>
      <c r="F1932" s="2">
        <v>924.71</v>
      </c>
    </row>
    <row r="1933" spans="3:6" x14ac:dyDescent="0.25">
      <c r="C1933" s="2" t="s">
        <v>9151</v>
      </c>
      <c r="D1933" s="2" t="s">
        <v>82</v>
      </c>
      <c r="E1933" s="2">
        <v>74</v>
      </c>
      <c r="F1933" s="2">
        <v>1528.67</v>
      </c>
    </row>
    <row r="1934" spans="3:6" x14ac:dyDescent="0.25">
      <c r="C1934" s="2" t="s">
        <v>9152</v>
      </c>
      <c r="D1934" s="2" t="s">
        <v>82</v>
      </c>
      <c r="E1934" s="2">
        <v>23</v>
      </c>
      <c r="F1934" s="2">
        <v>479.81</v>
      </c>
    </row>
    <row r="1936" spans="1:7" x14ac:dyDescent="0.25">
      <c r="A1936" s="1">
        <v>46159</v>
      </c>
      <c r="B1936" s="2" t="s">
        <v>7</v>
      </c>
      <c r="C1936" s="2" t="s">
        <v>9153</v>
      </c>
      <c r="D1936" s="2" t="s">
        <v>9</v>
      </c>
      <c r="E1936" s="2">
        <v>90</v>
      </c>
      <c r="F1936" s="2">
        <v>1829.12</v>
      </c>
      <c r="G1936" s="1">
        <v>46159</v>
      </c>
    </row>
    <row r="1937" spans="3:6" x14ac:dyDescent="0.25">
      <c r="C1937" s="2" t="s">
        <v>9154</v>
      </c>
      <c r="D1937" s="2" t="s">
        <v>9</v>
      </c>
      <c r="E1937" s="2">
        <v>90</v>
      </c>
      <c r="F1937" s="2">
        <v>1895.47</v>
      </c>
    </row>
    <row r="1939" spans="1:7" x14ac:dyDescent="0.25">
      <c r="A1939" s="1">
        <v>46159</v>
      </c>
      <c r="B1939" s="2" t="s">
        <v>7683</v>
      </c>
      <c r="C1939" s="2" t="s">
        <v>9155</v>
      </c>
      <c r="D1939" s="2" t="s">
        <v>9</v>
      </c>
      <c r="E1939" s="2">
        <v>156</v>
      </c>
      <c r="F1939" s="2">
        <v>3120.459</v>
      </c>
      <c r="G1939" s="1">
        <v>46159</v>
      </c>
    </row>
    <row r="1940" spans="3:6" x14ac:dyDescent="0.25">
      <c r="C1940" s="2" t="s">
        <v>9156</v>
      </c>
      <c r="D1940" s="2" t="s">
        <v>9</v>
      </c>
      <c r="E1940" s="2">
        <v>156</v>
      </c>
      <c r="F1940" s="2">
        <v>3162.532</v>
      </c>
    </row>
    <row r="1941" spans="3:6" x14ac:dyDescent="0.25">
      <c r="C1941" s="2" t="s">
        <v>9157</v>
      </c>
      <c r="D1941" s="2" t="s">
        <v>9</v>
      </c>
      <c r="E1941" s="2">
        <v>70</v>
      </c>
      <c r="F1941" s="2">
        <v>1442.06</v>
      </c>
    </row>
    <row r="1943" spans="1:7" x14ac:dyDescent="0.25">
      <c r="A1943" s="1">
        <v>46159</v>
      </c>
      <c r="B1943" s="2" t="s">
        <v>7875</v>
      </c>
      <c r="C1943" s="2" t="s">
        <v>9158</v>
      </c>
      <c r="D1943" s="2" t="s">
        <v>59</v>
      </c>
      <c r="E1943" s="2">
        <v>142</v>
      </c>
      <c r="F1943" s="2">
        <v>2678.852</v>
      </c>
      <c r="G1943" s="1">
        <v>46158</v>
      </c>
    </row>
    <row r="1944" spans="3:6" x14ac:dyDescent="0.25">
      <c r="C1944" s="2" t="s">
        <v>9159</v>
      </c>
      <c r="D1944" s="2" t="s">
        <v>59</v>
      </c>
      <c r="E1944" s="2">
        <v>272</v>
      </c>
      <c r="F1944" s="2">
        <v>5459.52</v>
      </c>
    </row>
    <row r="1945" spans="3:6" x14ac:dyDescent="0.25">
      <c r="C1945" s="2" t="s">
        <v>9160</v>
      </c>
      <c r="D1945" s="2" t="s">
        <v>59</v>
      </c>
      <c r="E1945" s="2">
        <v>191</v>
      </c>
      <c r="F1945" s="2">
        <v>4119.92</v>
      </c>
    </row>
    <row r="1946" spans="3:6" x14ac:dyDescent="0.25">
      <c r="C1946" s="2" t="s">
        <v>9161</v>
      </c>
      <c r="D1946" s="2" t="s">
        <v>59</v>
      </c>
      <c r="E1946" s="2">
        <v>273</v>
      </c>
      <c r="F1946" s="2">
        <v>5012.241</v>
      </c>
    </row>
    <row r="1947" spans="3:6" x14ac:dyDescent="0.25">
      <c r="C1947" s="2" t="s">
        <v>9162</v>
      </c>
      <c r="D1947" s="2" t="s">
        <v>59</v>
      </c>
      <c r="E1947" s="2">
        <v>102</v>
      </c>
      <c r="F1947" s="2">
        <v>2055.21</v>
      </c>
    </row>
    <row r="1948" spans="3:6" x14ac:dyDescent="0.25">
      <c r="C1948" s="2" t="s">
        <v>9163</v>
      </c>
      <c r="D1948" s="2" t="s">
        <v>59</v>
      </c>
      <c r="E1948" s="2">
        <v>149</v>
      </c>
      <c r="F1948" s="2">
        <v>2882.739</v>
      </c>
    </row>
    <row r="1949" spans="3:6" x14ac:dyDescent="0.25">
      <c r="C1949" s="2" t="s">
        <v>9164</v>
      </c>
      <c r="D1949" s="2" t="s">
        <v>59</v>
      </c>
      <c r="E1949" s="2">
        <v>251</v>
      </c>
      <c r="F1949" s="2">
        <v>4995.75</v>
      </c>
    </row>
    <row r="1951" spans="1:7" x14ac:dyDescent="0.25">
      <c r="A1951" s="1">
        <v>46160</v>
      </c>
      <c r="B1951" s="2" t="s">
        <v>1012</v>
      </c>
      <c r="C1951" s="2" t="s">
        <v>9165</v>
      </c>
      <c r="D1951" s="2" t="s">
        <v>82</v>
      </c>
      <c r="E1951" s="2">
        <v>62</v>
      </c>
      <c r="F1951" s="2">
        <v>1258.36</v>
      </c>
      <c r="G1951" s="1">
        <v>46159</v>
      </c>
    </row>
    <row r="1952" spans="3:6" x14ac:dyDescent="0.25">
      <c r="C1952" s="2" t="s">
        <v>9166</v>
      </c>
      <c r="D1952" s="2" t="s">
        <v>82</v>
      </c>
      <c r="E1952" s="2">
        <v>59</v>
      </c>
      <c r="F1952" s="2">
        <v>1166.69</v>
      </c>
    </row>
    <row r="1953" spans="3:6" x14ac:dyDescent="0.25">
      <c r="C1953" s="2" t="s">
        <v>9167</v>
      </c>
      <c r="D1953" s="2" t="s">
        <v>82</v>
      </c>
      <c r="E1953" s="2">
        <v>121</v>
      </c>
      <c r="F1953" s="2">
        <v>2508.8</v>
      </c>
    </row>
    <row r="1954" spans="3:6" x14ac:dyDescent="0.25">
      <c r="C1954" s="2" t="s">
        <v>9168</v>
      </c>
      <c r="D1954" s="2" t="s">
        <v>82</v>
      </c>
      <c r="E1954" s="2">
        <v>92</v>
      </c>
      <c r="F1954" s="2">
        <v>2099.015</v>
      </c>
    </row>
    <row r="1955" spans="3:6" x14ac:dyDescent="0.25">
      <c r="C1955" s="2" t="s">
        <v>9169</v>
      </c>
      <c r="D1955" s="2" t="s">
        <v>82</v>
      </c>
      <c r="E1955" s="2">
        <v>109</v>
      </c>
      <c r="F1955" s="2">
        <v>1150.982</v>
      </c>
    </row>
    <row r="1956" spans="3:6" x14ac:dyDescent="0.25">
      <c r="C1956" s="2" t="s">
        <v>9170</v>
      </c>
      <c r="D1956" s="2" t="s">
        <v>82</v>
      </c>
      <c r="E1956" s="2">
        <v>141</v>
      </c>
      <c r="F1956" s="2">
        <v>2922.89</v>
      </c>
    </row>
    <row r="1957" spans="3:6" x14ac:dyDescent="0.25">
      <c r="C1957" s="2" t="s">
        <v>9171</v>
      </c>
      <c r="D1957" s="2" t="s">
        <v>82</v>
      </c>
      <c r="E1957" s="2">
        <v>141</v>
      </c>
      <c r="F1957" s="2">
        <v>2897.21</v>
      </c>
    </row>
    <row r="1958" spans="3:6" x14ac:dyDescent="0.25">
      <c r="C1958" s="2" t="s">
        <v>9172</v>
      </c>
      <c r="D1958" s="2" t="s">
        <v>82</v>
      </c>
      <c r="E1958" s="2">
        <v>30</v>
      </c>
      <c r="F1958" s="2">
        <v>600.07</v>
      </c>
    </row>
    <row r="1959" spans="3:6" x14ac:dyDescent="0.25">
      <c r="C1959" s="2" t="s">
        <v>9173</v>
      </c>
      <c r="D1959" s="2" t="s">
        <v>82</v>
      </c>
      <c r="E1959" s="2">
        <v>26</v>
      </c>
      <c r="F1959" s="2">
        <v>543.71</v>
      </c>
    </row>
    <row r="1960" spans="3:6" x14ac:dyDescent="0.25">
      <c r="C1960" s="2" t="s">
        <v>9174</v>
      </c>
      <c r="D1960" s="2" t="s">
        <v>82</v>
      </c>
      <c r="E1960" s="2">
        <v>44</v>
      </c>
      <c r="F1960" s="2">
        <v>901.03</v>
      </c>
    </row>
    <row r="1961" spans="3:6" x14ac:dyDescent="0.25">
      <c r="C1961" s="2" t="s">
        <v>9175</v>
      </c>
      <c r="D1961" s="2" t="s">
        <v>82</v>
      </c>
      <c r="E1961" s="2">
        <v>62</v>
      </c>
      <c r="F1961" s="2">
        <v>1221.35</v>
      </c>
    </row>
    <row r="1962" spans="3:6" x14ac:dyDescent="0.25">
      <c r="C1962" s="2" t="s">
        <v>9176</v>
      </c>
      <c r="D1962" s="2" t="s">
        <v>82</v>
      </c>
      <c r="E1962" s="2">
        <v>35</v>
      </c>
      <c r="F1962" s="2">
        <v>729.11</v>
      </c>
    </row>
    <row r="1963" spans="3:6" x14ac:dyDescent="0.25">
      <c r="C1963" s="2" t="s">
        <v>9177</v>
      </c>
      <c r="D1963" s="2" t="s">
        <v>82</v>
      </c>
      <c r="E1963" s="2">
        <v>44</v>
      </c>
      <c r="F1963" s="2">
        <v>898.9</v>
      </c>
    </row>
    <row r="1964" spans="3:6" x14ac:dyDescent="0.25">
      <c r="C1964" s="2" t="s">
        <v>9178</v>
      </c>
      <c r="D1964" s="2" t="s">
        <v>82</v>
      </c>
      <c r="E1964" s="2">
        <v>81</v>
      </c>
      <c r="F1964" s="2">
        <v>1676.01</v>
      </c>
    </row>
    <row r="1965" spans="3:6" x14ac:dyDescent="0.25">
      <c r="C1965" s="2" t="s">
        <v>9179</v>
      </c>
      <c r="D1965" s="2" t="s">
        <v>82</v>
      </c>
      <c r="E1965" s="2">
        <v>60</v>
      </c>
      <c r="F1965" s="2">
        <v>1240.3</v>
      </c>
    </row>
    <row r="1966" spans="3:6" x14ac:dyDescent="0.25">
      <c r="C1966" s="2" t="s">
        <v>9180</v>
      </c>
      <c r="D1966" s="2" t="s">
        <v>82</v>
      </c>
      <c r="E1966" s="2">
        <v>50</v>
      </c>
      <c r="F1966" s="2">
        <v>1022.68</v>
      </c>
    </row>
    <row r="1967" spans="3:6" x14ac:dyDescent="0.25">
      <c r="C1967" s="2" t="s">
        <v>9181</v>
      </c>
      <c r="D1967" s="2" t="s">
        <v>82</v>
      </c>
      <c r="E1967" s="2">
        <v>70</v>
      </c>
      <c r="F1967" s="2">
        <v>1462.33</v>
      </c>
    </row>
    <row r="1968" spans="3:6" x14ac:dyDescent="0.25">
      <c r="C1968" s="2" t="s">
        <v>9182</v>
      </c>
      <c r="D1968" s="2" t="s">
        <v>82</v>
      </c>
      <c r="E1968" s="2">
        <v>15</v>
      </c>
      <c r="F1968" s="2">
        <v>156.734</v>
      </c>
    </row>
    <row r="1969" spans="3:6" x14ac:dyDescent="0.25">
      <c r="C1969" s="2" t="s">
        <v>9183</v>
      </c>
      <c r="D1969" s="2" t="s">
        <v>82</v>
      </c>
      <c r="E1969" s="2">
        <v>100</v>
      </c>
      <c r="F1969" s="2">
        <v>2024.549</v>
      </c>
    </row>
    <row r="1970" spans="3:6" x14ac:dyDescent="0.25">
      <c r="C1970" s="2" t="s">
        <v>9184</v>
      </c>
      <c r="D1970" s="2" t="s">
        <v>82</v>
      </c>
      <c r="E1970" s="2">
        <v>70</v>
      </c>
      <c r="F1970" s="2">
        <v>1422.33</v>
      </c>
    </row>
    <row r="1971" spans="3:6" x14ac:dyDescent="0.25">
      <c r="C1971" s="2" t="s">
        <v>9185</v>
      </c>
      <c r="D1971" s="2" t="s">
        <v>82</v>
      </c>
      <c r="E1971" s="2">
        <v>30</v>
      </c>
      <c r="F1971" s="2">
        <v>610.78</v>
      </c>
    </row>
    <row r="1972" spans="3:6" x14ac:dyDescent="0.25">
      <c r="C1972" s="2" t="s">
        <v>9186</v>
      </c>
      <c r="D1972" s="2" t="s">
        <v>82</v>
      </c>
      <c r="E1972" s="2">
        <v>38</v>
      </c>
      <c r="F1972" s="2">
        <v>805.98</v>
      </c>
    </row>
    <row r="1973" spans="3:6" x14ac:dyDescent="0.25">
      <c r="C1973" s="2" t="s">
        <v>9187</v>
      </c>
      <c r="D1973" s="2" t="s">
        <v>82</v>
      </c>
      <c r="E1973" s="2">
        <v>23</v>
      </c>
      <c r="F1973" s="2">
        <v>482.58</v>
      </c>
    </row>
    <row r="1974" spans="3:6" x14ac:dyDescent="0.25">
      <c r="C1974" s="2" t="s">
        <v>9188</v>
      </c>
      <c r="D1974" s="2" t="s">
        <v>82</v>
      </c>
      <c r="E1974" s="2">
        <v>14</v>
      </c>
      <c r="F1974" s="2">
        <v>273.409</v>
      </c>
    </row>
    <row r="1975" spans="3:6" x14ac:dyDescent="0.25">
      <c r="C1975" s="2" t="s">
        <v>9189</v>
      </c>
      <c r="D1975" s="2" t="s">
        <v>82</v>
      </c>
      <c r="E1975" s="2">
        <v>9</v>
      </c>
      <c r="F1975" s="2">
        <v>131.863</v>
      </c>
    </row>
    <row r="1976" spans="3:6" x14ac:dyDescent="0.25">
      <c r="C1976" s="2" t="s">
        <v>9190</v>
      </c>
      <c r="D1976" s="2" t="s">
        <v>82</v>
      </c>
      <c r="E1976" s="2">
        <v>56</v>
      </c>
      <c r="F1976" s="2">
        <v>1203.27</v>
      </c>
    </row>
    <row r="1977" spans="3:6" x14ac:dyDescent="0.25">
      <c r="C1977" s="2" t="s">
        <v>9191</v>
      </c>
      <c r="D1977" s="2" t="s">
        <v>82</v>
      </c>
      <c r="E1977" s="2">
        <v>29</v>
      </c>
      <c r="F1977" s="2">
        <v>595.79</v>
      </c>
    </row>
    <row r="1978" spans="3:6" x14ac:dyDescent="0.25">
      <c r="C1978" s="2" t="s">
        <v>9192</v>
      </c>
      <c r="D1978" s="2" t="s">
        <v>82</v>
      </c>
      <c r="E1978" s="2">
        <v>25</v>
      </c>
      <c r="F1978" s="2">
        <v>526.78</v>
      </c>
    </row>
    <row r="1979" spans="3:6" x14ac:dyDescent="0.25">
      <c r="C1979" s="2" t="s">
        <v>9193</v>
      </c>
      <c r="D1979" s="2" t="s">
        <v>82</v>
      </c>
      <c r="E1979" s="2">
        <v>18</v>
      </c>
      <c r="F1979" s="2">
        <v>364.42</v>
      </c>
    </row>
    <row r="1980" spans="3:6" x14ac:dyDescent="0.25">
      <c r="C1980" s="2" t="s">
        <v>9194</v>
      </c>
      <c r="D1980" s="2" t="s">
        <v>82</v>
      </c>
      <c r="E1980" s="2">
        <v>37</v>
      </c>
      <c r="F1980" s="2">
        <v>1233.832</v>
      </c>
    </row>
    <row r="1981" spans="3:6" x14ac:dyDescent="0.25">
      <c r="C1981" s="2" t="s">
        <v>9195</v>
      </c>
      <c r="D1981" s="2" t="s">
        <v>82</v>
      </c>
      <c r="E1981" s="2">
        <v>100</v>
      </c>
      <c r="F1981" s="2">
        <v>1901.15</v>
      </c>
    </row>
    <row r="1982" spans="3:6" x14ac:dyDescent="0.25">
      <c r="C1982" s="2" t="s">
        <v>9196</v>
      </c>
      <c r="D1982" s="2" t="s">
        <v>82</v>
      </c>
      <c r="E1982" s="2">
        <v>98</v>
      </c>
      <c r="F1982" s="2">
        <v>1716.01</v>
      </c>
    </row>
    <row r="1984" spans="1:7" x14ac:dyDescent="0.25">
      <c r="A1984" s="1">
        <v>46160</v>
      </c>
      <c r="B1984" s="2" t="s">
        <v>176</v>
      </c>
      <c r="C1984" s="2" t="s">
        <v>9197</v>
      </c>
      <c r="D1984" s="2" t="s">
        <v>178</v>
      </c>
      <c r="E1984" s="2">
        <v>60</v>
      </c>
      <c r="F1984" s="2">
        <v>257.108</v>
      </c>
      <c r="G1984" s="1">
        <v>46159</v>
      </c>
    </row>
    <row r="1985" spans="3:6" x14ac:dyDescent="0.25">
      <c r="C1985" s="2" t="s">
        <v>9198</v>
      </c>
      <c r="D1985" s="2" t="s">
        <v>178</v>
      </c>
      <c r="E1985" s="2">
        <v>121</v>
      </c>
      <c r="F1985" s="2">
        <v>2325.857</v>
      </c>
    </row>
    <row r="1986" spans="3:6" x14ac:dyDescent="0.25">
      <c r="C1986" s="2" t="s">
        <v>9199</v>
      </c>
      <c r="D1986" s="2" t="s">
        <v>178</v>
      </c>
      <c r="E1986" s="2">
        <v>139</v>
      </c>
      <c r="F1986" s="2">
        <v>2582.796</v>
      </c>
    </row>
    <row r="1987" spans="3:6" x14ac:dyDescent="0.25">
      <c r="C1987" s="2" t="s">
        <v>9200</v>
      </c>
      <c r="D1987" s="2" t="s">
        <v>178</v>
      </c>
      <c r="E1987" s="2">
        <v>139</v>
      </c>
      <c r="F1987" s="2">
        <v>2773.16</v>
      </c>
    </row>
    <row r="1988" spans="3:6" x14ac:dyDescent="0.25">
      <c r="C1988" s="2" t="s">
        <v>9201</v>
      </c>
      <c r="D1988" s="2" t="s">
        <v>178</v>
      </c>
      <c r="E1988" s="2">
        <v>121</v>
      </c>
      <c r="F1988" s="2">
        <v>2415.008</v>
      </c>
    </row>
    <row r="1989" spans="3:6" x14ac:dyDescent="0.25">
      <c r="C1989" s="2" t="s">
        <v>9202</v>
      </c>
      <c r="D1989" s="2" t="s">
        <v>178</v>
      </c>
      <c r="E1989" s="2">
        <v>139</v>
      </c>
      <c r="F1989" s="2">
        <v>2867.92</v>
      </c>
    </row>
    <row r="1990" spans="3:6" x14ac:dyDescent="0.25">
      <c r="C1990" s="2" t="s">
        <v>9203</v>
      </c>
      <c r="D1990" s="2" t="s">
        <v>178</v>
      </c>
      <c r="E1990" s="2">
        <v>100</v>
      </c>
      <c r="F1990" s="2">
        <v>2003.07</v>
      </c>
    </row>
    <row r="1991" spans="3:6" x14ac:dyDescent="0.25">
      <c r="C1991" s="2" t="s">
        <v>9204</v>
      </c>
      <c r="D1991" s="2" t="s">
        <v>178</v>
      </c>
      <c r="E1991" s="2">
        <v>242</v>
      </c>
      <c r="F1991" s="2">
        <v>4869.499</v>
      </c>
    </row>
    <row r="1992" spans="3:6" x14ac:dyDescent="0.25">
      <c r="C1992" s="2" t="s">
        <v>9205</v>
      </c>
      <c r="D1992" s="2" t="s">
        <v>178</v>
      </c>
      <c r="E1992" s="2">
        <v>100</v>
      </c>
      <c r="F1992" s="2">
        <v>2016.7</v>
      </c>
    </row>
    <row r="1993" spans="3:6" x14ac:dyDescent="0.25">
      <c r="C1993" s="2" t="s">
        <v>9206</v>
      </c>
      <c r="D1993" s="2" t="s">
        <v>178</v>
      </c>
      <c r="E1993" s="2">
        <v>133</v>
      </c>
      <c r="F1993" s="2">
        <v>2467.31</v>
      </c>
    </row>
    <row r="1994" spans="3:6" x14ac:dyDescent="0.25">
      <c r="C1994" s="2" t="s">
        <v>9207</v>
      </c>
      <c r="D1994" s="2" t="s">
        <v>178</v>
      </c>
      <c r="E1994" s="2">
        <v>139</v>
      </c>
      <c r="F1994" s="2">
        <v>3053.47</v>
      </c>
    </row>
    <row r="1995" spans="3:6" x14ac:dyDescent="0.25">
      <c r="C1995" s="2" t="s">
        <v>9208</v>
      </c>
      <c r="D1995" s="2" t="s">
        <v>178</v>
      </c>
      <c r="E1995" s="2">
        <v>200</v>
      </c>
      <c r="F1995" s="2">
        <v>4083.56</v>
      </c>
    </row>
    <row r="1996" spans="3:6" x14ac:dyDescent="0.25">
      <c r="C1996" s="2" t="s">
        <v>9209</v>
      </c>
      <c r="D1996" s="2" t="s">
        <v>178</v>
      </c>
      <c r="E1996" s="2">
        <v>139</v>
      </c>
      <c r="F1996" s="2">
        <v>2895.42</v>
      </c>
    </row>
    <row r="1997" spans="3:6" x14ac:dyDescent="0.25">
      <c r="C1997" s="2" t="s">
        <v>9210</v>
      </c>
      <c r="D1997" s="2" t="s">
        <v>178</v>
      </c>
      <c r="E1997" s="2">
        <v>50</v>
      </c>
      <c r="F1997" s="2">
        <v>947.37</v>
      </c>
    </row>
    <row r="1998" spans="3:6" x14ac:dyDescent="0.25">
      <c r="C1998" s="2" t="s">
        <v>9211</v>
      </c>
      <c r="D1998" s="2" t="s">
        <v>178</v>
      </c>
      <c r="E1998" s="2">
        <v>50</v>
      </c>
      <c r="F1998" s="2">
        <v>1006.389</v>
      </c>
    </row>
    <row r="1999" spans="3:6" x14ac:dyDescent="0.25">
      <c r="C1999" s="2" t="s">
        <v>9212</v>
      </c>
      <c r="D1999" s="2" t="s">
        <v>178</v>
      </c>
      <c r="E1999" s="2">
        <v>139</v>
      </c>
      <c r="F1999" s="2">
        <v>2883.85</v>
      </c>
    </row>
    <row r="2000" spans="3:6" x14ac:dyDescent="0.25">
      <c r="C2000" s="2" t="s">
        <v>9213</v>
      </c>
      <c r="D2000" s="2" t="s">
        <v>178</v>
      </c>
      <c r="E2000" s="2">
        <v>100</v>
      </c>
      <c r="F2000" s="2">
        <v>1766.77</v>
      </c>
    </row>
    <row r="2001" spans="3:6" x14ac:dyDescent="0.25">
      <c r="C2001" s="2" t="s">
        <v>9214</v>
      </c>
      <c r="D2001" s="2" t="s">
        <v>178</v>
      </c>
      <c r="E2001" s="2">
        <v>100</v>
      </c>
      <c r="F2001" s="2">
        <v>1975.37</v>
      </c>
    </row>
    <row r="2002" spans="3:6" x14ac:dyDescent="0.25">
      <c r="C2002" s="2" t="s">
        <v>9215</v>
      </c>
      <c r="D2002" s="2" t="s">
        <v>178</v>
      </c>
      <c r="E2002" s="2">
        <v>76</v>
      </c>
      <c r="F2002" s="2">
        <v>1397.439</v>
      </c>
    </row>
    <row r="2003" spans="3:6" x14ac:dyDescent="0.25">
      <c r="C2003" s="2" t="s">
        <v>9216</v>
      </c>
      <c r="D2003" s="2" t="s">
        <v>178</v>
      </c>
      <c r="E2003" s="2">
        <v>63</v>
      </c>
      <c r="F2003" s="2">
        <v>1170.61</v>
      </c>
    </row>
    <row r="2004" spans="3:6" x14ac:dyDescent="0.25">
      <c r="C2004" s="2" t="s">
        <v>9217</v>
      </c>
      <c r="D2004" s="2" t="s">
        <v>178</v>
      </c>
      <c r="E2004" s="2">
        <v>100</v>
      </c>
      <c r="F2004" s="2">
        <v>1781.089</v>
      </c>
    </row>
    <row r="2005" spans="3:6" x14ac:dyDescent="0.25">
      <c r="C2005" s="2" t="s">
        <v>9218</v>
      </c>
      <c r="D2005" s="2" t="s">
        <v>178</v>
      </c>
      <c r="E2005" s="2">
        <v>39</v>
      </c>
      <c r="F2005" s="2">
        <v>825.02</v>
      </c>
    </row>
    <row r="2006" spans="3:6" x14ac:dyDescent="0.25">
      <c r="C2006" s="2" t="s">
        <v>9219</v>
      </c>
      <c r="D2006" s="2" t="s">
        <v>178</v>
      </c>
      <c r="E2006" s="2">
        <v>139</v>
      </c>
      <c r="F2006" s="2">
        <v>2758.37</v>
      </c>
    </row>
    <row r="2007" spans="3:6" x14ac:dyDescent="0.25">
      <c r="C2007" s="2" t="s">
        <v>9220</v>
      </c>
      <c r="D2007" s="2" t="s">
        <v>178</v>
      </c>
      <c r="E2007" s="2">
        <v>40</v>
      </c>
      <c r="F2007" s="2">
        <v>769.18</v>
      </c>
    </row>
    <row r="2008" spans="3:6" x14ac:dyDescent="0.25">
      <c r="C2008" s="2" t="s">
        <v>9221</v>
      </c>
      <c r="D2008" s="2" t="s">
        <v>178</v>
      </c>
      <c r="E2008" s="2">
        <v>35</v>
      </c>
      <c r="F2008" s="2">
        <v>685.03</v>
      </c>
    </row>
    <row r="2009" spans="3:6" x14ac:dyDescent="0.25">
      <c r="C2009" s="2" t="s">
        <v>9222</v>
      </c>
      <c r="D2009" s="2" t="s">
        <v>178</v>
      </c>
      <c r="E2009" s="2">
        <v>71</v>
      </c>
      <c r="F2009" s="2">
        <v>1523.21</v>
      </c>
    </row>
    <row r="2010" spans="3:6" x14ac:dyDescent="0.25">
      <c r="C2010" s="2" t="s">
        <v>9223</v>
      </c>
      <c r="D2010" s="2" t="s">
        <v>178</v>
      </c>
      <c r="E2010" s="2">
        <v>68</v>
      </c>
      <c r="F2010" s="2">
        <v>1398.46</v>
      </c>
    </row>
    <row r="2011" spans="3:6" x14ac:dyDescent="0.25">
      <c r="C2011" s="2" t="s">
        <v>9224</v>
      </c>
      <c r="D2011" s="2" t="s">
        <v>178</v>
      </c>
      <c r="E2011" s="2">
        <v>140</v>
      </c>
      <c r="F2011" s="2">
        <v>2767.729</v>
      </c>
    </row>
    <row r="2012" spans="3:6" x14ac:dyDescent="0.25">
      <c r="C2012" s="2" t="s">
        <v>9225</v>
      </c>
      <c r="D2012" s="2" t="s">
        <v>178</v>
      </c>
      <c r="E2012" s="2">
        <v>122</v>
      </c>
      <c r="F2012" s="2">
        <v>2468.35</v>
      </c>
    </row>
    <row r="2013" spans="3:6" x14ac:dyDescent="0.25">
      <c r="C2013" s="2" t="s">
        <v>9226</v>
      </c>
      <c r="D2013" s="2" t="s">
        <v>178</v>
      </c>
      <c r="E2013" s="2">
        <v>18</v>
      </c>
      <c r="F2013" s="2">
        <v>289.1</v>
      </c>
    </row>
    <row r="2014" spans="3:6" x14ac:dyDescent="0.25">
      <c r="C2014" s="2" t="s">
        <v>9227</v>
      </c>
      <c r="D2014" s="2" t="s">
        <v>178</v>
      </c>
      <c r="E2014" s="2">
        <v>109</v>
      </c>
      <c r="F2014" s="2">
        <v>2146.25</v>
      </c>
    </row>
    <row r="2015" spans="3:6" x14ac:dyDescent="0.25">
      <c r="C2015" s="2" t="s">
        <v>9228</v>
      </c>
      <c r="D2015" s="2" t="s">
        <v>178</v>
      </c>
      <c r="E2015" s="2">
        <v>30</v>
      </c>
      <c r="F2015" s="2">
        <v>614.55</v>
      </c>
    </row>
    <row r="2016" spans="3:6" x14ac:dyDescent="0.25">
      <c r="C2016" s="2" t="s">
        <v>9229</v>
      </c>
      <c r="D2016" s="2" t="s">
        <v>178</v>
      </c>
      <c r="E2016" s="2">
        <v>74</v>
      </c>
      <c r="F2016" s="2">
        <v>1451.92</v>
      </c>
    </row>
    <row r="2017" spans="3:6" x14ac:dyDescent="0.25">
      <c r="C2017" s="2" t="s">
        <v>9230</v>
      </c>
      <c r="D2017" s="2" t="s">
        <v>178</v>
      </c>
      <c r="E2017" s="2">
        <v>30</v>
      </c>
      <c r="F2017" s="2">
        <v>594.42</v>
      </c>
    </row>
    <row r="2018" spans="3:6" x14ac:dyDescent="0.25">
      <c r="C2018" s="2" t="s">
        <v>9231</v>
      </c>
      <c r="D2018" s="2" t="s">
        <v>178</v>
      </c>
      <c r="E2018" s="2">
        <v>35</v>
      </c>
      <c r="F2018" s="2">
        <v>717.93</v>
      </c>
    </row>
    <row r="2019" spans="3:6" x14ac:dyDescent="0.25">
      <c r="C2019" s="2" t="s">
        <v>9232</v>
      </c>
      <c r="D2019" s="2" t="s">
        <v>178</v>
      </c>
      <c r="E2019" s="2">
        <v>72</v>
      </c>
      <c r="F2019" s="2">
        <v>1403.059</v>
      </c>
    </row>
    <row r="2020" spans="3:6" x14ac:dyDescent="0.25">
      <c r="C2020" s="2" t="s">
        <v>9233</v>
      </c>
      <c r="D2020" s="2" t="s">
        <v>178</v>
      </c>
      <c r="E2020" s="2">
        <v>32</v>
      </c>
      <c r="F2020" s="2">
        <v>588.98</v>
      </c>
    </row>
    <row r="2021" spans="3:6" x14ac:dyDescent="0.25">
      <c r="C2021" s="2" t="s">
        <v>9234</v>
      </c>
      <c r="D2021" s="2" t="s">
        <v>178</v>
      </c>
      <c r="E2021" s="2">
        <v>13</v>
      </c>
      <c r="F2021" s="2">
        <v>183.06</v>
      </c>
    </row>
    <row r="2022" spans="3:6" x14ac:dyDescent="0.25">
      <c r="C2022" s="2" t="s">
        <v>9235</v>
      </c>
      <c r="D2022" s="2" t="s">
        <v>178</v>
      </c>
      <c r="E2022" s="2">
        <v>11</v>
      </c>
      <c r="F2022" s="2">
        <v>243.93</v>
      </c>
    </row>
    <row r="2023" spans="3:6" x14ac:dyDescent="0.25">
      <c r="C2023" s="2" t="s">
        <v>9236</v>
      </c>
      <c r="D2023" s="2" t="s">
        <v>178</v>
      </c>
      <c r="E2023" s="2">
        <v>11</v>
      </c>
      <c r="F2023" s="2">
        <v>244.65</v>
      </c>
    </row>
    <row r="2024" spans="3:6" x14ac:dyDescent="0.25">
      <c r="C2024" s="2" t="s">
        <v>9237</v>
      </c>
      <c r="D2024" s="2" t="s">
        <v>178</v>
      </c>
      <c r="E2024" s="2">
        <v>83</v>
      </c>
      <c r="F2024" s="2">
        <v>1594.98</v>
      </c>
    </row>
    <row r="2025" spans="3:6" x14ac:dyDescent="0.25">
      <c r="C2025" s="2" t="s">
        <v>9238</v>
      </c>
      <c r="D2025" s="2" t="s">
        <v>178</v>
      </c>
      <c r="E2025" s="2">
        <v>56</v>
      </c>
      <c r="F2025" s="2">
        <v>1197.58</v>
      </c>
    </row>
    <row r="2026" spans="3:6" x14ac:dyDescent="0.25">
      <c r="C2026" s="2" t="s">
        <v>9239</v>
      </c>
      <c r="D2026" s="2" t="s">
        <v>178</v>
      </c>
      <c r="E2026" s="2">
        <v>39</v>
      </c>
      <c r="F2026" s="2">
        <v>711.24</v>
      </c>
    </row>
    <row r="2027" spans="3:6" x14ac:dyDescent="0.25">
      <c r="C2027" s="2" t="s">
        <v>9240</v>
      </c>
      <c r="D2027" s="2" t="s">
        <v>178</v>
      </c>
      <c r="E2027" s="2">
        <v>19</v>
      </c>
      <c r="F2027" s="2">
        <v>366.76</v>
      </c>
    </row>
    <row r="2028" spans="3:6" x14ac:dyDescent="0.25">
      <c r="C2028" s="2" t="s">
        <v>9241</v>
      </c>
      <c r="D2028" s="2" t="s">
        <v>178</v>
      </c>
      <c r="E2028" s="2">
        <v>81</v>
      </c>
      <c r="F2028" s="2">
        <v>1661.22</v>
      </c>
    </row>
    <row r="2030" spans="1:7" x14ac:dyDescent="0.25">
      <c r="A2030" s="1">
        <v>46160</v>
      </c>
      <c r="B2030" s="2" t="s">
        <v>229</v>
      </c>
      <c r="C2030" s="2" t="s">
        <v>9242</v>
      </c>
      <c r="D2030" s="2" t="s">
        <v>82</v>
      </c>
      <c r="E2030" s="2">
        <v>123</v>
      </c>
      <c r="F2030" s="2">
        <v>2476.19</v>
      </c>
      <c r="G2030" s="1">
        <v>46159</v>
      </c>
    </row>
    <row r="2031" spans="3:6" x14ac:dyDescent="0.25">
      <c r="C2031" s="2" t="s">
        <v>9243</v>
      </c>
      <c r="D2031" s="2" t="s">
        <v>82</v>
      </c>
      <c r="E2031" s="2">
        <v>142</v>
      </c>
      <c r="F2031" s="2">
        <v>2929.44</v>
      </c>
    </row>
    <row r="2032" spans="3:6" x14ac:dyDescent="0.25">
      <c r="C2032" s="2" t="s">
        <v>9244</v>
      </c>
      <c r="D2032" s="2" t="s">
        <v>82</v>
      </c>
      <c r="E2032" s="2">
        <v>141</v>
      </c>
      <c r="F2032" s="2">
        <v>2861.66</v>
      </c>
    </row>
    <row r="2033" spans="3:6" x14ac:dyDescent="0.25">
      <c r="C2033" s="2" t="s">
        <v>9245</v>
      </c>
      <c r="D2033" s="2" t="s">
        <v>82</v>
      </c>
      <c r="E2033" s="2">
        <v>90</v>
      </c>
      <c r="F2033" s="2">
        <v>1871.569</v>
      </c>
    </row>
    <row r="2034" spans="3:6" x14ac:dyDescent="0.25">
      <c r="C2034" s="2" t="s">
        <v>9246</v>
      </c>
      <c r="D2034" s="2" t="s">
        <v>82</v>
      </c>
      <c r="E2034" s="2">
        <v>33</v>
      </c>
      <c r="F2034" s="2">
        <v>696.59</v>
      </c>
    </row>
    <row r="2035" spans="3:6" x14ac:dyDescent="0.25">
      <c r="C2035" s="2" t="s">
        <v>9247</v>
      </c>
      <c r="D2035" s="2" t="s">
        <v>82</v>
      </c>
      <c r="E2035" s="2">
        <v>65</v>
      </c>
      <c r="F2035" s="2">
        <v>1339.16</v>
      </c>
    </row>
    <row r="2036" spans="3:6" x14ac:dyDescent="0.25">
      <c r="C2036" s="2" t="s">
        <v>9248</v>
      </c>
      <c r="D2036" s="2" t="s">
        <v>82</v>
      </c>
      <c r="E2036" s="2">
        <v>56</v>
      </c>
      <c r="F2036" s="2">
        <v>1161.6</v>
      </c>
    </row>
    <row r="2037" spans="3:6" x14ac:dyDescent="0.25">
      <c r="C2037" s="2" t="s">
        <v>9249</v>
      </c>
      <c r="D2037" s="2" t="s">
        <v>82</v>
      </c>
      <c r="E2037" s="2">
        <v>30</v>
      </c>
      <c r="F2037" s="2">
        <v>614.4</v>
      </c>
    </row>
    <row r="2038" spans="3:6" x14ac:dyDescent="0.25">
      <c r="C2038" s="2" t="s">
        <v>9250</v>
      </c>
      <c r="D2038" s="2" t="s">
        <v>82</v>
      </c>
      <c r="E2038" s="2">
        <v>31</v>
      </c>
      <c r="F2038" s="2">
        <v>579.21</v>
      </c>
    </row>
    <row r="2039" spans="3:6" x14ac:dyDescent="0.25">
      <c r="C2039" s="2" t="s">
        <v>9251</v>
      </c>
      <c r="D2039" s="2" t="s">
        <v>82</v>
      </c>
      <c r="E2039" s="2">
        <v>60</v>
      </c>
      <c r="F2039" s="2">
        <v>1247.37</v>
      </c>
    </row>
    <row r="2040" spans="3:6" x14ac:dyDescent="0.25">
      <c r="C2040" s="2" t="s">
        <v>9252</v>
      </c>
      <c r="D2040" s="2" t="s">
        <v>82</v>
      </c>
      <c r="E2040" s="2">
        <v>134</v>
      </c>
      <c r="F2040" s="2">
        <v>2671.93</v>
      </c>
    </row>
    <row r="2041" spans="3:6" x14ac:dyDescent="0.25">
      <c r="C2041" s="2" t="s">
        <v>9253</v>
      </c>
      <c r="D2041" s="2" t="s">
        <v>82</v>
      </c>
      <c r="E2041" s="2">
        <v>69</v>
      </c>
      <c r="F2041" s="2">
        <v>1408.43</v>
      </c>
    </row>
    <row r="2042" spans="3:6" x14ac:dyDescent="0.25">
      <c r="C2042" s="2" t="s">
        <v>9254</v>
      </c>
      <c r="D2042" s="2" t="s">
        <v>82</v>
      </c>
      <c r="E2042" s="2">
        <v>33</v>
      </c>
      <c r="F2042" s="2">
        <v>673.09</v>
      </c>
    </row>
    <row r="2043" spans="3:6" x14ac:dyDescent="0.25">
      <c r="C2043" s="2" t="s">
        <v>9255</v>
      </c>
      <c r="D2043" s="2" t="s">
        <v>82</v>
      </c>
      <c r="E2043" s="2">
        <v>102</v>
      </c>
      <c r="F2043" s="2">
        <v>2065.09</v>
      </c>
    </row>
    <row r="2044" spans="3:6" x14ac:dyDescent="0.25">
      <c r="C2044" s="2" t="s">
        <v>9256</v>
      </c>
      <c r="D2044" s="2" t="s">
        <v>82</v>
      </c>
      <c r="E2044" s="2">
        <v>31</v>
      </c>
      <c r="F2044" s="2">
        <v>473.07</v>
      </c>
    </row>
    <row r="2045" spans="3:6" x14ac:dyDescent="0.25">
      <c r="C2045" s="2" t="s">
        <v>9257</v>
      </c>
      <c r="D2045" s="2" t="s">
        <v>82</v>
      </c>
      <c r="E2045" s="2">
        <v>22</v>
      </c>
      <c r="F2045" s="2">
        <v>433.22</v>
      </c>
    </row>
    <row r="2046" spans="3:6" x14ac:dyDescent="0.25">
      <c r="C2046" s="2" t="s">
        <v>9258</v>
      </c>
      <c r="D2046" s="2" t="s">
        <v>82</v>
      </c>
      <c r="E2046" s="2">
        <v>22</v>
      </c>
      <c r="F2046" s="2">
        <v>474.71</v>
      </c>
    </row>
    <row r="2047" spans="3:6" x14ac:dyDescent="0.25">
      <c r="C2047" s="2" t="s">
        <v>9259</v>
      </c>
      <c r="D2047" s="2" t="s">
        <v>82</v>
      </c>
      <c r="E2047" s="2">
        <v>68</v>
      </c>
      <c r="F2047" s="2">
        <v>298.67</v>
      </c>
    </row>
    <row r="2048" spans="3:6" x14ac:dyDescent="0.25">
      <c r="C2048" s="2" t="s">
        <v>9260</v>
      </c>
      <c r="D2048" s="2" t="s">
        <v>82</v>
      </c>
      <c r="E2048" s="2">
        <v>74</v>
      </c>
      <c r="F2048" s="2">
        <v>1616.33</v>
      </c>
    </row>
    <row r="2049" spans="3:6" x14ac:dyDescent="0.25">
      <c r="C2049" s="2" t="s">
        <v>9261</v>
      </c>
      <c r="D2049" s="2" t="s">
        <v>82</v>
      </c>
      <c r="E2049" s="2">
        <v>67</v>
      </c>
      <c r="F2049" s="2">
        <v>1340.859</v>
      </c>
    </row>
    <row r="2050" spans="3:6" x14ac:dyDescent="0.25">
      <c r="C2050" s="2" t="s">
        <v>9262</v>
      </c>
      <c r="D2050" s="2" t="s">
        <v>82</v>
      </c>
      <c r="E2050" s="2">
        <v>20</v>
      </c>
      <c r="F2050" s="2">
        <v>351.56</v>
      </c>
    </row>
    <row r="2051" spans="3:6" x14ac:dyDescent="0.25">
      <c r="C2051" s="2" t="s">
        <v>9263</v>
      </c>
      <c r="D2051" s="2" t="s">
        <v>82</v>
      </c>
      <c r="E2051" s="2">
        <v>50</v>
      </c>
      <c r="F2051" s="2">
        <v>1019.13</v>
      </c>
    </row>
    <row r="2052" spans="3:6" x14ac:dyDescent="0.25">
      <c r="C2052" s="2" t="s">
        <v>9264</v>
      </c>
      <c r="D2052" s="2" t="s">
        <v>82</v>
      </c>
      <c r="E2052" s="2">
        <v>71</v>
      </c>
      <c r="F2052" s="2">
        <v>1458.69</v>
      </c>
    </row>
    <row r="2053" spans="3:6" x14ac:dyDescent="0.25">
      <c r="C2053" s="2" t="s">
        <v>9265</v>
      </c>
      <c r="D2053" s="2" t="s">
        <v>82</v>
      </c>
      <c r="E2053" s="2">
        <v>75</v>
      </c>
      <c r="F2053" s="2">
        <v>1512.91</v>
      </c>
    </row>
    <row r="2054" spans="3:6" x14ac:dyDescent="0.25">
      <c r="C2054" s="2" t="s">
        <v>9266</v>
      </c>
      <c r="D2054" s="2" t="s">
        <v>82</v>
      </c>
      <c r="E2054" s="2">
        <v>66</v>
      </c>
      <c r="F2054" s="2">
        <v>1306</v>
      </c>
    </row>
    <row r="2055" spans="3:6" x14ac:dyDescent="0.25">
      <c r="C2055" s="2" t="s">
        <v>9267</v>
      </c>
      <c r="D2055" s="2" t="s">
        <v>82</v>
      </c>
      <c r="E2055" s="2">
        <v>120</v>
      </c>
      <c r="F2055" s="2">
        <v>2431.68</v>
      </c>
    </row>
    <row r="2056" spans="3:6" x14ac:dyDescent="0.25">
      <c r="C2056" s="2" t="s">
        <v>9268</v>
      </c>
      <c r="D2056" s="2" t="s">
        <v>82</v>
      </c>
      <c r="E2056" s="2">
        <v>21</v>
      </c>
      <c r="F2056" s="2">
        <v>360.54</v>
      </c>
    </row>
    <row r="2057" spans="3:6" x14ac:dyDescent="0.25">
      <c r="C2057" s="2" t="s">
        <v>9269</v>
      </c>
      <c r="D2057" s="2" t="s">
        <v>82</v>
      </c>
      <c r="E2057" s="2">
        <v>44</v>
      </c>
      <c r="F2057" s="2">
        <v>890.1</v>
      </c>
    </row>
    <row r="2058" spans="3:6" x14ac:dyDescent="0.25">
      <c r="C2058" s="2" t="s">
        <v>9270</v>
      </c>
      <c r="D2058" s="2" t="s">
        <v>82</v>
      </c>
      <c r="E2058" s="2">
        <v>72</v>
      </c>
      <c r="F2058" s="2">
        <v>1461.58</v>
      </c>
    </row>
    <row r="2059" spans="3:6" x14ac:dyDescent="0.25">
      <c r="C2059" s="2" t="s">
        <v>9271</v>
      </c>
      <c r="D2059" s="2" t="s">
        <v>82</v>
      </c>
      <c r="E2059" s="2">
        <v>25</v>
      </c>
      <c r="F2059" s="2">
        <v>521.62</v>
      </c>
    </row>
    <row r="2060" spans="3:6" x14ac:dyDescent="0.25">
      <c r="C2060" s="2" t="s">
        <v>9272</v>
      </c>
      <c r="D2060" s="2" t="s">
        <v>82</v>
      </c>
      <c r="E2060" s="2">
        <v>141</v>
      </c>
      <c r="F2060" s="2">
        <v>2863.7</v>
      </c>
    </row>
    <row r="2061" spans="3:6" x14ac:dyDescent="0.25">
      <c r="C2061" s="2" t="s">
        <v>9273</v>
      </c>
      <c r="D2061" s="2" t="s">
        <v>82</v>
      </c>
      <c r="E2061" s="2">
        <v>141</v>
      </c>
      <c r="F2061" s="2">
        <v>2848.61</v>
      </c>
    </row>
    <row r="2062" spans="3:6" x14ac:dyDescent="0.25">
      <c r="C2062" s="2" t="s">
        <v>9274</v>
      </c>
      <c r="D2062" s="2" t="s">
        <v>82</v>
      </c>
      <c r="E2062" s="2">
        <v>141</v>
      </c>
      <c r="F2062" s="2">
        <v>2829.709</v>
      </c>
    </row>
    <row r="2063" spans="3:6" x14ac:dyDescent="0.25">
      <c r="C2063" s="2" t="s">
        <v>9275</v>
      </c>
      <c r="D2063" s="2" t="s">
        <v>82</v>
      </c>
      <c r="E2063" s="2">
        <v>17</v>
      </c>
      <c r="F2063" s="2">
        <f>191.76+101</f>
        <v>292.76</v>
      </c>
    </row>
    <row r="2064" spans="3:6" x14ac:dyDescent="0.25">
      <c r="C2064" s="2" t="s">
        <v>9276</v>
      </c>
      <c r="D2064" s="2" t="s">
        <v>82</v>
      </c>
      <c r="E2064" s="2">
        <v>9</v>
      </c>
      <c r="F2064" s="2">
        <f>74.33+86.4</f>
        <v>160.73000000000002</v>
      </c>
    </row>
    <row r="2065" spans="3:6" x14ac:dyDescent="0.25">
      <c r="C2065" s="2" t="s">
        <v>9277</v>
      </c>
      <c r="D2065" s="2" t="s">
        <v>82</v>
      </c>
      <c r="E2065" s="2">
        <v>16</v>
      </c>
      <c r="F2065" s="2">
        <f>279.44+41.25</f>
        <v>320.69</v>
      </c>
    </row>
    <row r="2066" spans="3:6" x14ac:dyDescent="0.25">
      <c r="C2066" s="2" t="s">
        <v>9278</v>
      </c>
      <c r="D2066" s="2" t="s">
        <v>82</v>
      </c>
      <c r="E2066" s="2">
        <v>16</v>
      </c>
      <c r="F2066" s="2">
        <f>227.97+26.6</f>
        <v>254.57</v>
      </c>
    </row>
    <row r="2067" spans="3:6" x14ac:dyDescent="0.25">
      <c r="C2067" s="2" t="s">
        <v>9279</v>
      </c>
      <c r="D2067" s="2" t="s">
        <v>82</v>
      </c>
      <c r="E2067" s="2">
        <v>44</v>
      </c>
      <c r="F2067" s="2">
        <f>530.53+105.65</f>
        <v>636.18</v>
      </c>
    </row>
    <row r="2068" spans="3:6" x14ac:dyDescent="0.25">
      <c r="C2068" s="2" t="s">
        <v>9280</v>
      </c>
      <c r="D2068" s="2" t="s">
        <v>82</v>
      </c>
      <c r="E2068" s="2">
        <v>57</v>
      </c>
      <c r="F2068" s="2">
        <f>93.418+71.3</f>
        <v>164.71800000000002</v>
      </c>
    </row>
    <row r="2069" spans="3:6" x14ac:dyDescent="0.25">
      <c r="C2069" s="2" t="s">
        <v>9281</v>
      </c>
      <c r="D2069" s="2" t="s">
        <v>82</v>
      </c>
      <c r="E2069" s="2">
        <v>52</v>
      </c>
      <c r="F2069" s="2">
        <v>1030.05</v>
      </c>
    </row>
    <row r="2070" spans="3:6" x14ac:dyDescent="0.25">
      <c r="C2070" s="2" t="s">
        <v>9282</v>
      </c>
      <c r="D2070" s="2" t="s">
        <v>82</v>
      </c>
      <c r="E2070" s="2">
        <v>29</v>
      </c>
      <c r="F2070" s="2">
        <v>607.03</v>
      </c>
    </row>
    <row r="2071" spans="3:6" x14ac:dyDescent="0.25">
      <c r="C2071" s="2" t="s">
        <v>9283</v>
      </c>
      <c r="D2071" s="2" t="s">
        <v>82</v>
      </c>
      <c r="E2071" s="2">
        <v>21</v>
      </c>
      <c r="F2071" s="2">
        <v>402.06</v>
      </c>
    </row>
    <row r="2072" spans="3:6" x14ac:dyDescent="0.25">
      <c r="C2072" s="2" t="s">
        <v>9284</v>
      </c>
      <c r="D2072" s="2" t="s">
        <v>82</v>
      </c>
      <c r="E2072" s="2">
        <v>55</v>
      </c>
      <c r="F2072" s="2">
        <v>1378.355</v>
      </c>
    </row>
    <row r="2073" spans="3:6" x14ac:dyDescent="0.25">
      <c r="C2073" s="2" t="s">
        <v>9285</v>
      </c>
      <c r="D2073" s="2" t="s">
        <v>82</v>
      </c>
      <c r="E2073" s="2">
        <v>30</v>
      </c>
      <c r="F2073" s="2">
        <v>603.29</v>
      </c>
    </row>
    <row r="2074" spans="3:6" x14ac:dyDescent="0.25">
      <c r="C2074" s="2" t="s">
        <v>9286</v>
      </c>
      <c r="D2074" s="2" t="s">
        <v>82</v>
      </c>
      <c r="E2074" s="2">
        <v>40</v>
      </c>
      <c r="F2074" s="2">
        <v>828.71</v>
      </c>
    </row>
    <row r="2075" spans="3:6" x14ac:dyDescent="0.25">
      <c r="C2075" s="2" t="s">
        <v>9287</v>
      </c>
      <c r="D2075" s="2" t="s">
        <v>82</v>
      </c>
      <c r="E2075" s="2">
        <v>32</v>
      </c>
      <c r="F2075" s="2">
        <v>620.3</v>
      </c>
    </row>
    <row r="2077" spans="1:7" x14ac:dyDescent="0.25">
      <c r="A2077" s="1">
        <v>46160</v>
      </c>
      <c r="B2077" s="2" t="s">
        <v>290</v>
      </c>
      <c r="C2077" s="2" t="s">
        <v>9288</v>
      </c>
      <c r="D2077" s="2" t="s">
        <v>292</v>
      </c>
      <c r="E2077" s="2">
        <v>113</v>
      </c>
      <c r="F2077" s="2">
        <v>2345.32</v>
      </c>
      <c r="G2077" s="1">
        <v>46159</v>
      </c>
    </row>
    <row r="2078" spans="3:6" x14ac:dyDescent="0.25">
      <c r="C2078" s="2" t="s">
        <v>9289</v>
      </c>
      <c r="D2078" s="2" t="s">
        <v>292</v>
      </c>
      <c r="E2078" s="2">
        <v>10</v>
      </c>
      <c r="F2078" s="2">
        <v>161.3</v>
      </c>
    </row>
    <row r="2079" spans="3:6" x14ac:dyDescent="0.25">
      <c r="C2079" s="2" t="s">
        <v>9290</v>
      </c>
      <c r="D2079" s="2" t="s">
        <v>292</v>
      </c>
      <c r="E2079" s="2">
        <v>66</v>
      </c>
      <c r="F2079" s="2">
        <v>671.461</v>
      </c>
    </row>
    <row r="2080" spans="3:6" x14ac:dyDescent="0.25">
      <c r="C2080" s="2" t="s">
        <v>9291</v>
      </c>
      <c r="D2080" s="2" t="s">
        <v>292</v>
      </c>
      <c r="E2080" s="2">
        <v>55</v>
      </c>
      <c r="F2080" s="2">
        <v>1192.859</v>
      </c>
    </row>
    <row r="2081" spans="3:6" x14ac:dyDescent="0.25">
      <c r="C2081" s="2" t="s">
        <v>9292</v>
      </c>
      <c r="D2081" s="2" t="s">
        <v>292</v>
      </c>
      <c r="E2081" s="2">
        <v>123</v>
      </c>
      <c r="F2081" s="2">
        <v>2677.89</v>
      </c>
    </row>
    <row r="2082" spans="3:6" x14ac:dyDescent="0.25">
      <c r="C2082" s="2" t="s">
        <v>9293</v>
      </c>
      <c r="D2082" s="2" t="s">
        <v>292</v>
      </c>
      <c r="E2082" s="2">
        <v>123</v>
      </c>
      <c r="F2082" s="2">
        <v>2522.392</v>
      </c>
    </row>
    <row r="2083" spans="3:6" x14ac:dyDescent="0.25">
      <c r="C2083" s="2" t="s">
        <v>9294</v>
      </c>
      <c r="D2083" s="2" t="s">
        <v>292</v>
      </c>
      <c r="E2083" s="2">
        <v>20</v>
      </c>
      <c r="F2083" s="2">
        <v>95.73</v>
      </c>
    </row>
    <row r="2084" spans="3:6" x14ac:dyDescent="0.25">
      <c r="C2084" s="2" t="s">
        <v>9295</v>
      </c>
      <c r="D2084" s="2" t="s">
        <v>292</v>
      </c>
      <c r="E2084" s="2">
        <v>131</v>
      </c>
      <c r="F2084" s="2">
        <v>2688.63</v>
      </c>
    </row>
    <row r="2085" spans="3:6" x14ac:dyDescent="0.25">
      <c r="C2085" s="2" t="s">
        <v>9296</v>
      </c>
      <c r="D2085" s="2" t="s">
        <v>292</v>
      </c>
      <c r="E2085" s="2">
        <v>11</v>
      </c>
      <c r="F2085" s="2">
        <v>167.17</v>
      </c>
    </row>
    <row r="2086" spans="3:6" x14ac:dyDescent="0.25">
      <c r="C2086" s="2" t="s">
        <v>9297</v>
      </c>
      <c r="D2086" s="2" t="s">
        <v>292</v>
      </c>
      <c r="E2086" s="2">
        <v>21</v>
      </c>
      <c r="F2086" s="2">
        <v>368.39</v>
      </c>
    </row>
    <row r="2087" spans="3:6" x14ac:dyDescent="0.25">
      <c r="C2087" s="2" t="s">
        <v>9298</v>
      </c>
      <c r="D2087" s="2" t="s">
        <v>292</v>
      </c>
      <c r="E2087" s="2">
        <v>120</v>
      </c>
      <c r="F2087" s="2">
        <v>2543.62</v>
      </c>
    </row>
    <row r="2088" spans="3:6" x14ac:dyDescent="0.25">
      <c r="C2088" s="2" t="s">
        <v>9299</v>
      </c>
      <c r="D2088" s="2" t="s">
        <v>292</v>
      </c>
      <c r="E2088" s="2">
        <v>46</v>
      </c>
      <c r="F2088" s="2">
        <v>919.94</v>
      </c>
    </row>
    <row r="2089" spans="3:6" x14ac:dyDescent="0.25">
      <c r="C2089" s="2" t="s">
        <v>9300</v>
      </c>
      <c r="D2089" s="2" t="s">
        <v>292</v>
      </c>
      <c r="E2089" s="2">
        <v>57</v>
      </c>
      <c r="F2089" s="2">
        <v>1174.22</v>
      </c>
    </row>
    <row r="2090" spans="3:6" x14ac:dyDescent="0.25">
      <c r="C2090" s="2" t="s">
        <v>9301</v>
      </c>
      <c r="D2090" s="2" t="s">
        <v>292</v>
      </c>
      <c r="E2090" s="2">
        <v>33</v>
      </c>
      <c r="F2090" s="2">
        <v>718.24</v>
      </c>
    </row>
    <row r="2091" spans="3:6" x14ac:dyDescent="0.25">
      <c r="C2091" s="2" t="s">
        <v>9302</v>
      </c>
      <c r="D2091" s="2" t="s">
        <v>292</v>
      </c>
      <c r="E2091" s="2">
        <v>141</v>
      </c>
      <c r="F2091" s="2">
        <v>2861.389</v>
      </c>
    </row>
    <row r="2092" spans="3:6" x14ac:dyDescent="0.25">
      <c r="C2092" s="2" t="s">
        <v>9303</v>
      </c>
      <c r="D2092" s="2" t="s">
        <v>292</v>
      </c>
      <c r="E2092" s="2">
        <v>30</v>
      </c>
      <c r="F2092" s="2">
        <v>158.16</v>
      </c>
    </row>
    <row r="2093" spans="3:6" x14ac:dyDescent="0.25">
      <c r="C2093" s="2" t="s">
        <v>9304</v>
      </c>
      <c r="D2093" s="2" t="s">
        <v>292</v>
      </c>
      <c r="E2093" s="2">
        <v>128</v>
      </c>
      <c r="F2093" s="2">
        <v>2630.957</v>
      </c>
    </row>
    <row r="2094" spans="3:6" x14ac:dyDescent="0.25">
      <c r="C2094" s="2" t="s">
        <v>9305</v>
      </c>
      <c r="D2094" s="2" t="s">
        <v>292</v>
      </c>
      <c r="E2094" s="2">
        <v>13</v>
      </c>
      <c r="F2094" s="2">
        <v>246.55</v>
      </c>
    </row>
    <row r="2095" spans="3:6" x14ac:dyDescent="0.25">
      <c r="C2095" s="2" t="s">
        <v>9306</v>
      </c>
      <c r="D2095" s="2" t="s">
        <v>292</v>
      </c>
      <c r="E2095" s="2">
        <v>110</v>
      </c>
      <c r="F2095" s="2">
        <v>2220.5</v>
      </c>
    </row>
    <row r="2096" spans="3:6" x14ac:dyDescent="0.25">
      <c r="C2096" s="2" t="s">
        <v>9307</v>
      </c>
      <c r="D2096" s="2" t="s">
        <v>292</v>
      </c>
      <c r="E2096" s="2">
        <v>31</v>
      </c>
      <c r="F2096" s="2">
        <v>590.37</v>
      </c>
    </row>
    <row r="2097" spans="3:6" x14ac:dyDescent="0.25">
      <c r="C2097" s="2" t="s">
        <v>9308</v>
      </c>
      <c r="D2097" s="2" t="s">
        <v>292</v>
      </c>
      <c r="E2097" s="2">
        <v>50</v>
      </c>
      <c r="F2097" s="2">
        <v>888.159</v>
      </c>
    </row>
    <row r="2098" spans="3:6" x14ac:dyDescent="0.25">
      <c r="C2098" s="2" t="s">
        <v>9309</v>
      </c>
      <c r="D2098" s="2" t="s">
        <v>292</v>
      </c>
      <c r="E2098" s="2">
        <v>92</v>
      </c>
      <c r="F2098" s="2">
        <v>1909.77</v>
      </c>
    </row>
    <row r="2099" spans="3:6" x14ac:dyDescent="0.25">
      <c r="C2099" s="2" t="s">
        <v>9310</v>
      </c>
      <c r="D2099" s="2" t="s">
        <v>292</v>
      </c>
      <c r="E2099" s="2">
        <v>141</v>
      </c>
      <c r="F2099" s="2">
        <v>2888.94</v>
      </c>
    </row>
    <row r="2100" spans="3:6" x14ac:dyDescent="0.25">
      <c r="C2100" s="2" t="s">
        <v>9311</v>
      </c>
      <c r="D2100" s="2" t="s">
        <v>292</v>
      </c>
      <c r="E2100" s="2">
        <v>141</v>
      </c>
      <c r="F2100" s="2">
        <v>2863.24</v>
      </c>
    </row>
    <row r="2101" spans="3:6" x14ac:dyDescent="0.25">
      <c r="C2101" s="2" t="s">
        <v>9312</v>
      </c>
      <c r="D2101" s="2" t="s">
        <v>292</v>
      </c>
      <c r="E2101" s="2">
        <v>75</v>
      </c>
      <c r="F2101" s="2">
        <v>371.436</v>
      </c>
    </row>
    <row r="2102" spans="3:6" x14ac:dyDescent="0.25">
      <c r="C2102" s="2" t="s">
        <v>9313</v>
      </c>
      <c r="D2102" s="2" t="s">
        <v>292</v>
      </c>
      <c r="E2102" s="2">
        <v>75</v>
      </c>
      <c r="F2102" s="2">
        <v>361.9</v>
      </c>
    </row>
    <row r="2103" spans="3:6" x14ac:dyDescent="0.25">
      <c r="C2103" s="2" t="s">
        <v>9314</v>
      </c>
      <c r="D2103" s="2" t="s">
        <v>292</v>
      </c>
      <c r="E2103" s="2">
        <v>130</v>
      </c>
      <c r="F2103" s="2">
        <v>2105.223</v>
      </c>
    </row>
    <row r="2104" spans="3:6" x14ac:dyDescent="0.25">
      <c r="C2104" s="2" t="s">
        <v>9315</v>
      </c>
      <c r="D2104" s="2" t="s">
        <v>292</v>
      </c>
      <c r="E2104" s="2">
        <v>133</v>
      </c>
      <c r="F2104" s="2">
        <v>1923.919</v>
      </c>
    </row>
    <row r="2105" spans="3:6" x14ac:dyDescent="0.25">
      <c r="C2105" s="2" t="s">
        <v>9316</v>
      </c>
      <c r="D2105" s="2" t="s">
        <v>292</v>
      </c>
      <c r="E2105" s="2">
        <v>141</v>
      </c>
      <c r="F2105" s="2">
        <v>2850.13</v>
      </c>
    </row>
    <row r="2106" spans="3:6" x14ac:dyDescent="0.25">
      <c r="C2106" s="2" t="s">
        <v>9317</v>
      </c>
      <c r="D2106" s="2" t="s">
        <v>292</v>
      </c>
      <c r="E2106" s="2">
        <v>141</v>
      </c>
      <c r="F2106" s="2">
        <v>2857.769</v>
      </c>
    </row>
    <row r="2107" spans="3:6" x14ac:dyDescent="0.25">
      <c r="C2107" s="2" t="s">
        <v>9318</v>
      </c>
      <c r="D2107" s="2" t="s">
        <v>292</v>
      </c>
      <c r="E2107" s="2">
        <v>141</v>
      </c>
      <c r="F2107" s="2">
        <v>2898.407</v>
      </c>
    </row>
    <row r="2108" spans="3:6" x14ac:dyDescent="0.25">
      <c r="C2108" s="2" t="s">
        <v>9319</v>
      </c>
      <c r="D2108" s="2" t="s">
        <v>292</v>
      </c>
      <c r="E2108" s="2">
        <v>119</v>
      </c>
      <c r="F2108" s="2">
        <v>1896.711</v>
      </c>
    </row>
    <row r="2109" spans="3:6" x14ac:dyDescent="0.25">
      <c r="C2109" s="2" t="s">
        <v>9320</v>
      </c>
      <c r="D2109" s="2" t="s">
        <v>292</v>
      </c>
      <c r="E2109" s="2">
        <v>21</v>
      </c>
      <c r="F2109" s="2">
        <v>405.52</v>
      </c>
    </row>
    <row r="2110" spans="3:6" x14ac:dyDescent="0.25">
      <c r="C2110" s="2" t="s">
        <v>9321</v>
      </c>
      <c r="D2110" s="2" t="s">
        <v>292</v>
      </c>
      <c r="E2110" s="2">
        <v>100</v>
      </c>
      <c r="F2110" s="2">
        <v>2124.939</v>
      </c>
    </row>
    <row r="2111" spans="3:6" x14ac:dyDescent="0.25">
      <c r="C2111" s="2" t="s">
        <v>9322</v>
      </c>
      <c r="D2111" s="2" t="s">
        <v>292</v>
      </c>
      <c r="E2111" s="2">
        <v>76</v>
      </c>
      <c r="F2111" s="2">
        <v>1279.435</v>
      </c>
    </row>
    <row r="2112" spans="3:6" x14ac:dyDescent="0.25">
      <c r="C2112" s="2" t="s">
        <v>9323</v>
      </c>
      <c r="D2112" s="2" t="s">
        <v>292</v>
      </c>
      <c r="E2112" s="2">
        <v>65</v>
      </c>
      <c r="F2112" s="2">
        <v>1340.2</v>
      </c>
    </row>
    <row r="2113" spans="3:6" x14ac:dyDescent="0.25">
      <c r="C2113" s="2" t="s">
        <v>9324</v>
      </c>
      <c r="D2113" s="2" t="s">
        <v>292</v>
      </c>
      <c r="E2113" s="2">
        <v>35</v>
      </c>
      <c r="F2113" s="2">
        <v>737.47</v>
      </c>
    </row>
    <row r="2114" spans="3:6" x14ac:dyDescent="0.25">
      <c r="C2114" s="2" t="s">
        <v>9325</v>
      </c>
      <c r="D2114" s="2" t="s">
        <v>292</v>
      </c>
      <c r="E2114" s="2">
        <v>83</v>
      </c>
      <c r="F2114" s="2">
        <v>1650.266</v>
      </c>
    </row>
    <row r="2115" spans="3:6" x14ac:dyDescent="0.25">
      <c r="C2115" s="2" t="s">
        <v>9326</v>
      </c>
      <c r="D2115" s="2" t="s">
        <v>292</v>
      </c>
      <c r="E2115" s="2">
        <v>17</v>
      </c>
      <c r="F2115" s="2">
        <v>359.9</v>
      </c>
    </row>
    <row r="2116" spans="3:6" x14ac:dyDescent="0.25">
      <c r="C2116" s="2" t="s">
        <v>9327</v>
      </c>
      <c r="D2116" s="2" t="s">
        <v>292</v>
      </c>
      <c r="E2116" s="2">
        <v>74</v>
      </c>
      <c r="F2116" s="2">
        <v>1556.51</v>
      </c>
    </row>
    <row r="2117" spans="3:6" x14ac:dyDescent="0.25">
      <c r="C2117" s="2" t="s">
        <v>9328</v>
      </c>
      <c r="D2117" s="2" t="s">
        <v>292</v>
      </c>
      <c r="E2117" s="2">
        <v>26</v>
      </c>
      <c r="F2117" s="2">
        <v>575.36</v>
      </c>
    </row>
    <row r="2118" spans="3:6" x14ac:dyDescent="0.25">
      <c r="C2118" s="2" t="s">
        <v>9329</v>
      </c>
      <c r="D2118" s="2" t="s">
        <v>292</v>
      </c>
      <c r="E2118" s="2">
        <v>75</v>
      </c>
      <c r="F2118" s="2">
        <v>1484.554</v>
      </c>
    </row>
    <row r="2119" spans="3:6" x14ac:dyDescent="0.25">
      <c r="C2119" s="2" t="s">
        <v>9330</v>
      </c>
      <c r="D2119" s="2" t="s">
        <v>292</v>
      </c>
      <c r="E2119" s="2">
        <v>16</v>
      </c>
      <c r="F2119" s="2">
        <v>325.338</v>
      </c>
    </row>
    <row r="2120" spans="3:6" x14ac:dyDescent="0.25">
      <c r="C2120" s="2" t="s">
        <v>9331</v>
      </c>
      <c r="D2120" s="2" t="s">
        <v>292</v>
      </c>
      <c r="E2120" s="2">
        <v>50</v>
      </c>
      <c r="F2120" s="2">
        <v>1014.13</v>
      </c>
    </row>
    <row r="2121" spans="3:6" x14ac:dyDescent="0.25">
      <c r="C2121" s="2" t="s">
        <v>9332</v>
      </c>
      <c r="D2121" s="2" t="s">
        <v>292</v>
      </c>
      <c r="E2121" s="2">
        <v>39</v>
      </c>
      <c r="F2121" s="2">
        <v>815.82</v>
      </c>
    </row>
    <row r="2122" spans="3:6" x14ac:dyDescent="0.25">
      <c r="C2122" s="2" t="s">
        <v>9333</v>
      </c>
      <c r="D2122" s="2" t="s">
        <v>292</v>
      </c>
      <c r="E2122" s="2">
        <v>65</v>
      </c>
      <c r="F2122" s="2">
        <v>1308.367</v>
      </c>
    </row>
    <row r="2123" spans="3:6" x14ac:dyDescent="0.25">
      <c r="C2123" s="2" t="s">
        <v>9334</v>
      </c>
      <c r="D2123" s="2" t="s">
        <v>292</v>
      </c>
      <c r="E2123" s="2">
        <v>10</v>
      </c>
      <c r="F2123" s="2">
        <v>212.55</v>
      </c>
    </row>
    <row r="2125" spans="1:7" x14ac:dyDescent="0.25">
      <c r="A2125" s="1">
        <v>46160</v>
      </c>
      <c r="B2125" s="2" t="s">
        <v>7</v>
      </c>
      <c r="C2125" s="2" t="s">
        <v>9335</v>
      </c>
      <c r="D2125" s="2" t="s">
        <v>9</v>
      </c>
      <c r="E2125" s="2">
        <v>99</v>
      </c>
      <c r="F2125" s="2">
        <v>1733.827</v>
      </c>
      <c r="G2125" s="1">
        <v>46160</v>
      </c>
    </row>
    <row r="2126" spans="3:6" x14ac:dyDescent="0.25">
      <c r="C2126" s="2" t="s">
        <v>9336</v>
      </c>
      <c r="D2126" s="2" t="s">
        <v>9</v>
      </c>
      <c r="E2126" s="2">
        <v>90</v>
      </c>
      <c r="F2126" s="2">
        <v>1856.92</v>
      </c>
    </row>
    <row r="2128" spans="1:7" x14ac:dyDescent="0.25">
      <c r="A2128" s="1">
        <v>46160</v>
      </c>
      <c r="B2128" s="2" t="s">
        <v>2428</v>
      </c>
      <c r="C2128" s="2" t="s">
        <v>9337</v>
      </c>
      <c r="D2128" s="2" t="s">
        <v>59</v>
      </c>
      <c r="E2128" s="2">
        <v>105</v>
      </c>
      <c r="F2128" s="2">
        <v>2139.63</v>
      </c>
      <c r="G2128" s="1">
        <v>46159</v>
      </c>
    </row>
    <row r="2129" spans="3:6" x14ac:dyDescent="0.25">
      <c r="C2129" s="2" t="s">
        <v>9338</v>
      </c>
      <c r="D2129" s="2" t="s">
        <v>59</v>
      </c>
      <c r="E2129" s="2">
        <v>154</v>
      </c>
      <c r="F2129" s="2">
        <v>3143.789</v>
      </c>
    </row>
    <row r="2130" spans="3:6" x14ac:dyDescent="0.25">
      <c r="C2130" s="2" t="s">
        <v>9339</v>
      </c>
      <c r="D2130" s="2" t="s">
        <v>59</v>
      </c>
      <c r="E2130" s="2">
        <v>164</v>
      </c>
      <c r="F2130" s="2">
        <v>3128.759</v>
      </c>
    </row>
    <row r="2131" spans="3:6" x14ac:dyDescent="0.25">
      <c r="C2131" s="2" t="s">
        <v>8975</v>
      </c>
      <c r="D2131" s="2" t="s">
        <v>59</v>
      </c>
      <c r="E2131" s="2">
        <v>105</v>
      </c>
      <c r="F2131" s="2">
        <v>1969.816</v>
      </c>
    </row>
    <row r="2132" spans="3:6" x14ac:dyDescent="0.25">
      <c r="C2132" s="2" t="s">
        <v>8973</v>
      </c>
      <c r="D2132" s="2" t="s">
        <v>59</v>
      </c>
      <c r="E2132" s="2">
        <v>163</v>
      </c>
      <c r="F2132" s="2">
        <v>3028.92</v>
      </c>
    </row>
    <row r="2133" spans="3:6" x14ac:dyDescent="0.25">
      <c r="C2133" s="2" t="s">
        <v>8976</v>
      </c>
      <c r="D2133" s="2" t="s">
        <v>59</v>
      </c>
      <c r="E2133" s="2">
        <v>138</v>
      </c>
      <c r="F2133" s="2">
        <v>2855.22</v>
      </c>
    </row>
    <row r="2134" spans="3:6" x14ac:dyDescent="0.25">
      <c r="C2134" s="2" t="s">
        <v>8977</v>
      </c>
      <c r="D2134" s="2" t="s">
        <v>59</v>
      </c>
      <c r="E2134" s="2">
        <v>289</v>
      </c>
      <c r="F2134" s="2">
        <v>4719.991</v>
      </c>
    </row>
    <row r="2135" spans="3:6" x14ac:dyDescent="0.25">
      <c r="C2135" s="2" t="s">
        <v>8974</v>
      </c>
      <c r="D2135" s="2" t="s">
        <v>59</v>
      </c>
      <c r="E2135" s="2">
        <v>274</v>
      </c>
      <c r="F2135" s="2">
        <v>5011.196</v>
      </c>
    </row>
    <row r="2137" spans="1:7" x14ac:dyDescent="0.25">
      <c r="A2137" s="1">
        <v>46160</v>
      </c>
      <c r="B2137" s="2" t="s">
        <v>347</v>
      </c>
      <c r="C2137" s="2" t="s">
        <v>9340</v>
      </c>
      <c r="D2137" s="2" t="s">
        <v>59</v>
      </c>
      <c r="E2137" s="2">
        <v>242</v>
      </c>
      <c r="F2137" s="2">
        <v>4558.781</v>
      </c>
      <c r="G2137" s="1">
        <v>46159</v>
      </c>
    </row>
    <row r="2138" spans="3:6" x14ac:dyDescent="0.25">
      <c r="C2138" s="2" t="s">
        <v>9341</v>
      </c>
      <c r="D2138" s="2" t="s">
        <v>59</v>
      </c>
      <c r="E2138" s="2">
        <v>242</v>
      </c>
      <c r="F2138" s="2">
        <v>5246.966</v>
      </c>
    </row>
    <row r="2139" spans="3:6" x14ac:dyDescent="0.25">
      <c r="C2139" s="2" t="s">
        <v>9342</v>
      </c>
      <c r="D2139" s="2" t="s">
        <v>59</v>
      </c>
      <c r="E2139" s="2">
        <v>102</v>
      </c>
      <c r="F2139" s="2">
        <v>2033.5</v>
      </c>
    </row>
    <row r="2140" spans="3:6" x14ac:dyDescent="0.25">
      <c r="C2140" s="2" t="s">
        <v>9343</v>
      </c>
      <c r="D2140" s="2" t="s">
        <v>59</v>
      </c>
      <c r="E2140" s="2">
        <v>290</v>
      </c>
      <c r="F2140" s="2">
        <v>3817.032</v>
      </c>
    </row>
    <row r="2141" spans="3:6" x14ac:dyDescent="0.25">
      <c r="C2141" s="2" t="s">
        <v>9344</v>
      </c>
      <c r="D2141" s="2" t="s">
        <v>59</v>
      </c>
      <c r="E2141" s="2">
        <v>102</v>
      </c>
      <c r="F2141" s="2">
        <v>2063.88</v>
      </c>
    </row>
    <row r="2142" spans="3:6" x14ac:dyDescent="0.25">
      <c r="C2142" s="2" t="s">
        <v>9345</v>
      </c>
      <c r="D2142" s="2" t="s">
        <v>59</v>
      </c>
      <c r="E2142" s="2">
        <v>102</v>
      </c>
      <c r="F2142" s="2">
        <v>2007.419</v>
      </c>
    </row>
    <row r="2143" spans="3:6" x14ac:dyDescent="0.25">
      <c r="C2143" s="2" t="s">
        <v>9346</v>
      </c>
      <c r="D2143" s="2" t="s">
        <v>59</v>
      </c>
      <c r="E2143" s="2">
        <v>251</v>
      </c>
      <c r="F2143" s="2">
        <v>5005.31</v>
      </c>
    </row>
    <row r="2145" spans="1:7" x14ac:dyDescent="0.25">
      <c r="A2145" s="1">
        <v>46161</v>
      </c>
      <c r="B2145" s="2" t="s">
        <v>1400</v>
      </c>
      <c r="C2145" s="2" t="s">
        <v>9347</v>
      </c>
      <c r="D2145" s="2" t="s">
        <v>82</v>
      </c>
      <c r="E2145" s="2">
        <v>121</v>
      </c>
      <c r="F2145" s="2">
        <v>2542.52</v>
      </c>
      <c r="G2145" s="1">
        <v>46161</v>
      </c>
    </row>
    <row r="2146" spans="3:6" x14ac:dyDescent="0.25">
      <c r="C2146" s="2" t="s">
        <v>9348</v>
      </c>
      <c r="D2146" s="2" t="s">
        <v>82</v>
      </c>
      <c r="E2146" s="2">
        <v>121</v>
      </c>
      <c r="F2146" s="2">
        <v>2512.79</v>
      </c>
    </row>
    <row r="2147" spans="3:6" x14ac:dyDescent="0.25">
      <c r="C2147" s="2" t="s">
        <v>9349</v>
      </c>
      <c r="D2147" s="2" t="s">
        <v>82</v>
      </c>
      <c r="E2147" s="2">
        <v>141</v>
      </c>
      <c r="F2147" s="2">
        <v>2782.33</v>
      </c>
    </row>
    <row r="2148" spans="3:6" x14ac:dyDescent="0.25">
      <c r="C2148" s="2" t="s">
        <v>9350</v>
      </c>
      <c r="D2148" s="2" t="s">
        <v>82</v>
      </c>
      <c r="E2148" s="2">
        <v>141</v>
      </c>
      <c r="F2148" s="2">
        <v>2881.509</v>
      </c>
    </row>
    <row r="2149" spans="3:6" x14ac:dyDescent="0.25">
      <c r="C2149" s="2" t="s">
        <v>9351</v>
      </c>
      <c r="D2149" s="2" t="s">
        <v>82</v>
      </c>
      <c r="E2149" s="2">
        <v>141</v>
      </c>
      <c r="F2149" s="2">
        <v>2939.72</v>
      </c>
    </row>
    <row r="2150" spans="3:6" x14ac:dyDescent="0.25">
      <c r="C2150" s="2" t="s">
        <v>9352</v>
      </c>
      <c r="D2150" s="2" t="s">
        <v>82</v>
      </c>
      <c r="E2150" s="2">
        <v>115</v>
      </c>
      <c r="F2150" s="2">
        <v>2403.24</v>
      </c>
    </row>
    <row r="2151" spans="3:6" x14ac:dyDescent="0.25">
      <c r="C2151" s="2" t="s">
        <v>9353</v>
      </c>
      <c r="D2151" s="2" t="s">
        <v>82</v>
      </c>
      <c r="E2151" s="2">
        <v>26</v>
      </c>
      <c r="F2151" s="2">
        <v>486.16</v>
      </c>
    </row>
    <row r="2152" spans="3:6" x14ac:dyDescent="0.25">
      <c r="C2152" s="2" t="s">
        <v>9354</v>
      </c>
      <c r="D2152" s="2" t="s">
        <v>82</v>
      </c>
      <c r="E2152" s="2">
        <v>72</v>
      </c>
      <c r="F2152" s="2">
        <v>1419.47</v>
      </c>
    </row>
    <row r="2153" spans="3:6" x14ac:dyDescent="0.25">
      <c r="C2153" s="2" t="s">
        <v>9355</v>
      </c>
      <c r="D2153" s="2" t="s">
        <v>82</v>
      </c>
      <c r="E2153" s="2">
        <v>69</v>
      </c>
      <c r="F2153" s="2">
        <v>1359.18</v>
      </c>
    </row>
    <row r="2154" spans="3:6" x14ac:dyDescent="0.25">
      <c r="C2154" s="2" t="s">
        <v>9356</v>
      </c>
      <c r="D2154" s="2" t="s">
        <v>82</v>
      </c>
      <c r="E2154" s="2">
        <v>141</v>
      </c>
      <c r="F2154" s="2">
        <v>2855.07</v>
      </c>
    </row>
    <row r="2155" spans="3:6" x14ac:dyDescent="0.25">
      <c r="C2155" s="2" t="s">
        <v>9357</v>
      </c>
      <c r="D2155" s="2" t="s">
        <v>82</v>
      </c>
      <c r="E2155" s="2">
        <v>101</v>
      </c>
      <c r="F2155" s="2">
        <v>2069.39</v>
      </c>
    </row>
    <row r="2156" spans="3:6" x14ac:dyDescent="0.25">
      <c r="C2156" s="2" t="s">
        <v>9358</v>
      </c>
      <c r="D2156" s="2" t="s">
        <v>82</v>
      </c>
      <c r="E2156" s="2">
        <v>49</v>
      </c>
      <c r="F2156" s="2">
        <v>1039.97</v>
      </c>
    </row>
    <row r="2157" spans="3:6" x14ac:dyDescent="0.25">
      <c r="C2157" s="2" t="s">
        <v>9359</v>
      </c>
      <c r="D2157" s="2" t="s">
        <v>82</v>
      </c>
      <c r="E2157" s="2">
        <v>52</v>
      </c>
      <c r="F2157" s="2">
        <v>1051.78</v>
      </c>
    </row>
    <row r="2158" spans="3:6" x14ac:dyDescent="0.25">
      <c r="C2158" s="2" t="s">
        <v>9360</v>
      </c>
      <c r="D2158" s="2" t="s">
        <v>82</v>
      </c>
      <c r="E2158" s="2">
        <v>101</v>
      </c>
      <c r="F2158" s="2">
        <v>1969.17</v>
      </c>
    </row>
    <row r="2159" spans="3:6" x14ac:dyDescent="0.25">
      <c r="C2159" s="2" t="s">
        <v>9361</v>
      </c>
      <c r="D2159" s="2" t="s">
        <v>82</v>
      </c>
      <c r="E2159" s="2">
        <v>101</v>
      </c>
      <c r="F2159" s="2">
        <v>2054.38</v>
      </c>
    </row>
    <row r="2160" spans="3:6" x14ac:dyDescent="0.25">
      <c r="C2160" s="2" t="s">
        <v>9362</v>
      </c>
      <c r="D2160" s="2" t="s">
        <v>82</v>
      </c>
      <c r="E2160" s="2">
        <v>101</v>
      </c>
      <c r="F2160" s="2">
        <v>2041.29</v>
      </c>
    </row>
    <row r="2161" spans="3:6" x14ac:dyDescent="0.25">
      <c r="C2161" s="2" t="s">
        <v>9363</v>
      </c>
      <c r="D2161" s="2" t="s">
        <v>82</v>
      </c>
      <c r="E2161" s="2">
        <v>141</v>
      </c>
      <c r="F2161" s="2">
        <v>2786.52</v>
      </c>
    </row>
    <row r="2162" spans="3:6" x14ac:dyDescent="0.25">
      <c r="C2162" s="2" t="s">
        <v>9364</v>
      </c>
      <c r="D2162" s="2" t="s">
        <v>82</v>
      </c>
      <c r="E2162" s="2">
        <v>141</v>
      </c>
      <c r="F2162" s="2">
        <v>2942.689</v>
      </c>
    </row>
    <row r="2163" spans="3:6" x14ac:dyDescent="0.25">
      <c r="C2163" s="2" t="s">
        <v>9365</v>
      </c>
      <c r="D2163" s="2" t="s">
        <v>82</v>
      </c>
      <c r="E2163" s="2">
        <v>141</v>
      </c>
      <c r="F2163" s="2">
        <v>2913.66</v>
      </c>
    </row>
    <row r="2165" spans="1:7" x14ac:dyDescent="0.25">
      <c r="A2165" s="1">
        <v>46161</v>
      </c>
      <c r="B2165" s="2" t="s">
        <v>1012</v>
      </c>
      <c r="C2165" s="2" t="s">
        <v>9366</v>
      </c>
      <c r="D2165" s="2" t="s">
        <v>73</v>
      </c>
      <c r="E2165" s="2">
        <v>72</v>
      </c>
      <c r="F2165" s="2">
        <v>1515.1</v>
      </c>
      <c r="G2165" s="1">
        <v>46161</v>
      </c>
    </row>
    <row r="2166" spans="3:6" x14ac:dyDescent="0.25">
      <c r="C2166" s="2" t="s">
        <v>9367</v>
      </c>
      <c r="D2166" s="2" t="s">
        <v>73</v>
      </c>
      <c r="E2166" s="2">
        <v>21</v>
      </c>
      <c r="F2166" s="2">
        <v>368.05</v>
      </c>
    </row>
    <row r="2167" spans="3:6" x14ac:dyDescent="0.25">
      <c r="C2167" s="2" t="s">
        <v>9368</v>
      </c>
      <c r="D2167" s="2" t="s">
        <v>73</v>
      </c>
      <c r="E2167" s="2">
        <v>7</v>
      </c>
      <c r="F2167" s="2">
        <v>133.2</v>
      </c>
    </row>
    <row r="2168" spans="3:6" x14ac:dyDescent="0.25">
      <c r="C2168" s="2" t="s">
        <v>9369</v>
      </c>
      <c r="D2168" s="2" t="s">
        <v>73</v>
      </c>
      <c r="E2168" s="2">
        <v>32</v>
      </c>
      <c r="F2168" s="2">
        <v>528.32</v>
      </c>
    </row>
    <row r="2169" spans="3:6" x14ac:dyDescent="0.25">
      <c r="C2169" s="2" t="s">
        <v>9370</v>
      </c>
      <c r="D2169" s="2" t="s">
        <v>73</v>
      </c>
      <c r="E2169" s="2">
        <v>54</v>
      </c>
      <c r="F2169" s="2">
        <v>1047.68</v>
      </c>
    </row>
    <row r="2170" spans="3:6" x14ac:dyDescent="0.25">
      <c r="C2170" s="2" t="s">
        <v>9371</v>
      </c>
      <c r="D2170" s="2" t="s">
        <v>73</v>
      </c>
      <c r="E2170" s="2">
        <v>99</v>
      </c>
      <c r="F2170" s="2">
        <v>1935.32</v>
      </c>
    </row>
    <row r="2171" spans="3:6" x14ac:dyDescent="0.25">
      <c r="C2171" s="2" t="s">
        <v>9372</v>
      </c>
      <c r="D2171" s="2" t="s">
        <v>73</v>
      </c>
      <c r="E2171" s="2">
        <v>29</v>
      </c>
      <c r="F2171" s="2">
        <v>511.36</v>
      </c>
    </row>
    <row r="2172" spans="3:6" x14ac:dyDescent="0.25">
      <c r="C2172" s="2" t="s">
        <v>9373</v>
      </c>
      <c r="D2172" s="2" t="s">
        <v>73</v>
      </c>
      <c r="E2172" s="2">
        <v>47</v>
      </c>
      <c r="F2172" s="2">
        <v>828.628</v>
      </c>
    </row>
    <row r="2173" spans="3:6" x14ac:dyDescent="0.25">
      <c r="C2173" s="2" t="s">
        <v>9374</v>
      </c>
      <c r="D2173" s="2" t="s">
        <v>73</v>
      </c>
      <c r="E2173" s="2">
        <v>48</v>
      </c>
      <c r="F2173" s="2">
        <v>977.28</v>
      </c>
    </row>
    <row r="2175" spans="1:7" x14ac:dyDescent="0.25">
      <c r="A2175" s="1">
        <v>46161</v>
      </c>
      <c r="B2175" s="2" t="s">
        <v>7</v>
      </c>
      <c r="C2175" s="2" t="s">
        <v>9375</v>
      </c>
      <c r="D2175" s="2" t="s">
        <v>9</v>
      </c>
      <c r="E2175" s="2">
        <v>99</v>
      </c>
      <c r="F2175" s="2">
        <v>2050.83</v>
      </c>
      <c r="G2175" s="1">
        <v>46160</v>
      </c>
    </row>
    <row r="2176" spans="3:6" x14ac:dyDescent="0.25">
      <c r="C2176" s="2" t="s">
        <v>9376</v>
      </c>
      <c r="D2176" s="2" t="s">
        <v>9</v>
      </c>
      <c r="E2176" s="2">
        <v>95</v>
      </c>
      <c r="F2176" s="2">
        <v>1930.96</v>
      </c>
    </row>
    <row r="2178" spans="1:7" x14ac:dyDescent="0.25">
      <c r="A2178" s="1">
        <v>46161</v>
      </c>
      <c r="B2178" s="2" t="s">
        <v>9377</v>
      </c>
      <c r="C2178" s="2" t="s">
        <v>9378</v>
      </c>
      <c r="D2178" s="2" t="s">
        <v>30</v>
      </c>
      <c r="E2178" s="2">
        <v>163</v>
      </c>
      <c r="F2178" s="2">
        <v>2991.519</v>
      </c>
      <c r="G2178" s="1">
        <v>46161</v>
      </c>
    </row>
    <row r="2180" spans="1:7" x14ac:dyDescent="0.25">
      <c r="A2180" s="1">
        <v>46161</v>
      </c>
      <c r="B2180" s="2" t="s">
        <v>361</v>
      </c>
      <c r="C2180" s="2" t="s">
        <v>9379</v>
      </c>
      <c r="D2180" s="2" t="s">
        <v>70</v>
      </c>
      <c r="E2180" s="2">
        <v>154</v>
      </c>
      <c r="F2180" s="2">
        <v>2914.58</v>
      </c>
      <c r="G2180" s="1">
        <v>46161</v>
      </c>
    </row>
    <row r="2182" spans="1:7" x14ac:dyDescent="0.25">
      <c r="A2182" s="1">
        <v>46162</v>
      </c>
      <c r="B2182" s="2" t="s">
        <v>1400</v>
      </c>
      <c r="C2182" s="2" t="s">
        <v>9380</v>
      </c>
      <c r="D2182" s="2" t="s">
        <v>82</v>
      </c>
      <c r="E2182" s="2">
        <v>121</v>
      </c>
      <c r="F2182" s="2">
        <v>2441.41</v>
      </c>
      <c r="G2182" s="1">
        <v>46162</v>
      </c>
    </row>
    <row r="2183" spans="3:6" x14ac:dyDescent="0.25">
      <c r="C2183" s="2" t="s">
        <v>9381</v>
      </c>
      <c r="D2183" s="2" t="s">
        <v>82</v>
      </c>
      <c r="E2183" s="2">
        <v>65</v>
      </c>
      <c r="F2183" s="2">
        <v>1305.36</v>
      </c>
    </row>
    <row r="2184" spans="3:6" x14ac:dyDescent="0.25">
      <c r="C2184" s="2" t="s">
        <v>9382</v>
      </c>
      <c r="D2184" s="2" t="s">
        <v>82</v>
      </c>
      <c r="E2184" s="2">
        <v>56</v>
      </c>
      <c r="F2184" s="2">
        <v>1174.47</v>
      </c>
    </row>
    <row r="2185" spans="3:6" x14ac:dyDescent="0.25">
      <c r="C2185" s="2" t="s">
        <v>9383</v>
      </c>
      <c r="D2185" s="2" t="s">
        <v>82</v>
      </c>
      <c r="E2185" s="2">
        <v>143</v>
      </c>
      <c r="F2185" s="2">
        <v>2772.559</v>
      </c>
    </row>
    <row r="2186" spans="3:6" x14ac:dyDescent="0.25">
      <c r="C2186" s="2" t="s">
        <v>9384</v>
      </c>
      <c r="D2186" s="2" t="s">
        <v>82</v>
      </c>
      <c r="E2186" s="2">
        <v>141</v>
      </c>
      <c r="F2186" s="2">
        <v>3003.8</v>
      </c>
    </row>
    <row r="2187" spans="3:6" x14ac:dyDescent="0.25">
      <c r="C2187" s="2" t="s">
        <v>9385</v>
      </c>
      <c r="D2187" s="2" t="s">
        <v>82</v>
      </c>
      <c r="E2187" s="2">
        <v>142</v>
      </c>
      <c r="F2187" s="2">
        <v>2888.389</v>
      </c>
    </row>
    <row r="2188" spans="3:6" x14ac:dyDescent="0.25">
      <c r="C2188" s="2" t="s">
        <v>9386</v>
      </c>
      <c r="D2188" s="2" t="s">
        <v>82</v>
      </c>
      <c r="E2188" s="2">
        <v>141</v>
      </c>
      <c r="F2188" s="2">
        <v>2879.579</v>
      </c>
    </row>
    <row r="2189" spans="3:6" x14ac:dyDescent="0.25">
      <c r="C2189" s="2" t="s">
        <v>9387</v>
      </c>
      <c r="D2189" s="2" t="s">
        <v>82</v>
      </c>
      <c r="E2189" s="2">
        <v>102</v>
      </c>
      <c r="F2189" s="2">
        <v>2072.95</v>
      </c>
    </row>
    <row r="2190" spans="3:6" x14ac:dyDescent="0.25">
      <c r="C2190" s="2" t="s">
        <v>9388</v>
      </c>
      <c r="D2190" s="2" t="s">
        <v>82</v>
      </c>
      <c r="E2190" s="2">
        <v>17</v>
      </c>
      <c r="F2190" s="2">
        <v>314.02</v>
      </c>
    </row>
    <row r="2191" spans="3:6" x14ac:dyDescent="0.25">
      <c r="C2191" s="2" t="s">
        <v>9389</v>
      </c>
      <c r="D2191" s="2" t="s">
        <v>82</v>
      </c>
      <c r="E2191" s="2">
        <v>85</v>
      </c>
      <c r="F2191" s="2">
        <v>1634.269</v>
      </c>
    </row>
    <row r="2192" spans="3:6" x14ac:dyDescent="0.25">
      <c r="C2192" s="2" t="s">
        <v>9390</v>
      </c>
      <c r="D2192" s="2" t="s">
        <v>82</v>
      </c>
      <c r="E2192" s="2">
        <v>47</v>
      </c>
      <c r="F2192" s="2">
        <v>916.77</v>
      </c>
    </row>
    <row r="2193" spans="3:6" x14ac:dyDescent="0.25">
      <c r="C2193" s="2" t="s">
        <v>9391</v>
      </c>
      <c r="D2193" s="2" t="s">
        <v>82</v>
      </c>
      <c r="E2193" s="2">
        <v>54</v>
      </c>
      <c r="F2193" s="2">
        <v>1067.03</v>
      </c>
    </row>
    <row r="2194" spans="3:6" x14ac:dyDescent="0.25">
      <c r="C2194" s="2" t="s">
        <v>9392</v>
      </c>
      <c r="D2194" s="2" t="s">
        <v>82</v>
      </c>
      <c r="E2194" s="2">
        <v>101</v>
      </c>
      <c r="F2194" s="2">
        <v>2078.57</v>
      </c>
    </row>
    <row r="2195" spans="3:6" x14ac:dyDescent="0.25">
      <c r="C2195" s="2" t="s">
        <v>9393</v>
      </c>
      <c r="D2195" s="2" t="s">
        <v>82</v>
      </c>
      <c r="E2195" s="2">
        <v>18</v>
      </c>
      <c r="F2195" s="2">
        <v>350.05</v>
      </c>
    </row>
    <row r="2196" spans="3:6" x14ac:dyDescent="0.25">
      <c r="C2196" s="2" t="s">
        <v>9394</v>
      </c>
      <c r="D2196" s="2" t="s">
        <v>82</v>
      </c>
      <c r="E2196" s="2">
        <v>83</v>
      </c>
      <c r="F2196" s="2">
        <v>1636.16</v>
      </c>
    </row>
    <row r="2197" spans="3:6" x14ac:dyDescent="0.25">
      <c r="C2197" s="2" t="s">
        <v>9395</v>
      </c>
      <c r="D2197" s="2" t="s">
        <v>82</v>
      </c>
      <c r="E2197" s="2">
        <v>82</v>
      </c>
      <c r="F2197" s="2">
        <v>1652.889</v>
      </c>
    </row>
    <row r="2198" spans="3:6" x14ac:dyDescent="0.25">
      <c r="C2198" s="2" t="s">
        <v>9396</v>
      </c>
      <c r="D2198" s="2" t="s">
        <v>82</v>
      </c>
      <c r="E2198" s="2">
        <v>59</v>
      </c>
      <c r="F2198" s="2">
        <v>1153.53</v>
      </c>
    </row>
    <row r="2199" spans="3:6" x14ac:dyDescent="0.25">
      <c r="C2199" s="2" t="s">
        <v>9397</v>
      </c>
      <c r="D2199" s="2" t="s">
        <v>82</v>
      </c>
      <c r="E2199" s="2">
        <v>24</v>
      </c>
      <c r="F2199" s="2">
        <v>435.68</v>
      </c>
    </row>
    <row r="2200" spans="3:6" x14ac:dyDescent="0.25">
      <c r="C2200" s="2" t="s">
        <v>9398</v>
      </c>
      <c r="D2200" s="2" t="s">
        <v>82</v>
      </c>
      <c r="E2200" s="2">
        <v>42</v>
      </c>
      <c r="F2200" s="2">
        <v>811.73</v>
      </c>
    </row>
    <row r="2201" spans="3:6" x14ac:dyDescent="0.25">
      <c r="C2201" s="2" t="s">
        <v>9399</v>
      </c>
      <c r="D2201" s="2" t="s">
        <v>82</v>
      </c>
      <c r="E2201" s="2">
        <v>19</v>
      </c>
      <c r="F2201" s="2">
        <v>381.33</v>
      </c>
    </row>
    <row r="2202" spans="3:6" x14ac:dyDescent="0.25">
      <c r="C2202" s="2" t="s">
        <v>9400</v>
      </c>
      <c r="D2202" s="2" t="s">
        <v>82</v>
      </c>
      <c r="E2202" s="2">
        <v>56</v>
      </c>
      <c r="F2202" s="2">
        <v>1063.54</v>
      </c>
    </row>
    <row r="2203" spans="3:6" x14ac:dyDescent="0.25">
      <c r="C2203" s="2" t="s">
        <v>9401</v>
      </c>
      <c r="D2203" s="2" t="s">
        <v>82</v>
      </c>
      <c r="E2203" s="2">
        <v>71</v>
      </c>
      <c r="F2203" s="2">
        <v>1441.14</v>
      </c>
    </row>
    <row r="2204" spans="3:6" x14ac:dyDescent="0.25">
      <c r="C2204" s="2" t="s">
        <v>9402</v>
      </c>
      <c r="D2204" s="2" t="s">
        <v>82</v>
      </c>
      <c r="E2204" s="2">
        <v>70</v>
      </c>
      <c r="F2204" s="2">
        <v>1341.07</v>
      </c>
    </row>
    <row r="2205" spans="3:6" x14ac:dyDescent="0.25">
      <c r="C2205" s="2" t="s">
        <v>9403</v>
      </c>
      <c r="D2205" s="2" t="s">
        <v>82</v>
      </c>
      <c r="E2205" s="2">
        <v>35</v>
      </c>
      <c r="F2205" s="2">
        <v>719.49</v>
      </c>
    </row>
    <row r="2206" spans="3:6" x14ac:dyDescent="0.25">
      <c r="C2206" s="2" t="s">
        <v>9404</v>
      </c>
      <c r="D2206" s="2" t="s">
        <v>82</v>
      </c>
      <c r="E2206" s="2">
        <v>50</v>
      </c>
      <c r="F2206" s="2">
        <v>984.89</v>
      </c>
    </row>
    <row r="2207" spans="3:6" x14ac:dyDescent="0.25">
      <c r="C2207" s="2" t="s">
        <v>9405</v>
      </c>
      <c r="D2207" s="2" t="s">
        <v>82</v>
      </c>
      <c r="E2207" s="2">
        <v>16</v>
      </c>
      <c r="F2207" s="2">
        <v>309.49</v>
      </c>
    </row>
    <row r="2208" spans="3:6" x14ac:dyDescent="0.25">
      <c r="C2208" s="2" t="s">
        <v>9406</v>
      </c>
      <c r="D2208" s="2" t="s">
        <v>82</v>
      </c>
      <c r="E2208" s="2">
        <v>40</v>
      </c>
      <c r="F2208" s="2">
        <v>839.849</v>
      </c>
    </row>
    <row r="2209" spans="3:6" x14ac:dyDescent="0.25">
      <c r="C2209" s="2" t="s">
        <v>9407</v>
      </c>
      <c r="D2209" s="2" t="s">
        <v>82</v>
      </c>
      <c r="E2209" s="2">
        <v>141</v>
      </c>
      <c r="F2209" s="2">
        <v>2873.439</v>
      </c>
    </row>
    <row r="2211" spans="1:7" x14ac:dyDescent="0.25">
      <c r="A2211" s="1">
        <v>46162</v>
      </c>
      <c r="B2211" s="2" t="s">
        <v>3948</v>
      </c>
      <c r="C2211" s="2" t="s">
        <v>9408</v>
      </c>
      <c r="D2211" s="2" t="s">
        <v>178</v>
      </c>
      <c r="E2211" s="2">
        <v>246</v>
      </c>
      <c r="F2211" s="2">
        <v>5015.31</v>
      </c>
      <c r="G2211" s="1">
        <v>46162</v>
      </c>
    </row>
    <row r="2212" spans="3:6" x14ac:dyDescent="0.25">
      <c r="C2212" s="2" t="s">
        <v>9409</v>
      </c>
      <c r="D2212" s="2" t="s">
        <v>178</v>
      </c>
      <c r="E2212" s="2">
        <v>134</v>
      </c>
      <c r="F2212" s="2">
        <v>2760.289</v>
      </c>
    </row>
    <row r="2213" spans="3:6" x14ac:dyDescent="0.25">
      <c r="C2213" s="2" t="s">
        <v>9410</v>
      </c>
      <c r="D2213" s="2" t="s">
        <v>178</v>
      </c>
      <c r="E2213" s="2">
        <v>102</v>
      </c>
      <c r="F2213" s="2">
        <v>2131.17</v>
      </c>
    </row>
    <row r="2214" spans="3:6" x14ac:dyDescent="0.25">
      <c r="C2214" s="2" t="s">
        <v>9411</v>
      </c>
      <c r="D2214" s="2" t="s">
        <v>178</v>
      </c>
      <c r="E2214" s="2">
        <v>30</v>
      </c>
      <c r="F2214" s="2">
        <v>127.039</v>
      </c>
    </row>
    <row r="2215" spans="3:6" x14ac:dyDescent="0.25">
      <c r="C2215" s="2" t="s">
        <v>9412</v>
      </c>
      <c r="D2215" s="2" t="s">
        <v>178</v>
      </c>
      <c r="E2215" s="2">
        <v>282</v>
      </c>
      <c r="F2215" s="2">
        <v>5930.01</v>
      </c>
    </row>
    <row r="2216" spans="3:6" x14ac:dyDescent="0.25">
      <c r="C2216" s="2" t="s">
        <v>9413</v>
      </c>
      <c r="D2216" s="2" t="s">
        <v>178</v>
      </c>
      <c r="E2216" s="2">
        <v>39</v>
      </c>
      <c r="F2216" s="2">
        <v>166.809</v>
      </c>
    </row>
    <row r="2217" spans="3:6" x14ac:dyDescent="0.25">
      <c r="C2217" s="2" t="s">
        <v>9414</v>
      </c>
      <c r="D2217" s="2" t="s">
        <v>178</v>
      </c>
      <c r="E2217" s="2">
        <v>282</v>
      </c>
      <c r="F2217" s="2">
        <v>5728.62</v>
      </c>
    </row>
    <row r="2218" spans="3:6" x14ac:dyDescent="0.25">
      <c r="C2218" s="2" t="s">
        <v>9415</v>
      </c>
      <c r="D2218" s="2" t="s">
        <v>178</v>
      </c>
      <c r="E2218" s="2">
        <v>102</v>
      </c>
      <c r="F2218" s="2">
        <v>2002.628</v>
      </c>
    </row>
    <row r="2219" spans="3:6" x14ac:dyDescent="0.25">
      <c r="C2219" s="2" t="s">
        <v>9416</v>
      </c>
      <c r="D2219" s="2" t="s">
        <v>178</v>
      </c>
      <c r="E2219" s="2">
        <v>102</v>
      </c>
      <c r="F2219" s="2">
        <v>1908.319</v>
      </c>
    </row>
    <row r="2220" spans="3:6" x14ac:dyDescent="0.25">
      <c r="C2220" s="2" t="s">
        <v>9417</v>
      </c>
      <c r="D2220" s="2" t="s">
        <v>178</v>
      </c>
      <c r="E2220" s="2">
        <v>46</v>
      </c>
      <c r="F2220" s="2">
        <v>936.14</v>
      </c>
    </row>
    <row r="2221" spans="3:6" x14ac:dyDescent="0.25">
      <c r="C2221" s="2" t="s">
        <v>9418</v>
      </c>
      <c r="D2221" s="2" t="s">
        <v>178</v>
      </c>
      <c r="E2221" s="2">
        <v>95</v>
      </c>
      <c r="F2221" s="2">
        <v>1837.19</v>
      </c>
    </row>
    <row r="2222" spans="3:6" x14ac:dyDescent="0.25">
      <c r="C2222" s="2" t="s">
        <v>9419</v>
      </c>
      <c r="D2222" s="2" t="s">
        <v>178</v>
      </c>
      <c r="E2222" s="2">
        <v>284</v>
      </c>
      <c r="F2222" s="2">
        <v>5585.45</v>
      </c>
    </row>
    <row r="2223" spans="3:6" x14ac:dyDescent="0.25">
      <c r="C2223" s="2" t="s">
        <v>9420</v>
      </c>
      <c r="D2223" s="2" t="s">
        <v>178</v>
      </c>
      <c r="E2223" s="2">
        <v>102</v>
      </c>
      <c r="F2223" s="2">
        <v>2062.018</v>
      </c>
    </row>
    <row r="2224" spans="3:6" x14ac:dyDescent="0.25">
      <c r="C2224" s="2" t="s">
        <v>9421</v>
      </c>
      <c r="D2224" s="2" t="s">
        <v>178</v>
      </c>
      <c r="E2224" s="2">
        <v>123</v>
      </c>
      <c r="F2224" s="2">
        <v>2640.99</v>
      </c>
    </row>
    <row r="2225" spans="3:6" x14ac:dyDescent="0.25">
      <c r="C2225" s="2" t="s">
        <v>9422</v>
      </c>
      <c r="D2225" s="2" t="s">
        <v>178</v>
      </c>
      <c r="E2225" s="2">
        <v>282</v>
      </c>
      <c r="F2225" s="2">
        <v>5927.64</v>
      </c>
    </row>
    <row r="2226" spans="3:6" x14ac:dyDescent="0.25">
      <c r="C2226" s="2" t="s">
        <v>9423</v>
      </c>
      <c r="D2226" s="2" t="s">
        <v>178</v>
      </c>
      <c r="E2226" s="2">
        <v>200</v>
      </c>
      <c r="F2226" s="2">
        <v>4141.898</v>
      </c>
    </row>
    <row r="2227" spans="3:6" x14ac:dyDescent="0.25">
      <c r="C2227" s="2" t="s">
        <v>9424</v>
      </c>
      <c r="D2227" s="2" t="s">
        <v>178</v>
      </c>
      <c r="E2227" s="2">
        <v>120</v>
      </c>
      <c r="F2227" s="2">
        <v>2507.32</v>
      </c>
    </row>
    <row r="2228" spans="3:6" x14ac:dyDescent="0.25">
      <c r="C2228" s="2" t="s">
        <v>9425</v>
      </c>
      <c r="D2228" s="2" t="s">
        <v>178</v>
      </c>
      <c r="E2228" s="2">
        <v>136</v>
      </c>
      <c r="F2228" s="2">
        <v>2772.788</v>
      </c>
    </row>
    <row r="2229" spans="3:6" x14ac:dyDescent="0.25">
      <c r="C2229" s="2" t="s">
        <v>9426</v>
      </c>
      <c r="D2229" s="2" t="s">
        <v>178</v>
      </c>
      <c r="E2229" s="2">
        <v>93</v>
      </c>
      <c r="F2229" s="2">
        <v>1806.159</v>
      </c>
    </row>
    <row r="2230" spans="3:6" x14ac:dyDescent="0.25">
      <c r="C2230" s="2" t="s">
        <v>9427</v>
      </c>
      <c r="D2230" s="2" t="s">
        <v>178</v>
      </c>
      <c r="E2230" s="2">
        <v>43</v>
      </c>
      <c r="F2230" s="2">
        <v>824.01</v>
      </c>
    </row>
    <row r="2231" spans="3:6" x14ac:dyDescent="0.25">
      <c r="C2231" s="2" t="s">
        <v>9428</v>
      </c>
      <c r="D2231" s="2" t="s">
        <v>178</v>
      </c>
      <c r="E2231" s="2">
        <v>136</v>
      </c>
      <c r="F2231" s="2">
        <v>2613.019</v>
      </c>
    </row>
    <row r="2232" spans="3:6" x14ac:dyDescent="0.25">
      <c r="C2232" s="2" t="s">
        <v>9429</v>
      </c>
      <c r="D2232" s="2" t="s">
        <v>178</v>
      </c>
      <c r="E2232" s="2">
        <v>45</v>
      </c>
      <c r="F2232" s="2">
        <v>883.119</v>
      </c>
    </row>
    <row r="2233" spans="3:6" x14ac:dyDescent="0.25">
      <c r="C2233" s="2" t="s">
        <v>9430</v>
      </c>
      <c r="D2233" s="2" t="s">
        <v>178</v>
      </c>
      <c r="E2233" s="2">
        <v>23</v>
      </c>
      <c r="F2233" s="2">
        <v>448.14</v>
      </c>
    </row>
    <row r="2234" spans="3:6" x14ac:dyDescent="0.25">
      <c r="C2234" s="2" t="s">
        <v>9431</v>
      </c>
      <c r="D2234" s="2" t="s">
        <v>178</v>
      </c>
      <c r="E2234" s="2">
        <v>83</v>
      </c>
      <c r="F2234" s="2">
        <v>1636.688</v>
      </c>
    </row>
    <row r="2235" spans="3:6" x14ac:dyDescent="0.25">
      <c r="C2235" s="2" t="s">
        <v>9432</v>
      </c>
      <c r="D2235" s="2" t="s">
        <v>178</v>
      </c>
      <c r="E2235" s="2">
        <v>53</v>
      </c>
      <c r="F2235" s="2">
        <v>1078.6</v>
      </c>
    </row>
    <row r="2236" spans="3:6" x14ac:dyDescent="0.25">
      <c r="C2236" s="2" t="s">
        <v>9433</v>
      </c>
      <c r="D2236" s="2" t="s">
        <v>178</v>
      </c>
      <c r="E2236" s="2">
        <v>136</v>
      </c>
      <c r="F2236" s="2">
        <v>2744.049</v>
      </c>
    </row>
    <row r="2237" spans="3:6" x14ac:dyDescent="0.25">
      <c r="C2237" s="2" t="s">
        <v>9434</v>
      </c>
      <c r="D2237" s="2" t="s">
        <v>178</v>
      </c>
      <c r="E2237" s="2">
        <v>136</v>
      </c>
      <c r="F2237" s="2">
        <v>2702.3</v>
      </c>
    </row>
    <row r="2238" spans="3:6" x14ac:dyDescent="0.25">
      <c r="C2238" s="2" t="s">
        <v>9435</v>
      </c>
      <c r="D2238" s="2" t="s">
        <v>178</v>
      </c>
      <c r="E2238" s="2">
        <v>33</v>
      </c>
      <c r="F2238" s="2">
        <v>694.33</v>
      </c>
    </row>
    <row r="2239" spans="3:6" x14ac:dyDescent="0.25">
      <c r="C2239" s="2" t="s">
        <v>9436</v>
      </c>
      <c r="D2239" s="2" t="s">
        <v>178</v>
      </c>
      <c r="E2239" s="2">
        <v>30</v>
      </c>
      <c r="F2239" s="2">
        <v>575</v>
      </c>
    </row>
    <row r="2240" spans="3:6" x14ac:dyDescent="0.25">
      <c r="C2240" s="2" t="s">
        <v>9437</v>
      </c>
      <c r="D2240" s="2" t="s">
        <v>178</v>
      </c>
      <c r="E2240" s="2">
        <v>73</v>
      </c>
      <c r="F2240" s="2">
        <v>1496.25</v>
      </c>
    </row>
    <row r="2241" spans="3:6" x14ac:dyDescent="0.25">
      <c r="C2241" s="2" t="s">
        <v>9438</v>
      </c>
      <c r="D2241" s="2" t="s">
        <v>178</v>
      </c>
      <c r="E2241" s="2">
        <v>81</v>
      </c>
      <c r="F2241" s="2">
        <v>1601.42</v>
      </c>
    </row>
    <row r="2242" spans="3:6" x14ac:dyDescent="0.25">
      <c r="C2242" s="2" t="s">
        <v>9439</v>
      </c>
      <c r="D2242" s="2" t="s">
        <v>178</v>
      </c>
      <c r="E2242" s="2">
        <v>20</v>
      </c>
      <c r="F2242" s="2">
        <v>368.877</v>
      </c>
    </row>
    <row r="2243" spans="3:6" x14ac:dyDescent="0.25">
      <c r="C2243" s="2" t="s">
        <v>9440</v>
      </c>
      <c r="D2243" s="2" t="s">
        <v>178</v>
      </c>
      <c r="E2243" s="2">
        <v>13</v>
      </c>
      <c r="F2243" s="2">
        <v>208.06</v>
      </c>
    </row>
    <row r="2244" spans="3:6" x14ac:dyDescent="0.25">
      <c r="C2244" s="2" t="s">
        <v>9441</v>
      </c>
      <c r="D2244" s="2" t="s">
        <v>178</v>
      </c>
      <c r="E2244" s="2">
        <v>25</v>
      </c>
      <c r="F2244" s="2">
        <v>486.5</v>
      </c>
    </row>
    <row r="2245" spans="3:6" x14ac:dyDescent="0.25">
      <c r="C2245" s="2" t="s">
        <v>9442</v>
      </c>
      <c r="D2245" s="2" t="s">
        <v>178</v>
      </c>
      <c r="E2245" s="2">
        <v>17</v>
      </c>
      <c r="F2245" s="2">
        <v>339.79</v>
      </c>
    </row>
    <row r="2246" spans="3:6" x14ac:dyDescent="0.25">
      <c r="C2246" s="2" t="s">
        <v>9443</v>
      </c>
      <c r="D2246" s="2" t="s">
        <v>178</v>
      </c>
      <c r="E2246" s="2">
        <v>34</v>
      </c>
      <c r="F2246" s="2">
        <v>706.33</v>
      </c>
    </row>
    <row r="2247" spans="3:6" x14ac:dyDescent="0.25">
      <c r="C2247" s="2" t="s">
        <v>9444</v>
      </c>
      <c r="D2247" s="2" t="s">
        <v>178</v>
      </c>
      <c r="E2247" s="2">
        <v>22</v>
      </c>
      <c r="F2247" s="2">
        <v>424.43</v>
      </c>
    </row>
    <row r="2248" spans="3:6" x14ac:dyDescent="0.25">
      <c r="C2248" s="2" t="s">
        <v>9445</v>
      </c>
      <c r="D2248" s="2" t="s">
        <v>178</v>
      </c>
      <c r="E2248" s="2">
        <v>24</v>
      </c>
      <c r="F2248" s="2">
        <v>462.41</v>
      </c>
    </row>
    <row r="2250" spans="1:7" x14ac:dyDescent="0.25">
      <c r="A2250" s="1">
        <v>46162</v>
      </c>
      <c r="B2250" s="2" t="s">
        <v>229</v>
      </c>
      <c r="C2250" s="2" t="s">
        <v>9446</v>
      </c>
      <c r="D2250" s="2" t="s">
        <v>292</v>
      </c>
      <c r="E2250" s="2">
        <v>102</v>
      </c>
      <c r="F2250" s="2">
        <v>2189.77</v>
      </c>
      <c r="G2250" s="1">
        <v>46161</v>
      </c>
    </row>
    <row r="2251" spans="3:6" x14ac:dyDescent="0.25">
      <c r="C2251" s="2" t="s">
        <v>9447</v>
      </c>
      <c r="D2251" s="2" t="s">
        <v>292</v>
      </c>
      <c r="E2251" s="2">
        <v>102</v>
      </c>
      <c r="F2251" s="2">
        <v>1998.269</v>
      </c>
    </row>
    <row r="2252" spans="3:6" x14ac:dyDescent="0.25">
      <c r="C2252" s="2" t="s">
        <v>9448</v>
      </c>
      <c r="D2252" s="2" t="s">
        <v>292</v>
      </c>
      <c r="E2252" s="2">
        <v>141</v>
      </c>
      <c r="F2252" s="2">
        <v>2815.19</v>
      </c>
    </row>
    <row r="2253" spans="3:6" x14ac:dyDescent="0.25">
      <c r="C2253" s="2" t="s">
        <v>9449</v>
      </c>
      <c r="D2253" s="2" t="s">
        <v>292</v>
      </c>
      <c r="E2253" s="2">
        <v>141</v>
      </c>
      <c r="F2253" s="2">
        <v>2945.03</v>
      </c>
    </row>
    <row r="2254" spans="3:6" x14ac:dyDescent="0.25">
      <c r="C2254" s="2" t="s">
        <v>9450</v>
      </c>
      <c r="D2254" s="2" t="s">
        <v>292</v>
      </c>
      <c r="E2254" s="2">
        <v>123</v>
      </c>
      <c r="F2254" s="2">
        <v>2521.27</v>
      </c>
    </row>
    <row r="2255" spans="3:6" x14ac:dyDescent="0.25">
      <c r="C2255" s="2" t="s">
        <v>9451</v>
      </c>
      <c r="D2255" s="2" t="s">
        <v>292</v>
      </c>
      <c r="E2255" s="2">
        <v>83</v>
      </c>
      <c r="F2255" s="2">
        <v>1713.33</v>
      </c>
    </row>
    <row r="2256" spans="3:6" x14ac:dyDescent="0.25">
      <c r="C2256" s="2" t="s">
        <v>9452</v>
      </c>
      <c r="D2256" s="2" t="s">
        <v>292</v>
      </c>
      <c r="E2256" s="2">
        <v>32</v>
      </c>
      <c r="F2256" s="2">
        <v>690.55</v>
      </c>
    </row>
    <row r="2257" spans="3:6" x14ac:dyDescent="0.25">
      <c r="C2257" s="2" t="s">
        <v>9453</v>
      </c>
      <c r="D2257" s="2" t="s">
        <v>292</v>
      </c>
      <c r="E2257" s="2">
        <v>9</v>
      </c>
      <c r="F2257" s="2">
        <v>139.98</v>
      </c>
    </row>
    <row r="2258" spans="3:6" x14ac:dyDescent="0.25">
      <c r="C2258" s="2" t="s">
        <v>9454</v>
      </c>
      <c r="D2258" s="2" t="s">
        <v>292</v>
      </c>
      <c r="E2258" s="2">
        <v>77</v>
      </c>
      <c r="F2258" s="2">
        <v>1550.51</v>
      </c>
    </row>
    <row r="2259" spans="3:6" x14ac:dyDescent="0.25">
      <c r="C2259" s="2" t="s">
        <v>9455</v>
      </c>
      <c r="D2259" s="2" t="s">
        <v>292</v>
      </c>
      <c r="E2259" s="2">
        <v>46</v>
      </c>
      <c r="F2259" s="2">
        <v>1062.37</v>
      </c>
    </row>
    <row r="2260" spans="3:6" x14ac:dyDescent="0.25">
      <c r="C2260" s="2" t="s">
        <v>9456</v>
      </c>
      <c r="D2260" s="2" t="s">
        <v>292</v>
      </c>
      <c r="E2260" s="2">
        <v>123</v>
      </c>
      <c r="F2260" s="2">
        <v>2513.13</v>
      </c>
    </row>
    <row r="2261" spans="3:6" x14ac:dyDescent="0.25">
      <c r="C2261" s="2" t="s">
        <v>9457</v>
      </c>
      <c r="D2261" s="2" t="s">
        <v>292</v>
      </c>
      <c r="E2261" s="2">
        <v>20</v>
      </c>
      <c r="F2261" s="2">
        <v>102.06</v>
      </c>
    </row>
    <row r="2262" spans="3:6" x14ac:dyDescent="0.25">
      <c r="C2262" s="2" t="s">
        <v>9458</v>
      </c>
      <c r="D2262" s="2" t="s">
        <v>292</v>
      </c>
      <c r="E2262" s="2">
        <v>109</v>
      </c>
      <c r="F2262" s="2">
        <v>2106.078</v>
      </c>
    </row>
    <row r="2263" spans="3:6" x14ac:dyDescent="0.25">
      <c r="C2263" s="2" t="s">
        <v>9459</v>
      </c>
      <c r="D2263" s="2" t="s">
        <v>292</v>
      </c>
      <c r="E2263" s="2">
        <v>20</v>
      </c>
      <c r="F2263" s="2">
        <v>407.11</v>
      </c>
    </row>
    <row r="2264" spans="3:6" x14ac:dyDescent="0.25">
      <c r="C2264" s="2" t="s">
        <v>9460</v>
      </c>
      <c r="D2264" s="2" t="s">
        <v>292</v>
      </c>
      <c r="E2264" s="2">
        <v>30</v>
      </c>
      <c r="F2264" s="2">
        <v>157.25</v>
      </c>
    </row>
    <row r="2265" spans="3:6" x14ac:dyDescent="0.25">
      <c r="C2265" s="2" t="s">
        <v>9461</v>
      </c>
      <c r="D2265" s="2" t="s">
        <v>292</v>
      </c>
      <c r="E2265" s="2">
        <v>57</v>
      </c>
      <c r="F2265" s="2">
        <v>1151.13</v>
      </c>
    </row>
    <row r="2266" spans="3:6" x14ac:dyDescent="0.25">
      <c r="C2266" s="2" t="s">
        <v>9462</v>
      </c>
      <c r="D2266" s="2" t="s">
        <v>292</v>
      </c>
      <c r="E2266" s="2">
        <v>84</v>
      </c>
      <c r="F2266" s="2">
        <v>1650.83</v>
      </c>
    </row>
    <row r="2267" spans="3:6" x14ac:dyDescent="0.25">
      <c r="C2267" s="2" t="s">
        <v>9463</v>
      </c>
      <c r="D2267" s="2" t="s">
        <v>292</v>
      </c>
      <c r="E2267" s="2">
        <v>86</v>
      </c>
      <c r="F2267" s="2">
        <v>1717.43</v>
      </c>
    </row>
    <row r="2268" spans="3:6" x14ac:dyDescent="0.25">
      <c r="C2268" s="2" t="s">
        <v>9464</v>
      </c>
      <c r="D2268" s="2" t="s">
        <v>292</v>
      </c>
      <c r="E2268" s="2">
        <v>7</v>
      </c>
      <c r="F2268" s="2">
        <v>154.36</v>
      </c>
    </row>
    <row r="2269" spans="3:6" x14ac:dyDescent="0.25">
      <c r="C2269" s="2" t="s">
        <v>9465</v>
      </c>
      <c r="D2269" s="2" t="s">
        <v>292</v>
      </c>
      <c r="E2269" s="2">
        <v>48</v>
      </c>
      <c r="F2269" s="2">
        <v>965.873</v>
      </c>
    </row>
    <row r="2270" spans="3:6" x14ac:dyDescent="0.25">
      <c r="C2270" s="2" t="s">
        <v>9466</v>
      </c>
      <c r="D2270" s="2" t="s">
        <v>292</v>
      </c>
      <c r="E2270" s="2">
        <v>113</v>
      </c>
      <c r="F2270" s="2">
        <v>1854.958</v>
      </c>
    </row>
    <row r="2271" spans="3:6" x14ac:dyDescent="0.25">
      <c r="C2271" s="2" t="s">
        <v>9467</v>
      </c>
      <c r="D2271" s="2" t="s">
        <v>292</v>
      </c>
      <c r="E2271" s="2">
        <v>14</v>
      </c>
      <c r="F2271" s="2">
        <v>281.22</v>
      </c>
    </row>
    <row r="2272" spans="3:6" x14ac:dyDescent="0.25">
      <c r="C2272" s="2" t="s">
        <v>9468</v>
      </c>
      <c r="D2272" s="2" t="s">
        <v>292</v>
      </c>
      <c r="E2272" s="2">
        <v>90</v>
      </c>
      <c r="F2272" s="2">
        <v>1856.24</v>
      </c>
    </row>
    <row r="2273" spans="3:6" x14ac:dyDescent="0.25">
      <c r="C2273" s="2" t="s">
        <v>9469</v>
      </c>
      <c r="D2273" s="2" t="s">
        <v>292</v>
      </c>
      <c r="E2273" s="2">
        <v>11</v>
      </c>
      <c r="F2273" s="2">
        <v>214.859</v>
      </c>
    </row>
    <row r="2274" spans="3:6" x14ac:dyDescent="0.25">
      <c r="C2274" s="2" t="s">
        <v>9470</v>
      </c>
      <c r="D2274" s="2" t="s">
        <v>292</v>
      </c>
      <c r="E2274" s="2">
        <v>40</v>
      </c>
      <c r="F2274" s="2">
        <v>734.83</v>
      </c>
    </row>
    <row r="2275" spans="3:6" x14ac:dyDescent="0.25">
      <c r="C2275" s="2" t="s">
        <v>9471</v>
      </c>
      <c r="D2275" s="2" t="s">
        <v>292</v>
      </c>
      <c r="E2275" s="2">
        <v>82</v>
      </c>
      <c r="F2275" s="2">
        <v>1691.43</v>
      </c>
    </row>
    <row r="2276" spans="3:6" x14ac:dyDescent="0.25">
      <c r="C2276" s="2" t="s">
        <v>9472</v>
      </c>
      <c r="D2276" s="2" t="s">
        <v>292</v>
      </c>
      <c r="E2276" s="2">
        <v>59</v>
      </c>
      <c r="F2276" s="2">
        <v>1142.5</v>
      </c>
    </row>
    <row r="2277" spans="3:6" x14ac:dyDescent="0.25">
      <c r="C2277" s="2" t="s">
        <v>9473</v>
      </c>
      <c r="D2277" s="2" t="s">
        <v>292</v>
      </c>
      <c r="E2277" s="2">
        <v>74</v>
      </c>
      <c r="F2277" s="2">
        <v>1474.37</v>
      </c>
    </row>
    <row r="2278" spans="3:6" x14ac:dyDescent="0.25">
      <c r="C2278" s="2" t="s">
        <v>9474</v>
      </c>
      <c r="D2278" s="2" t="s">
        <v>292</v>
      </c>
      <c r="E2278" s="2">
        <v>67</v>
      </c>
      <c r="F2278" s="2">
        <v>1329.86</v>
      </c>
    </row>
    <row r="2279" spans="3:6" x14ac:dyDescent="0.25">
      <c r="C2279" s="2" t="s">
        <v>9475</v>
      </c>
      <c r="D2279" s="2" t="s">
        <v>292</v>
      </c>
      <c r="E2279" s="2">
        <v>75</v>
      </c>
      <c r="F2279" s="2">
        <v>380.22</v>
      </c>
    </row>
    <row r="2280" spans="3:6" x14ac:dyDescent="0.25">
      <c r="C2280" s="2" t="s">
        <v>9476</v>
      </c>
      <c r="D2280" s="2" t="s">
        <v>292</v>
      </c>
      <c r="E2280" s="2">
        <v>75</v>
      </c>
      <c r="F2280" s="2">
        <v>384.69</v>
      </c>
    </row>
    <row r="2281" spans="3:6" x14ac:dyDescent="0.25">
      <c r="C2281" s="2" t="s">
        <v>9477</v>
      </c>
      <c r="D2281" s="2" t="s">
        <v>292</v>
      </c>
      <c r="E2281" s="2">
        <v>142</v>
      </c>
      <c r="F2281" s="2">
        <v>2889.24</v>
      </c>
    </row>
    <row r="2282" spans="3:6" x14ac:dyDescent="0.25">
      <c r="C2282" s="2" t="s">
        <v>9478</v>
      </c>
      <c r="D2282" s="2" t="s">
        <v>292</v>
      </c>
      <c r="E2282" s="2">
        <v>141</v>
      </c>
      <c r="F2282" s="2">
        <v>2816.829</v>
      </c>
    </row>
    <row r="2283" spans="3:6" x14ac:dyDescent="0.25">
      <c r="C2283" s="2" t="s">
        <v>9479</v>
      </c>
      <c r="D2283" s="2" t="s">
        <v>292</v>
      </c>
      <c r="E2283" s="2">
        <v>141</v>
      </c>
      <c r="F2283" s="2">
        <v>2926.201</v>
      </c>
    </row>
    <row r="2284" spans="3:6" x14ac:dyDescent="0.25">
      <c r="C2284" s="2" t="s">
        <v>9480</v>
      </c>
      <c r="D2284" s="2" t="s">
        <v>292</v>
      </c>
      <c r="E2284" s="2">
        <v>141</v>
      </c>
      <c r="F2284" s="2">
        <v>2881.099</v>
      </c>
    </row>
    <row r="2285" spans="3:6" x14ac:dyDescent="0.25">
      <c r="C2285" s="2" t="s">
        <v>9481</v>
      </c>
      <c r="D2285" s="2" t="s">
        <v>292</v>
      </c>
      <c r="E2285" s="2">
        <v>131</v>
      </c>
      <c r="F2285" s="2">
        <v>1788.361</v>
      </c>
    </row>
    <row r="2286" spans="3:6" x14ac:dyDescent="0.25">
      <c r="C2286" s="2" t="s">
        <v>9482</v>
      </c>
      <c r="D2286" s="2" t="s">
        <v>292</v>
      </c>
      <c r="E2286" s="2">
        <v>135</v>
      </c>
      <c r="F2286" s="2">
        <v>2843.65</v>
      </c>
    </row>
    <row r="2287" spans="3:6" x14ac:dyDescent="0.25">
      <c r="C2287" s="2" t="s">
        <v>9483</v>
      </c>
      <c r="D2287" s="2" t="s">
        <v>292</v>
      </c>
      <c r="E2287" s="2">
        <v>100</v>
      </c>
      <c r="F2287" s="2">
        <v>2107.17</v>
      </c>
    </row>
    <row r="2288" spans="3:6" x14ac:dyDescent="0.25">
      <c r="C2288" s="2" t="s">
        <v>9484</v>
      </c>
      <c r="D2288" s="2" t="s">
        <v>292</v>
      </c>
      <c r="E2288" s="2">
        <v>95</v>
      </c>
      <c r="F2288" s="2">
        <v>1159.222</v>
      </c>
    </row>
    <row r="2289" spans="3:6" x14ac:dyDescent="0.25">
      <c r="C2289" s="2" t="s">
        <v>9485</v>
      </c>
      <c r="D2289" s="2" t="s">
        <v>292</v>
      </c>
      <c r="E2289" s="2">
        <v>9</v>
      </c>
      <c r="F2289" s="2">
        <v>175.48</v>
      </c>
    </row>
    <row r="2290" spans="3:6" x14ac:dyDescent="0.25">
      <c r="C2290" s="2" t="s">
        <v>9486</v>
      </c>
      <c r="D2290" s="2" t="s">
        <v>292</v>
      </c>
      <c r="E2290" s="2">
        <v>91</v>
      </c>
      <c r="F2290" s="2">
        <v>1851.64</v>
      </c>
    </row>
    <row r="2291" spans="3:6" x14ac:dyDescent="0.25">
      <c r="C2291" s="2" t="s">
        <v>9487</v>
      </c>
      <c r="D2291" s="2" t="s">
        <v>292</v>
      </c>
      <c r="E2291" s="2">
        <v>71</v>
      </c>
      <c r="F2291" s="2">
        <v>1439.554</v>
      </c>
    </row>
    <row r="2292" spans="3:6" x14ac:dyDescent="0.25">
      <c r="C2292" s="2" t="s">
        <v>9488</v>
      </c>
      <c r="D2292" s="2" t="s">
        <v>292</v>
      </c>
      <c r="E2292" s="2">
        <v>23</v>
      </c>
      <c r="F2292" s="2">
        <v>281.19</v>
      </c>
    </row>
    <row r="2293" spans="3:6" x14ac:dyDescent="0.25">
      <c r="C2293" s="2" t="s">
        <v>9489</v>
      </c>
      <c r="D2293" s="2" t="s">
        <v>292</v>
      </c>
      <c r="E2293" s="2">
        <v>4</v>
      </c>
      <c r="F2293" s="2">
        <v>65.04</v>
      </c>
    </row>
    <row r="2294" spans="3:6" x14ac:dyDescent="0.25">
      <c r="C2294" s="2" t="s">
        <v>9490</v>
      </c>
      <c r="D2294" s="2" t="s">
        <v>292</v>
      </c>
      <c r="E2294" s="2">
        <v>11</v>
      </c>
      <c r="F2294" s="2">
        <v>213.5</v>
      </c>
    </row>
    <row r="2295" spans="3:6" x14ac:dyDescent="0.25">
      <c r="C2295" s="2" t="s">
        <v>9491</v>
      </c>
      <c r="D2295" s="2" t="s">
        <v>292</v>
      </c>
      <c r="E2295" s="2">
        <v>89</v>
      </c>
      <c r="F2295" s="2">
        <v>1879.46</v>
      </c>
    </row>
    <row r="2296" spans="3:6" x14ac:dyDescent="0.25">
      <c r="C2296" s="2" t="s">
        <v>9492</v>
      </c>
      <c r="D2296" s="2" t="s">
        <v>292</v>
      </c>
      <c r="E2296" s="2">
        <v>6</v>
      </c>
      <c r="F2296" s="2">
        <v>131.56</v>
      </c>
    </row>
    <row r="2297" spans="3:6" x14ac:dyDescent="0.25">
      <c r="C2297" s="2" t="s">
        <v>9493</v>
      </c>
      <c r="D2297" s="2" t="s">
        <v>292</v>
      </c>
      <c r="E2297" s="2">
        <v>35</v>
      </c>
      <c r="F2297" s="2">
        <v>911.31</v>
      </c>
    </row>
    <row r="2299" spans="1:7" x14ac:dyDescent="0.25">
      <c r="A2299" s="1">
        <v>46162</v>
      </c>
      <c r="B2299" s="2" t="s">
        <v>8623</v>
      </c>
      <c r="C2299" s="2" t="s">
        <v>9494</v>
      </c>
      <c r="D2299" s="2" t="s">
        <v>9</v>
      </c>
      <c r="E2299" s="2">
        <v>89</v>
      </c>
      <c r="F2299" s="2">
        <v>1887.32</v>
      </c>
      <c r="G2299" s="1">
        <v>46161</v>
      </c>
    </row>
    <row r="2300" spans="3:6" x14ac:dyDescent="0.25">
      <c r="C2300" s="2" t="s">
        <v>9495</v>
      </c>
      <c r="D2300" s="2" t="s">
        <v>9</v>
      </c>
      <c r="E2300" s="2">
        <v>92</v>
      </c>
      <c r="F2300" s="2">
        <v>1918.3</v>
      </c>
    </row>
    <row r="2302" spans="1:7" x14ac:dyDescent="0.25">
      <c r="A2302" s="1">
        <v>46162</v>
      </c>
      <c r="B2302" s="2" t="s">
        <v>378</v>
      </c>
      <c r="C2302" s="2" t="s">
        <v>9496</v>
      </c>
      <c r="D2302" s="2" t="s">
        <v>30</v>
      </c>
      <c r="E2302" s="2">
        <v>72</v>
      </c>
      <c r="F2302" s="2">
        <v>1417.9</v>
      </c>
      <c r="G2302" s="1">
        <v>46162</v>
      </c>
    </row>
    <row r="2303" spans="3:6" x14ac:dyDescent="0.25">
      <c r="C2303" s="2" t="s">
        <v>9497</v>
      </c>
      <c r="D2303" s="2" t="s">
        <v>30</v>
      </c>
      <c r="E2303" s="2">
        <v>86</v>
      </c>
      <c r="F2303" s="2">
        <v>1597.31</v>
      </c>
    </row>
    <row r="2304" spans="3:6" x14ac:dyDescent="0.25">
      <c r="C2304" s="2" t="s">
        <v>9498</v>
      </c>
      <c r="D2304" s="2" t="s">
        <v>15</v>
      </c>
      <c r="E2304" s="2">
        <v>105</v>
      </c>
      <c r="F2304" s="2">
        <v>2118.26</v>
      </c>
    </row>
    <row r="2305" spans="3:6" x14ac:dyDescent="0.25">
      <c r="C2305" s="2" t="s">
        <v>9499</v>
      </c>
      <c r="D2305" s="2" t="s">
        <v>15</v>
      </c>
      <c r="E2305" s="2">
        <v>42</v>
      </c>
      <c r="F2305" s="2">
        <v>831.42</v>
      </c>
    </row>
    <row r="2306" spans="3:6" x14ac:dyDescent="0.25">
      <c r="C2306" s="2" t="s">
        <v>9500</v>
      </c>
      <c r="D2306" s="2" t="s">
        <v>15</v>
      </c>
      <c r="E2306" s="2">
        <v>24</v>
      </c>
      <c r="F2306" s="2">
        <v>466.8</v>
      </c>
    </row>
    <row r="2307" spans="3:6" x14ac:dyDescent="0.25">
      <c r="C2307" s="2" t="s">
        <v>9501</v>
      </c>
      <c r="D2307" s="2" t="s">
        <v>15</v>
      </c>
      <c r="E2307" s="2">
        <v>156</v>
      </c>
      <c r="F2307" s="2">
        <v>3181.739</v>
      </c>
    </row>
    <row r="2308" spans="3:6" x14ac:dyDescent="0.25">
      <c r="C2308" s="2" t="s">
        <v>9502</v>
      </c>
      <c r="D2308" s="2" t="s">
        <v>15</v>
      </c>
      <c r="E2308" s="2">
        <v>105</v>
      </c>
      <c r="F2308" s="2">
        <v>2029.29</v>
      </c>
    </row>
    <row r="2309" spans="3:6" x14ac:dyDescent="0.25">
      <c r="C2309" s="2" t="s">
        <v>9503</v>
      </c>
      <c r="D2309" s="2" t="s">
        <v>15</v>
      </c>
      <c r="E2309" s="2">
        <v>105</v>
      </c>
      <c r="F2309" s="2">
        <v>712.086</v>
      </c>
    </row>
    <row r="2310" spans="3:6" x14ac:dyDescent="0.25">
      <c r="C2310" s="2" t="s">
        <v>9504</v>
      </c>
      <c r="D2310" s="2" t="s">
        <v>15</v>
      </c>
      <c r="E2310" s="2">
        <v>156</v>
      </c>
      <c r="F2310" s="2">
        <v>3042.389</v>
      </c>
    </row>
    <row r="2311" spans="3:6" x14ac:dyDescent="0.25">
      <c r="C2311" s="2" t="s">
        <v>9505</v>
      </c>
      <c r="D2311" s="2" t="s">
        <v>15</v>
      </c>
      <c r="E2311" s="2">
        <v>156</v>
      </c>
      <c r="F2311" s="2">
        <v>3131.02</v>
      </c>
    </row>
    <row r="2312" spans="3:6" x14ac:dyDescent="0.25">
      <c r="C2312" s="2" t="s">
        <v>9506</v>
      </c>
      <c r="D2312" s="2" t="s">
        <v>15</v>
      </c>
      <c r="E2312" s="2">
        <v>105</v>
      </c>
      <c r="F2312" s="2">
        <v>609.371</v>
      </c>
    </row>
    <row r="2313" spans="3:6" x14ac:dyDescent="0.25">
      <c r="C2313" s="2" t="s">
        <v>9507</v>
      </c>
      <c r="D2313" s="2" t="s">
        <v>15</v>
      </c>
      <c r="E2313" s="2">
        <v>105</v>
      </c>
      <c r="F2313" s="2">
        <v>2097.94</v>
      </c>
    </row>
    <row r="2314" spans="3:6" x14ac:dyDescent="0.25">
      <c r="C2314" s="2" t="s">
        <v>9508</v>
      </c>
      <c r="D2314" s="2" t="s">
        <v>15</v>
      </c>
      <c r="E2314" s="2">
        <v>105</v>
      </c>
      <c r="F2314" s="2">
        <v>2098.399</v>
      </c>
    </row>
    <row r="2315" spans="3:6" x14ac:dyDescent="0.25">
      <c r="C2315" s="2" t="s">
        <v>9509</v>
      </c>
      <c r="D2315" s="2" t="s">
        <v>15</v>
      </c>
      <c r="E2315" s="2">
        <v>156</v>
      </c>
      <c r="F2315" s="2">
        <v>3146.77</v>
      </c>
    </row>
    <row r="2316" spans="3:6" x14ac:dyDescent="0.25">
      <c r="C2316" s="2" t="s">
        <v>9510</v>
      </c>
      <c r="D2316" s="2" t="s">
        <v>15</v>
      </c>
      <c r="E2316" s="2">
        <v>156</v>
      </c>
      <c r="F2316" s="2">
        <v>3028.069</v>
      </c>
    </row>
    <row r="2317" spans="3:6" x14ac:dyDescent="0.25">
      <c r="C2317" s="2" t="s">
        <v>9511</v>
      </c>
      <c r="D2317" s="2" t="s">
        <v>15</v>
      </c>
      <c r="E2317" s="2">
        <v>156</v>
      </c>
      <c r="F2317" s="2">
        <v>3110.549</v>
      </c>
    </row>
    <row r="2318" spans="3:6" x14ac:dyDescent="0.25">
      <c r="C2318" s="2" t="s">
        <v>9512</v>
      </c>
      <c r="D2318" s="2" t="s">
        <v>15</v>
      </c>
      <c r="E2318" s="2">
        <v>156</v>
      </c>
      <c r="F2318" s="2">
        <v>3082.6</v>
      </c>
    </row>
    <row r="2319" spans="3:6" x14ac:dyDescent="0.25">
      <c r="C2319" s="2" t="s">
        <v>9513</v>
      </c>
      <c r="D2319" s="2" t="s">
        <v>15</v>
      </c>
      <c r="E2319" s="2">
        <v>156</v>
      </c>
      <c r="F2319" s="2">
        <v>3201.579</v>
      </c>
    </row>
    <row r="2320" spans="3:6" x14ac:dyDescent="0.25">
      <c r="C2320" s="2" t="s">
        <v>9514</v>
      </c>
      <c r="D2320" s="2" t="s">
        <v>15</v>
      </c>
      <c r="E2320" s="2">
        <v>156</v>
      </c>
      <c r="F2320" s="2">
        <v>3122.03</v>
      </c>
    </row>
    <row r="2321" spans="3:6" x14ac:dyDescent="0.25">
      <c r="C2321" s="2" t="s">
        <v>9515</v>
      </c>
      <c r="D2321" s="2" t="s">
        <v>15</v>
      </c>
      <c r="E2321" s="2">
        <v>156</v>
      </c>
      <c r="F2321" s="2">
        <v>3057.59</v>
      </c>
    </row>
    <row r="2322" spans="3:6" x14ac:dyDescent="0.25">
      <c r="C2322" s="2" t="s">
        <v>9516</v>
      </c>
      <c r="D2322" s="2" t="s">
        <v>15</v>
      </c>
      <c r="E2322" s="2">
        <v>156</v>
      </c>
      <c r="F2322" s="2">
        <v>2940.29</v>
      </c>
    </row>
    <row r="2323" spans="3:6" x14ac:dyDescent="0.25">
      <c r="C2323" s="2" t="s">
        <v>9517</v>
      </c>
      <c r="D2323" s="2" t="s">
        <v>15</v>
      </c>
      <c r="E2323" s="2">
        <v>156</v>
      </c>
      <c r="F2323" s="2">
        <v>2907.43</v>
      </c>
    </row>
    <row r="2324" spans="3:6" x14ac:dyDescent="0.25">
      <c r="C2324" s="2" t="s">
        <v>9518</v>
      </c>
      <c r="D2324" s="2" t="s">
        <v>30</v>
      </c>
      <c r="E2324" s="2">
        <v>163</v>
      </c>
      <c r="F2324" s="2">
        <v>3114.039</v>
      </c>
    </row>
    <row r="2325" spans="3:6" x14ac:dyDescent="0.25">
      <c r="C2325" s="2" t="s">
        <v>9519</v>
      </c>
      <c r="D2325" s="2" t="s">
        <v>30</v>
      </c>
      <c r="E2325" s="2">
        <v>163</v>
      </c>
      <c r="F2325" s="2">
        <v>3116.058</v>
      </c>
    </row>
    <row r="2326" spans="3:6" x14ac:dyDescent="0.25">
      <c r="C2326" s="2" t="s">
        <v>9520</v>
      </c>
      <c r="D2326" s="2" t="s">
        <v>30</v>
      </c>
      <c r="E2326" s="2">
        <v>163</v>
      </c>
      <c r="F2326" s="2">
        <v>3018.889</v>
      </c>
    </row>
    <row r="2327" spans="3:6" x14ac:dyDescent="0.25">
      <c r="C2327" s="2" t="s">
        <v>9521</v>
      </c>
      <c r="D2327" s="2" t="s">
        <v>30</v>
      </c>
      <c r="E2327" s="2">
        <v>134</v>
      </c>
      <c r="F2327" s="2">
        <v>2605.7</v>
      </c>
    </row>
    <row r="2328" spans="3:6" x14ac:dyDescent="0.25">
      <c r="C2328" s="2" t="s">
        <v>9522</v>
      </c>
      <c r="D2328" s="2" t="s">
        <v>30</v>
      </c>
      <c r="E2328" s="2">
        <v>134</v>
      </c>
      <c r="F2328" s="2">
        <v>2697.79</v>
      </c>
    </row>
    <row r="2329" spans="3:6" x14ac:dyDescent="0.25">
      <c r="C2329" s="2" t="s">
        <v>9523</v>
      </c>
      <c r="D2329" s="2" t="s">
        <v>30</v>
      </c>
      <c r="E2329" s="2">
        <v>134</v>
      </c>
      <c r="F2329" s="2">
        <v>2728.45</v>
      </c>
    </row>
    <row r="2330" spans="3:6" x14ac:dyDescent="0.25">
      <c r="C2330" s="2" t="s">
        <v>9524</v>
      </c>
      <c r="D2330" s="2" t="s">
        <v>30</v>
      </c>
      <c r="E2330" s="2">
        <v>134</v>
      </c>
      <c r="F2330" s="2">
        <v>2654.48</v>
      </c>
    </row>
    <row r="2331" spans="3:6" x14ac:dyDescent="0.25">
      <c r="C2331" s="2" t="s">
        <v>9525</v>
      </c>
      <c r="D2331" s="2" t="s">
        <v>30</v>
      </c>
      <c r="E2331" s="2">
        <v>134</v>
      </c>
      <c r="F2331" s="2">
        <v>2678.85</v>
      </c>
    </row>
    <row r="2332" spans="3:6" x14ac:dyDescent="0.25">
      <c r="C2332" s="2" t="s">
        <v>9526</v>
      </c>
      <c r="D2332" s="2" t="s">
        <v>30</v>
      </c>
      <c r="E2332" s="2">
        <v>134</v>
      </c>
      <c r="F2332" s="2">
        <v>2633.929</v>
      </c>
    </row>
    <row r="2334" spans="2:7" x14ac:dyDescent="0.25">
      <c r="B2334" s="2" t="s">
        <v>48</v>
      </c>
      <c r="C2334" s="2" t="s">
        <v>9527</v>
      </c>
      <c r="D2334" s="2" t="s">
        <v>26</v>
      </c>
      <c r="E2334" s="2">
        <v>156</v>
      </c>
      <c r="F2334" s="2">
        <v>2646.054</v>
      </c>
      <c r="G2334" s="1">
        <v>46162</v>
      </c>
    </row>
    <row r="2335" spans="3:6" x14ac:dyDescent="0.25">
      <c r="C2335" s="2" t="s">
        <v>9528</v>
      </c>
      <c r="D2335" s="2" t="s">
        <v>30</v>
      </c>
      <c r="E2335" s="2">
        <v>156</v>
      </c>
      <c r="F2335" s="2">
        <v>2691.817</v>
      </c>
    </row>
    <row r="2336" spans="3:6" x14ac:dyDescent="0.25">
      <c r="C2336" s="2" t="s">
        <v>9529</v>
      </c>
      <c r="D2336" s="2" t="s">
        <v>30</v>
      </c>
      <c r="E2336" s="2">
        <v>106</v>
      </c>
      <c r="F2336" s="2">
        <v>1921.96</v>
      </c>
    </row>
    <row r="2338" spans="1:7" x14ac:dyDescent="0.25">
      <c r="A2338" s="1">
        <v>46162</v>
      </c>
      <c r="B2338" s="2" t="s">
        <v>9530</v>
      </c>
      <c r="C2338" s="2" t="s">
        <v>9531</v>
      </c>
      <c r="D2338" s="2" t="s">
        <v>30</v>
      </c>
      <c r="E2338" s="2">
        <v>163</v>
      </c>
      <c r="F2338" s="2">
        <v>3217.68</v>
      </c>
      <c r="G2338" s="1">
        <v>46162</v>
      </c>
    </row>
    <row r="2339" spans="3:6" x14ac:dyDescent="0.25">
      <c r="C2339" s="2" t="s">
        <v>9532</v>
      </c>
      <c r="D2339" s="2" t="s">
        <v>30</v>
      </c>
      <c r="E2339" s="2">
        <v>163</v>
      </c>
      <c r="F2339" s="2">
        <v>3014.21</v>
      </c>
    </row>
    <row r="2340" spans="3:6" x14ac:dyDescent="0.25">
      <c r="C2340" s="2" t="s">
        <v>9533</v>
      </c>
      <c r="D2340" s="2" t="s">
        <v>30</v>
      </c>
      <c r="E2340" s="2">
        <v>163</v>
      </c>
      <c r="F2340" s="2">
        <v>3190.71</v>
      </c>
    </row>
    <row r="2341" spans="3:6" x14ac:dyDescent="0.25">
      <c r="C2341" s="2" t="s">
        <v>9534</v>
      </c>
      <c r="D2341" s="2" t="s">
        <v>30</v>
      </c>
      <c r="E2341" s="2">
        <v>163</v>
      </c>
      <c r="F2341" s="2">
        <v>3119.759</v>
      </c>
    </row>
    <row r="2343" spans="1:7" x14ac:dyDescent="0.25">
      <c r="A2343" s="1">
        <v>46162</v>
      </c>
      <c r="B2343" s="2" t="s">
        <v>427</v>
      </c>
      <c r="C2343" s="2" t="s">
        <v>9535</v>
      </c>
      <c r="D2343" s="2" t="s">
        <v>59</v>
      </c>
      <c r="E2343" s="2">
        <v>149</v>
      </c>
      <c r="F2343" s="2">
        <v>2890.63</v>
      </c>
      <c r="G2343" s="1">
        <v>46160</v>
      </c>
    </row>
    <row r="2344" spans="3:6" x14ac:dyDescent="0.25">
      <c r="C2344" s="2" t="s">
        <v>9536</v>
      </c>
      <c r="D2344" s="2" t="s">
        <v>59</v>
      </c>
      <c r="E2344" s="2">
        <v>149</v>
      </c>
      <c r="F2344" s="2">
        <v>2958.089</v>
      </c>
    </row>
    <row r="2345" spans="3:6" x14ac:dyDescent="0.25">
      <c r="C2345" s="2" t="s">
        <v>9537</v>
      </c>
      <c r="D2345" s="2" t="s">
        <v>59</v>
      </c>
      <c r="E2345" s="2">
        <v>149</v>
      </c>
      <c r="F2345" s="2">
        <v>2892.07</v>
      </c>
    </row>
    <row r="2346" spans="3:6" x14ac:dyDescent="0.25">
      <c r="C2346" s="2" t="s">
        <v>9538</v>
      </c>
      <c r="D2346" s="2" t="s">
        <v>59</v>
      </c>
      <c r="E2346" s="2">
        <v>149</v>
      </c>
      <c r="F2346" s="2">
        <v>2828.75</v>
      </c>
    </row>
    <row r="2347" spans="3:6" x14ac:dyDescent="0.25">
      <c r="C2347" s="2" t="s">
        <v>9539</v>
      </c>
      <c r="D2347" s="2" t="s">
        <v>59</v>
      </c>
      <c r="E2347" s="2">
        <v>149</v>
      </c>
      <c r="F2347" s="2">
        <v>2734.88</v>
      </c>
    </row>
    <row r="2348" spans="3:6" x14ac:dyDescent="0.25">
      <c r="C2348" s="2" t="s">
        <v>9540</v>
      </c>
      <c r="D2348" s="2" t="s">
        <v>59</v>
      </c>
      <c r="E2348" s="2">
        <v>142</v>
      </c>
      <c r="F2348" s="2">
        <v>3038.47</v>
      </c>
    </row>
    <row r="2349" spans="3:6" x14ac:dyDescent="0.25">
      <c r="C2349" s="2" t="s">
        <v>9541</v>
      </c>
      <c r="D2349" s="2" t="s">
        <v>59</v>
      </c>
      <c r="E2349" s="2">
        <v>142</v>
      </c>
      <c r="F2349" s="2">
        <v>2963.32</v>
      </c>
    </row>
    <row r="2350" spans="3:6" x14ac:dyDescent="0.25">
      <c r="C2350" s="2" t="s">
        <v>9542</v>
      </c>
      <c r="D2350" s="2" t="s">
        <v>59</v>
      </c>
      <c r="E2350" s="2">
        <v>142</v>
      </c>
      <c r="F2350" s="2">
        <v>3023.149</v>
      </c>
    </row>
    <row r="2351" spans="3:6" x14ac:dyDescent="0.25">
      <c r="C2351" s="2" t="s">
        <v>9543</v>
      </c>
      <c r="D2351" s="2" t="s">
        <v>59</v>
      </c>
      <c r="E2351" s="2">
        <v>142</v>
      </c>
      <c r="F2351" s="2">
        <v>3089.12</v>
      </c>
    </row>
    <row r="2352" spans="3:6" x14ac:dyDescent="0.25">
      <c r="C2352" s="2" t="s">
        <v>9544</v>
      </c>
      <c r="D2352" s="2" t="s">
        <v>59</v>
      </c>
      <c r="E2352" s="2">
        <v>149</v>
      </c>
      <c r="F2352" s="2">
        <v>2893.46</v>
      </c>
    </row>
    <row r="2354" spans="1:7" x14ac:dyDescent="0.25">
      <c r="A2354" s="1">
        <v>46163</v>
      </c>
      <c r="B2354" s="2" t="s">
        <v>433</v>
      </c>
      <c r="C2354" s="2" t="s">
        <v>9545</v>
      </c>
      <c r="D2354" s="2" t="s">
        <v>73</v>
      </c>
      <c r="E2354" s="2">
        <v>101</v>
      </c>
      <c r="F2354" s="2">
        <v>1948.909</v>
      </c>
      <c r="G2354" s="1">
        <v>46161</v>
      </c>
    </row>
    <row r="2355" spans="3:6" x14ac:dyDescent="0.25">
      <c r="C2355" s="2" t="s">
        <v>9546</v>
      </c>
      <c r="D2355" s="2" t="s">
        <v>73</v>
      </c>
      <c r="E2355" s="2">
        <v>22</v>
      </c>
      <c r="F2355" s="2">
        <v>456.8</v>
      </c>
    </row>
    <row r="2356" spans="3:6" x14ac:dyDescent="0.25">
      <c r="C2356" s="2" t="s">
        <v>9547</v>
      </c>
      <c r="D2356" s="2" t="s">
        <v>73</v>
      </c>
      <c r="E2356" s="2">
        <v>26</v>
      </c>
      <c r="F2356" s="2">
        <v>464.8</v>
      </c>
    </row>
    <row r="2357" spans="3:6" x14ac:dyDescent="0.25">
      <c r="C2357" s="2" t="s">
        <v>9548</v>
      </c>
      <c r="D2357" s="2" t="s">
        <v>73</v>
      </c>
      <c r="E2357" s="2">
        <v>43</v>
      </c>
      <c r="F2357" s="2">
        <v>766.73</v>
      </c>
    </row>
    <row r="2359" spans="1:7" x14ac:dyDescent="0.25">
      <c r="A2359" s="1">
        <v>46163</v>
      </c>
      <c r="B2359" s="2" t="s">
        <v>7</v>
      </c>
      <c r="C2359" s="2" t="s">
        <v>9549</v>
      </c>
      <c r="D2359" s="2" t="s">
        <v>9</v>
      </c>
      <c r="E2359" s="2">
        <v>99</v>
      </c>
      <c r="F2359" s="2">
        <v>1562.68</v>
      </c>
      <c r="G2359" s="1">
        <v>46162</v>
      </c>
    </row>
    <row r="2360" spans="3:6" x14ac:dyDescent="0.25">
      <c r="C2360" s="2" t="s">
        <v>9550</v>
      </c>
      <c r="D2360" s="2" t="s">
        <v>9</v>
      </c>
      <c r="E2360" s="2">
        <v>99</v>
      </c>
      <c r="F2360" s="2">
        <v>1538.248</v>
      </c>
    </row>
    <row r="2362" spans="1:7" x14ac:dyDescent="0.25">
      <c r="A2362" s="1">
        <v>46163</v>
      </c>
      <c r="B2362" s="2" t="s">
        <v>2428</v>
      </c>
      <c r="C2362" s="2" t="s">
        <v>9551</v>
      </c>
      <c r="D2362" s="2" t="s">
        <v>59</v>
      </c>
      <c r="E2362" s="2">
        <v>227</v>
      </c>
      <c r="F2362" s="2">
        <v>5033.18</v>
      </c>
      <c r="G2362" s="1">
        <v>46162</v>
      </c>
    </row>
    <row r="2363" spans="3:6" x14ac:dyDescent="0.25">
      <c r="C2363" s="2" t="s">
        <v>9552</v>
      </c>
      <c r="D2363" s="2" t="s">
        <v>59</v>
      </c>
      <c r="E2363" s="2">
        <v>332</v>
      </c>
      <c r="F2363" s="2">
        <v>5154.173</v>
      </c>
    </row>
    <row r="2364" spans="3:6" x14ac:dyDescent="0.25">
      <c r="C2364" s="2" t="s">
        <v>9553</v>
      </c>
      <c r="D2364" s="2" t="s">
        <v>59</v>
      </c>
      <c r="E2364" s="2">
        <v>277</v>
      </c>
      <c r="F2364" s="2">
        <v>5979.498</v>
      </c>
    </row>
    <row r="2365" spans="3:6" x14ac:dyDescent="0.25">
      <c r="C2365" s="2" t="s">
        <v>9554</v>
      </c>
      <c r="D2365" s="2" t="s">
        <v>59</v>
      </c>
      <c r="E2365" s="2">
        <v>163</v>
      </c>
      <c r="F2365" s="2">
        <v>3012.479</v>
      </c>
    </row>
    <row r="2366" spans="3:6" x14ac:dyDescent="0.25">
      <c r="C2366" s="2" t="s">
        <v>9555</v>
      </c>
      <c r="D2366" s="2" t="s">
        <v>59</v>
      </c>
      <c r="E2366" s="2">
        <v>156</v>
      </c>
      <c r="F2366" s="2">
        <v>2989.126</v>
      </c>
    </row>
    <row r="2368" spans="1:7" x14ac:dyDescent="0.25">
      <c r="A2368" s="1">
        <v>46164</v>
      </c>
      <c r="B2368" s="2" t="s">
        <v>71</v>
      </c>
      <c r="C2368" s="2" t="s">
        <v>9556</v>
      </c>
      <c r="D2368" s="2" t="s">
        <v>73</v>
      </c>
      <c r="E2368" s="2">
        <v>31</v>
      </c>
      <c r="F2368" s="2">
        <v>529.38</v>
      </c>
      <c r="G2368" s="1">
        <v>46163</v>
      </c>
    </row>
    <row r="2369" spans="3:6" x14ac:dyDescent="0.25">
      <c r="C2369" s="2" t="s">
        <v>9557</v>
      </c>
      <c r="D2369" s="2" t="s">
        <v>73</v>
      </c>
      <c r="E2369" s="2">
        <v>47</v>
      </c>
      <c r="F2369" s="2">
        <v>933.28</v>
      </c>
    </row>
    <row r="2370" spans="3:6" x14ac:dyDescent="0.25">
      <c r="C2370" s="2" t="s">
        <v>9558</v>
      </c>
      <c r="D2370" s="2" t="s">
        <v>73</v>
      </c>
      <c r="E2370" s="2">
        <v>16</v>
      </c>
      <c r="F2370" s="2">
        <v>305.39</v>
      </c>
    </row>
    <row r="2371" spans="3:6" x14ac:dyDescent="0.25">
      <c r="C2371" s="2" t="s">
        <v>9559</v>
      </c>
      <c r="D2371" s="2" t="s">
        <v>73</v>
      </c>
      <c r="E2371" s="2">
        <v>7</v>
      </c>
      <c r="F2371" s="2" t="s">
        <v>4167</v>
      </c>
    </row>
    <row r="2373" spans="1:7" x14ac:dyDescent="0.25">
      <c r="A2373" s="1">
        <v>46164</v>
      </c>
      <c r="B2373" s="2" t="s">
        <v>5812</v>
      </c>
      <c r="C2373" s="2" t="s">
        <v>9560</v>
      </c>
      <c r="D2373" s="2" t="s">
        <v>15</v>
      </c>
      <c r="E2373" s="2">
        <v>102</v>
      </c>
      <c r="F2373" s="2">
        <v>1973.549</v>
      </c>
      <c r="G2373" s="1">
        <v>46163</v>
      </c>
    </row>
    <row r="2375" spans="1:7" x14ac:dyDescent="0.25">
      <c r="A2375" s="1">
        <v>46164</v>
      </c>
      <c r="B2375" s="2" t="s">
        <v>229</v>
      </c>
      <c r="C2375" s="2" t="s">
        <v>9561</v>
      </c>
      <c r="D2375" s="2" t="s">
        <v>82</v>
      </c>
      <c r="E2375" s="2">
        <v>13</v>
      </c>
      <c r="F2375" s="2">
        <v>208.869</v>
      </c>
      <c r="G2375" s="1">
        <v>46163</v>
      </c>
    </row>
    <row r="2376" spans="3:6" x14ac:dyDescent="0.25">
      <c r="C2376" s="2" t="s">
        <v>9562</v>
      </c>
      <c r="D2376" s="2" t="s">
        <v>82</v>
      </c>
      <c r="E2376" s="2">
        <v>108</v>
      </c>
      <c r="F2376" s="2">
        <v>2119.78</v>
      </c>
    </row>
    <row r="2377" spans="3:6" x14ac:dyDescent="0.25">
      <c r="C2377" s="2" t="s">
        <v>9563</v>
      </c>
      <c r="D2377" s="2" t="s">
        <v>82</v>
      </c>
      <c r="E2377" s="2">
        <v>134</v>
      </c>
      <c r="F2377" s="2">
        <v>2800.77</v>
      </c>
    </row>
    <row r="2378" spans="3:6" x14ac:dyDescent="0.25">
      <c r="C2378" s="2" t="s">
        <v>9564</v>
      </c>
      <c r="D2378" s="2" t="s">
        <v>82</v>
      </c>
      <c r="E2378" s="2">
        <v>48</v>
      </c>
      <c r="F2378" s="2">
        <v>992.97</v>
      </c>
    </row>
    <row r="2379" spans="3:6" x14ac:dyDescent="0.25">
      <c r="C2379" s="2" t="s">
        <v>9565</v>
      </c>
      <c r="D2379" s="2" t="s">
        <v>82</v>
      </c>
      <c r="E2379" s="2">
        <v>47</v>
      </c>
      <c r="F2379" s="2">
        <v>979.92</v>
      </c>
    </row>
    <row r="2380" spans="3:6" x14ac:dyDescent="0.25">
      <c r="C2380" s="2" t="s">
        <v>9566</v>
      </c>
      <c r="D2380" s="2" t="s">
        <v>82</v>
      </c>
      <c r="E2380" s="2">
        <v>47</v>
      </c>
      <c r="F2380" s="2">
        <v>953.01</v>
      </c>
    </row>
    <row r="2381" spans="3:6" x14ac:dyDescent="0.25">
      <c r="C2381" s="2" t="s">
        <v>9567</v>
      </c>
      <c r="D2381" s="2" t="s">
        <v>82</v>
      </c>
      <c r="E2381" s="2">
        <v>71</v>
      </c>
      <c r="F2381" s="2">
        <v>2169.144</v>
      </c>
    </row>
    <row r="2382" spans="3:6" x14ac:dyDescent="0.25">
      <c r="C2382" s="2" t="s">
        <v>9568</v>
      </c>
      <c r="D2382" s="2" t="s">
        <v>82</v>
      </c>
      <c r="E2382" s="2">
        <v>72</v>
      </c>
      <c r="F2382" s="2">
        <v>2566.943</v>
      </c>
    </row>
    <row r="2383" spans="3:6" x14ac:dyDescent="0.25">
      <c r="C2383" s="2" t="s">
        <v>9569</v>
      </c>
      <c r="D2383" s="2" t="s">
        <v>82</v>
      </c>
      <c r="E2383" s="2">
        <v>102</v>
      </c>
      <c r="F2383" s="2">
        <v>2103.43</v>
      </c>
    </row>
    <row r="2384" spans="3:6" x14ac:dyDescent="0.25">
      <c r="C2384" s="2" t="s">
        <v>9570</v>
      </c>
      <c r="D2384" s="2" t="s">
        <v>82</v>
      </c>
      <c r="E2384" s="2">
        <v>50</v>
      </c>
      <c r="F2384" s="2">
        <v>973.04</v>
      </c>
    </row>
    <row r="2385" spans="3:6" x14ac:dyDescent="0.25">
      <c r="C2385" s="2" t="s">
        <v>9571</v>
      </c>
      <c r="D2385" s="2" t="s">
        <v>82</v>
      </c>
      <c r="E2385" s="2">
        <v>52</v>
      </c>
      <c r="F2385" s="2">
        <v>1044.13</v>
      </c>
    </row>
    <row r="2386" spans="3:6" x14ac:dyDescent="0.25">
      <c r="C2386" s="2" t="s">
        <v>9572</v>
      </c>
      <c r="D2386" s="2" t="s">
        <v>82</v>
      </c>
      <c r="E2386" s="2">
        <v>34</v>
      </c>
      <c r="F2386" s="2">
        <v>673.87</v>
      </c>
    </row>
    <row r="2387" spans="3:6" x14ac:dyDescent="0.25">
      <c r="C2387" s="2" t="s">
        <v>9573</v>
      </c>
      <c r="D2387" s="2" t="s">
        <v>82</v>
      </c>
      <c r="E2387" s="2">
        <v>8</v>
      </c>
      <c r="F2387" s="2">
        <v>152.04</v>
      </c>
    </row>
    <row r="2388" spans="3:6" x14ac:dyDescent="0.25">
      <c r="C2388" s="2" t="s">
        <v>9574</v>
      </c>
      <c r="D2388" s="2" t="s">
        <v>82</v>
      </c>
      <c r="E2388" s="2">
        <v>39</v>
      </c>
      <c r="F2388" s="2">
        <v>288.303</v>
      </c>
    </row>
    <row r="2389" spans="3:6" x14ac:dyDescent="0.25">
      <c r="C2389" s="2" t="s">
        <v>9575</v>
      </c>
      <c r="D2389" s="2" t="s">
        <v>82</v>
      </c>
      <c r="E2389" s="2">
        <v>12</v>
      </c>
      <c r="F2389" s="2">
        <v>189.622</v>
      </c>
    </row>
    <row r="2390" spans="3:6" x14ac:dyDescent="0.25">
      <c r="C2390" s="2" t="s">
        <v>9576</v>
      </c>
      <c r="D2390" s="2" t="s">
        <v>82</v>
      </c>
      <c r="E2390" s="2">
        <v>102</v>
      </c>
      <c r="F2390" s="2">
        <v>2112.769</v>
      </c>
    </row>
    <row r="2391" spans="3:6" x14ac:dyDescent="0.25">
      <c r="C2391" s="2" t="s">
        <v>9577</v>
      </c>
      <c r="D2391" s="2" t="s">
        <v>82</v>
      </c>
      <c r="E2391" s="2">
        <v>60</v>
      </c>
      <c r="F2391" s="2">
        <v>262.64</v>
      </c>
    </row>
    <row r="2392" spans="3:6" x14ac:dyDescent="0.25">
      <c r="C2392" s="2" t="s">
        <v>9578</v>
      </c>
      <c r="D2392" s="2" t="s">
        <v>82</v>
      </c>
      <c r="E2392" s="2">
        <v>60</v>
      </c>
      <c r="F2392" s="2">
        <v>257.848</v>
      </c>
    </row>
    <row r="2393" spans="3:6" x14ac:dyDescent="0.25">
      <c r="C2393" s="2" t="s">
        <v>9579</v>
      </c>
      <c r="D2393" s="2" t="s">
        <v>82</v>
      </c>
      <c r="E2393" s="2">
        <v>75</v>
      </c>
      <c r="F2393" s="2">
        <v>317.758</v>
      </c>
    </row>
    <row r="2394" spans="3:6" x14ac:dyDescent="0.25">
      <c r="C2394" s="2" t="s">
        <v>9580</v>
      </c>
      <c r="D2394" s="2" t="s">
        <v>82</v>
      </c>
      <c r="E2394" s="2">
        <v>75</v>
      </c>
      <c r="F2394" s="2">
        <v>1467.15</v>
      </c>
    </row>
    <row r="2395" spans="3:6" x14ac:dyDescent="0.25">
      <c r="C2395" s="2" t="s">
        <v>9581</v>
      </c>
      <c r="D2395" s="2" t="s">
        <v>82</v>
      </c>
      <c r="E2395" s="2">
        <v>112</v>
      </c>
      <c r="F2395" s="2">
        <v>1720.02</v>
      </c>
    </row>
    <row r="2396" spans="3:6" x14ac:dyDescent="0.25">
      <c r="C2396" s="2" t="s">
        <v>9582</v>
      </c>
      <c r="D2396" s="2" t="s">
        <v>82</v>
      </c>
      <c r="E2396" s="2">
        <v>125</v>
      </c>
      <c r="F2396" s="2">
        <v>1912.327</v>
      </c>
    </row>
    <row r="2397" spans="3:6" x14ac:dyDescent="0.25">
      <c r="C2397" s="2" t="s">
        <v>9583</v>
      </c>
      <c r="D2397" s="2" t="s">
        <v>82</v>
      </c>
      <c r="E2397" s="2">
        <v>100</v>
      </c>
      <c r="F2397" s="2">
        <v>2081.24</v>
      </c>
    </row>
    <row r="2398" spans="3:6" x14ac:dyDescent="0.25">
      <c r="C2398" s="2" t="s">
        <v>9584</v>
      </c>
      <c r="D2398" s="2" t="s">
        <v>82</v>
      </c>
      <c r="E2398" s="2">
        <v>21</v>
      </c>
      <c r="F2398" s="2">
        <v>402.94</v>
      </c>
    </row>
    <row r="2399" spans="3:6" x14ac:dyDescent="0.25">
      <c r="C2399" s="2" t="s">
        <v>9585</v>
      </c>
      <c r="D2399" s="2" t="s">
        <v>82</v>
      </c>
      <c r="E2399" s="2">
        <v>121</v>
      </c>
      <c r="F2399" s="2">
        <v>2437.95</v>
      </c>
    </row>
    <row r="2400" spans="3:6" x14ac:dyDescent="0.25">
      <c r="C2400" s="2" t="s">
        <v>9586</v>
      </c>
      <c r="D2400" s="2" t="s">
        <v>82</v>
      </c>
      <c r="E2400" s="2">
        <v>25</v>
      </c>
      <c r="F2400" s="2">
        <v>104.11</v>
      </c>
    </row>
    <row r="2401" spans="3:6" x14ac:dyDescent="0.25">
      <c r="C2401" s="2" t="s">
        <v>9587</v>
      </c>
      <c r="D2401" s="2" t="s">
        <v>82</v>
      </c>
      <c r="E2401" s="2">
        <v>36</v>
      </c>
      <c r="F2401" s="2">
        <v>692.37</v>
      </c>
    </row>
    <row r="2402" spans="3:6" x14ac:dyDescent="0.25">
      <c r="C2402" s="2" t="s">
        <v>9588</v>
      </c>
      <c r="D2402" s="2" t="s">
        <v>82</v>
      </c>
      <c r="E2402" s="2">
        <v>50</v>
      </c>
      <c r="F2402" s="2">
        <v>1015.3</v>
      </c>
    </row>
    <row r="2403" spans="3:6" x14ac:dyDescent="0.25">
      <c r="C2403" s="2" t="s">
        <v>9589</v>
      </c>
      <c r="D2403" s="2" t="s">
        <v>82</v>
      </c>
      <c r="E2403" s="2">
        <v>35</v>
      </c>
      <c r="F2403" s="2">
        <v>661.109</v>
      </c>
    </row>
    <row r="2404" spans="3:6" x14ac:dyDescent="0.25">
      <c r="C2404" s="2" t="s">
        <v>9590</v>
      </c>
      <c r="D2404" s="2" t="s">
        <v>82</v>
      </c>
      <c r="E2404" s="2">
        <v>141</v>
      </c>
      <c r="F2404" s="2">
        <v>2747.548</v>
      </c>
    </row>
    <row r="2405" spans="3:6" x14ac:dyDescent="0.25">
      <c r="C2405" s="2" t="s">
        <v>9591</v>
      </c>
      <c r="D2405" s="2" t="s">
        <v>82</v>
      </c>
      <c r="E2405" s="2">
        <v>141</v>
      </c>
      <c r="F2405" s="2">
        <v>2918.52</v>
      </c>
    </row>
    <row r="2406" spans="3:6" x14ac:dyDescent="0.25">
      <c r="C2406" s="2" t="s">
        <v>9592</v>
      </c>
      <c r="D2406" s="2" t="s">
        <v>82</v>
      </c>
      <c r="E2406" s="2">
        <v>141</v>
      </c>
      <c r="F2406" s="2">
        <v>2925.089</v>
      </c>
    </row>
    <row r="2407" spans="3:6" x14ac:dyDescent="0.25">
      <c r="C2407" s="2" t="s">
        <v>9593</v>
      </c>
      <c r="D2407" s="2" t="s">
        <v>82</v>
      </c>
      <c r="E2407" s="2">
        <v>13</v>
      </c>
      <c r="F2407" s="2">
        <v>253.61</v>
      </c>
    </row>
    <row r="2408" spans="3:6" x14ac:dyDescent="0.25">
      <c r="C2408" s="2" t="s">
        <v>9594</v>
      </c>
      <c r="D2408" s="2" t="s">
        <v>82</v>
      </c>
      <c r="E2408" s="2">
        <v>25</v>
      </c>
      <c r="F2408" s="2">
        <v>497.07</v>
      </c>
    </row>
    <row r="2409" spans="3:6" x14ac:dyDescent="0.25">
      <c r="C2409" s="2" t="s">
        <v>9595</v>
      </c>
      <c r="D2409" s="2" t="s">
        <v>82</v>
      </c>
      <c r="E2409" s="2">
        <v>46</v>
      </c>
      <c r="F2409" s="2">
        <v>992.58</v>
      </c>
    </row>
    <row r="2410" spans="3:6" x14ac:dyDescent="0.25">
      <c r="C2410" s="2" t="s">
        <v>9596</v>
      </c>
      <c r="D2410" s="2" t="s">
        <v>82</v>
      </c>
      <c r="E2410" s="2">
        <v>57</v>
      </c>
      <c r="F2410" s="2">
        <v>1207.54</v>
      </c>
    </row>
    <row r="2411" spans="3:6" x14ac:dyDescent="0.25">
      <c r="C2411" s="2" t="s">
        <v>9597</v>
      </c>
      <c r="D2411" s="2" t="s">
        <v>82</v>
      </c>
      <c r="E2411" s="2">
        <v>141</v>
      </c>
      <c r="F2411" s="2">
        <v>2876.8</v>
      </c>
    </row>
    <row r="2412" spans="3:6" x14ac:dyDescent="0.25">
      <c r="C2412" s="2" t="s">
        <v>9598</v>
      </c>
      <c r="D2412" s="2" t="s">
        <v>82</v>
      </c>
      <c r="E2412" s="2">
        <v>19</v>
      </c>
      <c r="F2412" s="2">
        <v>375.74</v>
      </c>
    </row>
    <row r="2413" spans="3:6" x14ac:dyDescent="0.25">
      <c r="C2413" s="2" t="s">
        <v>9599</v>
      </c>
      <c r="D2413" s="2" t="s">
        <v>82</v>
      </c>
      <c r="E2413" s="2">
        <v>10</v>
      </c>
      <c r="F2413" s="2">
        <v>206.72</v>
      </c>
    </row>
    <row r="2414" spans="3:6" x14ac:dyDescent="0.25">
      <c r="C2414" s="2" t="s">
        <v>9600</v>
      </c>
      <c r="D2414" s="2" t="s">
        <v>82</v>
      </c>
      <c r="E2414" s="2">
        <v>28</v>
      </c>
      <c r="F2414" s="2">
        <v>518.369</v>
      </c>
    </row>
    <row r="2415" spans="3:6" x14ac:dyDescent="0.25">
      <c r="C2415" s="2" t="s">
        <v>9601</v>
      </c>
      <c r="D2415" s="2" t="s">
        <v>82</v>
      </c>
      <c r="E2415" s="2">
        <v>18</v>
      </c>
      <c r="F2415" s="2">
        <v>349.26</v>
      </c>
    </row>
    <row r="2416" spans="3:6" x14ac:dyDescent="0.25">
      <c r="C2416" s="2" t="s">
        <v>9602</v>
      </c>
      <c r="D2416" s="2" t="s">
        <v>82</v>
      </c>
      <c r="E2416" s="2">
        <v>60</v>
      </c>
      <c r="F2416" s="2">
        <v>1198.57</v>
      </c>
    </row>
    <row r="2417" spans="3:6" x14ac:dyDescent="0.25">
      <c r="C2417" s="2" t="s">
        <v>9603</v>
      </c>
      <c r="D2417" s="2" t="s">
        <v>82</v>
      </c>
      <c r="E2417" s="2">
        <v>41</v>
      </c>
      <c r="F2417" s="2">
        <v>772.31</v>
      </c>
    </row>
    <row r="2418" spans="3:6" x14ac:dyDescent="0.25">
      <c r="C2418" s="2" t="s">
        <v>9604</v>
      </c>
      <c r="D2418" s="2" t="s">
        <v>82</v>
      </c>
      <c r="E2418" s="2">
        <v>60</v>
      </c>
      <c r="F2418" s="2">
        <v>1222.25</v>
      </c>
    </row>
    <row r="2419" spans="3:6" x14ac:dyDescent="0.25">
      <c r="C2419" s="2" t="s">
        <v>9605</v>
      </c>
      <c r="D2419" s="2" t="s">
        <v>82</v>
      </c>
      <c r="E2419" s="2">
        <v>40</v>
      </c>
      <c r="F2419" s="2">
        <v>799.27</v>
      </c>
    </row>
    <row r="2420" spans="3:6" x14ac:dyDescent="0.25">
      <c r="C2420" s="2" t="s">
        <v>9606</v>
      </c>
      <c r="D2420" s="2" t="s">
        <v>82</v>
      </c>
      <c r="E2420" s="2">
        <v>60</v>
      </c>
      <c r="F2420" s="2">
        <v>1197.77</v>
      </c>
    </row>
    <row r="2421" spans="3:6" x14ac:dyDescent="0.25">
      <c r="C2421" s="2" t="s">
        <v>9607</v>
      </c>
      <c r="D2421" s="2" t="s">
        <v>82</v>
      </c>
      <c r="E2421" s="2">
        <v>42</v>
      </c>
      <c r="F2421" s="2">
        <v>831.69</v>
      </c>
    </row>
    <row r="2423" spans="1:7" x14ac:dyDescent="0.25">
      <c r="A2423" s="1">
        <v>46164</v>
      </c>
      <c r="B2423" s="2" t="s">
        <v>897</v>
      </c>
      <c r="C2423" s="2" t="s">
        <v>9608</v>
      </c>
      <c r="D2423" s="2" t="s">
        <v>292</v>
      </c>
      <c r="E2423" s="2">
        <v>141</v>
      </c>
      <c r="F2423" s="2">
        <v>2895.09</v>
      </c>
      <c r="G2423" s="1">
        <v>46163</v>
      </c>
    </row>
    <row r="2424" spans="3:6" x14ac:dyDescent="0.25">
      <c r="C2424" s="2" t="s">
        <v>9609</v>
      </c>
      <c r="D2424" s="2" t="s">
        <v>292</v>
      </c>
      <c r="E2424" s="2">
        <v>141</v>
      </c>
      <c r="F2424" s="2">
        <v>2807.768</v>
      </c>
    </row>
    <row r="2425" spans="3:6" x14ac:dyDescent="0.25">
      <c r="C2425" s="2" t="s">
        <v>9610</v>
      </c>
      <c r="D2425" s="2" t="s">
        <v>292</v>
      </c>
      <c r="E2425" s="2">
        <v>102</v>
      </c>
      <c r="F2425" s="2">
        <v>2141.668</v>
      </c>
    </row>
    <row r="2426" spans="3:6" x14ac:dyDescent="0.25">
      <c r="C2426" s="2" t="s">
        <v>9611</v>
      </c>
      <c r="D2426" s="2" t="s">
        <v>292</v>
      </c>
      <c r="E2426" s="2">
        <v>102</v>
      </c>
      <c r="F2426" s="2">
        <v>2013.63</v>
      </c>
    </row>
    <row r="2427" spans="3:6" x14ac:dyDescent="0.25">
      <c r="C2427" s="2" t="s">
        <v>9612</v>
      </c>
      <c r="D2427" s="2" t="s">
        <v>292</v>
      </c>
      <c r="E2427" s="2">
        <v>102</v>
      </c>
      <c r="F2427" s="2">
        <v>2095.889</v>
      </c>
    </row>
    <row r="2428" spans="3:6" x14ac:dyDescent="0.25">
      <c r="C2428" s="2" t="s">
        <v>9613</v>
      </c>
      <c r="D2428" s="2" t="s">
        <v>292</v>
      </c>
      <c r="E2428" s="2">
        <v>102</v>
      </c>
      <c r="F2428" s="2">
        <v>2072.489</v>
      </c>
    </row>
    <row r="2429" spans="3:6" x14ac:dyDescent="0.25">
      <c r="C2429" s="2" t="s">
        <v>9614</v>
      </c>
      <c r="D2429" s="2" t="s">
        <v>292</v>
      </c>
      <c r="E2429" s="2">
        <v>102</v>
      </c>
      <c r="F2429" s="2">
        <v>2172.16</v>
      </c>
    </row>
    <row r="2430" spans="3:6" x14ac:dyDescent="0.25">
      <c r="C2430" s="2" t="s">
        <v>9615</v>
      </c>
      <c r="D2430" s="2" t="s">
        <v>292</v>
      </c>
      <c r="E2430" s="2">
        <v>67</v>
      </c>
      <c r="F2430" s="2">
        <v>957.583</v>
      </c>
    </row>
    <row r="2431" spans="3:6" x14ac:dyDescent="0.25">
      <c r="C2431" s="2" t="s">
        <v>9616</v>
      </c>
      <c r="D2431" s="2" t="s">
        <v>292</v>
      </c>
      <c r="E2431" s="2">
        <v>141</v>
      </c>
      <c r="F2431" s="2">
        <v>1879.557</v>
      </c>
    </row>
    <row r="2432" spans="3:6" x14ac:dyDescent="0.25">
      <c r="C2432" s="2" t="s">
        <v>9617</v>
      </c>
      <c r="D2432" s="2" t="s">
        <v>292</v>
      </c>
      <c r="E2432" s="2">
        <v>123</v>
      </c>
      <c r="F2432" s="2">
        <v>2552.94</v>
      </c>
    </row>
    <row r="2433" spans="3:6" x14ac:dyDescent="0.25">
      <c r="C2433" s="2" t="s">
        <v>9618</v>
      </c>
      <c r="D2433" s="2" t="s">
        <v>292</v>
      </c>
      <c r="E2433" s="2">
        <v>123</v>
      </c>
      <c r="F2433" s="2">
        <v>2693.36</v>
      </c>
    </row>
    <row r="2434" spans="3:6" x14ac:dyDescent="0.25">
      <c r="C2434" s="2" t="s">
        <v>9619</v>
      </c>
      <c r="D2434" s="2" t="s">
        <v>292</v>
      </c>
      <c r="E2434" s="2">
        <v>141</v>
      </c>
      <c r="F2434" s="2">
        <v>2875.28</v>
      </c>
    </row>
    <row r="2435" spans="3:6" x14ac:dyDescent="0.25">
      <c r="C2435" s="2" t="s">
        <v>9620</v>
      </c>
      <c r="D2435" s="2" t="s">
        <v>292</v>
      </c>
      <c r="E2435" s="2">
        <v>141</v>
      </c>
      <c r="F2435" s="2">
        <v>2918.731</v>
      </c>
    </row>
    <row r="2436" spans="3:6" x14ac:dyDescent="0.25">
      <c r="C2436" s="2" t="s">
        <v>9621</v>
      </c>
      <c r="D2436" s="2" t="s">
        <v>292</v>
      </c>
      <c r="E2436" s="2">
        <v>141</v>
      </c>
      <c r="F2436" s="2">
        <v>2871.95</v>
      </c>
    </row>
    <row r="2437" spans="3:6" x14ac:dyDescent="0.25">
      <c r="C2437" s="2" t="s">
        <v>9622</v>
      </c>
      <c r="D2437" s="2" t="s">
        <v>292</v>
      </c>
      <c r="E2437" s="2">
        <v>133</v>
      </c>
      <c r="F2437" s="2">
        <v>2759.386</v>
      </c>
    </row>
    <row r="2438" spans="3:6" x14ac:dyDescent="0.25">
      <c r="C2438" s="2" t="s">
        <v>9623</v>
      </c>
      <c r="D2438" s="2" t="s">
        <v>292</v>
      </c>
      <c r="E2438" s="2">
        <v>32</v>
      </c>
      <c r="F2438" s="2">
        <v>585.02</v>
      </c>
    </row>
    <row r="2439" spans="3:6" x14ac:dyDescent="0.25">
      <c r="C2439" s="2" t="s">
        <v>9624</v>
      </c>
      <c r="D2439" s="2" t="s">
        <v>292</v>
      </c>
      <c r="E2439" s="2">
        <v>53</v>
      </c>
      <c r="F2439" s="2">
        <v>1058.911</v>
      </c>
    </row>
    <row r="2440" spans="3:6" x14ac:dyDescent="0.25">
      <c r="C2440" s="2" t="s">
        <v>9625</v>
      </c>
      <c r="D2440" s="2" t="s">
        <v>292</v>
      </c>
      <c r="E2440" s="2">
        <v>81</v>
      </c>
      <c r="F2440" s="2">
        <v>1579.528</v>
      </c>
    </row>
    <row r="2441" spans="3:6" x14ac:dyDescent="0.25">
      <c r="C2441" s="2" t="s">
        <v>9626</v>
      </c>
      <c r="D2441" s="2" t="s">
        <v>292</v>
      </c>
      <c r="E2441" s="2">
        <v>141</v>
      </c>
      <c r="F2441" s="2">
        <v>2907.43</v>
      </c>
    </row>
    <row r="2442" spans="3:6" x14ac:dyDescent="0.25">
      <c r="C2442" s="2" t="s">
        <v>9627</v>
      </c>
      <c r="D2442" s="2" t="s">
        <v>292</v>
      </c>
      <c r="E2442" s="2">
        <v>141</v>
      </c>
      <c r="F2442" s="2">
        <v>2816.68</v>
      </c>
    </row>
    <row r="2443" spans="3:6" x14ac:dyDescent="0.25">
      <c r="C2443" s="2" t="s">
        <v>9628</v>
      </c>
      <c r="D2443" s="2" t="s">
        <v>292</v>
      </c>
      <c r="E2443" s="2">
        <v>129</v>
      </c>
      <c r="F2443" s="2">
        <v>1886.36</v>
      </c>
    </row>
    <row r="2444" spans="3:6" x14ac:dyDescent="0.25">
      <c r="C2444" s="2" t="s">
        <v>9629</v>
      </c>
      <c r="D2444" s="2" t="s">
        <v>292</v>
      </c>
      <c r="E2444" s="2">
        <v>141</v>
      </c>
      <c r="F2444" s="2">
        <v>2877.409</v>
      </c>
    </row>
    <row r="2445" spans="3:6" x14ac:dyDescent="0.25">
      <c r="C2445" s="2" t="s">
        <v>9630</v>
      </c>
      <c r="D2445" s="2" t="s">
        <v>292</v>
      </c>
      <c r="E2445" s="2">
        <v>141</v>
      </c>
      <c r="F2445" s="2">
        <v>2865.919</v>
      </c>
    </row>
    <row r="2446" spans="3:6" x14ac:dyDescent="0.25">
      <c r="C2446" s="2" t="s">
        <v>9631</v>
      </c>
      <c r="D2446" s="2" t="s">
        <v>292</v>
      </c>
      <c r="E2446" s="2">
        <v>87</v>
      </c>
      <c r="F2446" s="2">
        <v>1850.499</v>
      </c>
    </row>
    <row r="2447" spans="3:6" x14ac:dyDescent="0.25">
      <c r="C2447" s="2" t="s">
        <v>9632</v>
      </c>
      <c r="D2447" s="2" t="s">
        <v>292</v>
      </c>
      <c r="E2447" s="2">
        <v>100</v>
      </c>
      <c r="F2447" s="2">
        <v>2040.079</v>
      </c>
    </row>
    <row r="2448" spans="3:6" x14ac:dyDescent="0.25">
      <c r="C2448" s="2" t="s">
        <v>9633</v>
      </c>
      <c r="D2448" s="2" t="s">
        <v>292</v>
      </c>
      <c r="E2448" s="2">
        <v>73</v>
      </c>
      <c r="F2448" s="2">
        <v>1454.18</v>
      </c>
    </row>
    <row r="2449" spans="3:6" x14ac:dyDescent="0.25">
      <c r="C2449" s="2" t="s">
        <v>9634</v>
      </c>
      <c r="D2449" s="2" t="s">
        <v>292</v>
      </c>
      <c r="E2449" s="2">
        <v>65</v>
      </c>
      <c r="F2449" s="2">
        <v>1353.31</v>
      </c>
    </row>
    <row r="2450" spans="3:6" x14ac:dyDescent="0.25">
      <c r="C2450" s="2" t="s">
        <v>9635</v>
      </c>
      <c r="D2450" s="2" t="s">
        <v>292</v>
      </c>
      <c r="E2450" s="2">
        <v>10</v>
      </c>
      <c r="F2450" s="2">
        <v>202.48</v>
      </c>
    </row>
    <row r="2451" spans="3:6" x14ac:dyDescent="0.25">
      <c r="C2451" s="2" t="s">
        <v>9636</v>
      </c>
      <c r="D2451" s="2" t="s">
        <v>292</v>
      </c>
      <c r="E2451" s="2">
        <v>75</v>
      </c>
      <c r="F2451" s="2">
        <v>385.48</v>
      </c>
    </row>
    <row r="2452" spans="3:6" x14ac:dyDescent="0.25">
      <c r="C2452" s="2" t="s">
        <v>9637</v>
      </c>
      <c r="D2452" s="2" t="s">
        <v>292</v>
      </c>
      <c r="E2452" s="2">
        <v>75</v>
      </c>
      <c r="F2452" s="2">
        <v>386.51</v>
      </c>
    </row>
    <row r="2453" spans="3:6" x14ac:dyDescent="0.25">
      <c r="C2453" s="2" t="s">
        <v>9638</v>
      </c>
      <c r="D2453" s="2" t="s">
        <v>292</v>
      </c>
      <c r="E2453" s="2">
        <v>50</v>
      </c>
      <c r="F2453" s="2">
        <v>262.02</v>
      </c>
    </row>
    <row r="2454" spans="3:6" x14ac:dyDescent="0.25">
      <c r="C2454" s="2" t="s">
        <v>9639</v>
      </c>
      <c r="D2454" s="2" t="s">
        <v>292</v>
      </c>
      <c r="E2454" s="2">
        <v>40</v>
      </c>
      <c r="F2454" s="2">
        <v>593.838</v>
      </c>
    </row>
    <row r="2455" spans="3:6" x14ac:dyDescent="0.25">
      <c r="C2455" s="2" t="s">
        <v>9640</v>
      </c>
      <c r="D2455" s="2" t="s">
        <v>292</v>
      </c>
      <c r="E2455" s="2">
        <v>54</v>
      </c>
      <c r="F2455" s="2">
        <v>631.184</v>
      </c>
    </row>
    <row r="2456" spans="3:6" x14ac:dyDescent="0.25">
      <c r="C2456" s="2" t="s">
        <v>9641</v>
      </c>
      <c r="D2456" s="2" t="s">
        <v>292</v>
      </c>
      <c r="E2456" s="2">
        <v>49</v>
      </c>
      <c r="F2456" s="2">
        <v>990.229</v>
      </c>
    </row>
    <row r="2457" spans="3:6" x14ac:dyDescent="0.25">
      <c r="C2457" s="2" t="s">
        <v>9642</v>
      </c>
      <c r="D2457" s="2" t="s">
        <v>292</v>
      </c>
      <c r="E2457" s="2">
        <v>39</v>
      </c>
      <c r="F2457" s="2">
        <v>820.23</v>
      </c>
    </row>
    <row r="2458" spans="3:6" x14ac:dyDescent="0.25">
      <c r="C2458" s="2" t="s">
        <v>9643</v>
      </c>
      <c r="D2458" s="2" t="s">
        <v>292</v>
      </c>
      <c r="E2458" s="2">
        <v>40</v>
      </c>
      <c r="F2458" s="2">
        <v>828.49</v>
      </c>
    </row>
    <row r="2459" spans="3:6" x14ac:dyDescent="0.25">
      <c r="C2459" s="2" t="s">
        <v>9644</v>
      </c>
      <c r="D2459" s="2" t="s">
        <v>292</v>
      </c>
      <c r="E2459" s="2">
        <v>69</v>
      </c>
      <c r="F2459" s="2">
        <v>1433.64</v>
      </c>
    </row>
    <row r="2460" spans="3:6" x14ac:dyDescent="0.25">
      <c r="C2460" s="2" t="s">
        <v>9645</v>
      </c>
      <c r="D2460" s="2" t="s">
        <v>292</v>
      </c>
      <c r="E2460" s="2">
        <v>28</v>
      </c>
      <c r="F2460" s="2">
        <v>465.629</v>
      </c>
    </row>
    <row r="2461" spans="3:6" x14ac:dyDescent="0.25">
      <c r="C2461" s="2" t="s">
        <v>9646</v>
      </c>
      <c r="D2461" s="2" t="s">
        <v>292</v>
      </c>
      <c r="E2461" s="2">
        <v>8</v>
      </c>
      <c r="F2461" s="2">
        <v>173.68</v>
      </c>
    </row>
    <row r="2462" spans="3:6" x14ac:dyDescent="0.25">
      <c r="C2462" s="2" t="s">
        <v>9647</v>
      </c>
      <c r="D2462" s="2" t="s">
        <v>292</v>
      </c>
      <c r="E2462" s="2">
        <v>37</v>
      </c>
      <c r="F2462" s="2">
        <v>762.57</v>
      </c>
    </row>
    <row r="2464" spans="1:7" x14ac:dyDescent="0.25">
      <c r="A2464" s="1">
        <v>46164</v>
      </c>
      <c r="B2464" s="2" t="s">
        <v>290</v>
      </c>
      <c r="C2464" s="2" t="s">
        <v>9648</v>
      </c>
      <c r="D2464" s="2" t="s">
        <v>178</v>
      </c>
      <c r="E2464" s="2">
        <v>71</v>
      </c>
      <c r="F2464" s="2">
        <v>1365.64</v>
      </c>
      <c r="G2464" s="1">
        <v>46163</v>
      </c>
    </row>
    <row r="2465" spans="3:6" x14ac:dyDescent="0.25">
      <c r="C2465" s="2" t="s">
        <v>9649</v>
      </c>
      <c r="D2465" s="2" t="s">
        <v>178</v>
      </c>
      <c r="E2465" s="2">
        <v>52</v>
      </c>
      <c r="F2465" s="2">
        <v>988.07</v>
      </c>
    </row>
    <row r="2466" spans="3:6" x14ac:dyDescent="0.25">
      <c r="C2466" s="2" t="s">
        <v>9650</v>
      </c>
      <c r="D2466" s="2" t="s">
        <v>178</v>
      </c>
      <c r="E2466" s="2">
        <v>246</v>
      </c>
      <c r="F2466" s="2">
        <v>5073.128</v>
      </c>
    </row>
    <row r="2467" spans="3:6" x14ac:dyDescent="0.25">
      <c r="C2467" s="2" t="s">
        <v>9651</v>
      </c>
      <c r="D2467" s="2" t="s">
        <v>178</v>
      </c>
      <c r="E2467" s="2">
        <v>141</v>
      </c>
      <c r="F2467" s="2">
        <v>2789.81</v>
      </c>
    </row>
    <row r="2468" spans="3:6" x14ac:dyDescent="0.25">
      <c r="C2468" s="2" t="s">
        <v>9652</v>
      </c>
      <c r="D2468" s="2" t="s">
        <v>178</v>
      </c>
      <c r="E2468" s="2">
        <v>123</v>
      </c>
      <c r="F2468" s="2">
        <v>2387.48</v>
      </c>
    </row>
    <row r="2469" spans="3:6" x14ac:dyDescent="0.25">
      <c r="C2469" s="2" t="s">
        <v>9653</v>
      </c>
      <c r="D2469" s="2" t="s">
        <v>178</v>
      </c>
      <c r="E2469" s="2">
        <v>204</v>
      </c>
      <c r="F2469" s="2">
        <v>4179.708</v>
      </c>
    </row>
    <row r="2470" spans="3:6" x14ac:dyDescent="0.25">
      <c r="C2470" s="2" t="s">
        <v>9654</v>
      </c>
      <c r="D2470" s="2" t="s">
        <v>178</v>
      </c>
      <c r="E2470" s="2">
        <v>204</v>
      </c>
      <c r="F2470" s="2">
        <v>4145.05</v>
      </c>
    </row>
    <row r="2471" spans="3:6" x14ac:dyDescent="0.25">
      <c r="C2471" s="2" t="s">
        <v>9655</v>
      </c>
      <c r="D2471" s="2" t="s">
        <v>178</v>
      </c>
      <c r="E2471" s="2">
        <v>282</v>
      </c>
      <c r="F2471" s="2">
        <v>6017.19</v>
      </c>
    </row>
    <row r="2472" spans="3:6" x14ac:dyDescent="0.25">
      <c r="C2472" s="2" t="s">
        <v>9656</v>
      </c>
      <c r="D2472" s="2" t="s">
        <v>178</v>
      </c>
      <c r="E2472" s="2">
        <v>141</v>
      </c>
      <c r="F2472" s="2">
        <v>3016.02</v>
      </c>
    </row>
    <row r="2473" spans="3:6" x14ac:dyDescent="0.25">
      <c r="C2473" s="2" t="s">
        <v>9657</v>
      </c>
      <c r="D2473" s="2" t="s">
        <v>178</v>
      </c>
      <c r="E2473" s="2">
        <v>102</v>
      </c>
      <c r="F2473" s="2">
        <v>2063.57</v>
      </c>
    </row>
    <row r="2474" spans="3:6" x14ac:dyDescent="0.25">
      <c r="C2474" s="2" t="s">
        <v>9658</v>
      </c>
      <c r="D2474" s="2" t="s">
        <v>178</v>
      </c>
      <c r="E2474" s="2">
        <v>75</v>
      </c>
      <c r="F2474" s="2">
        <v>313.818</v>
      </c>
    </row>
    <row r="2475" spans="3:6" x14ac:dyDescent="0.25">
      <c r="C2475" s="2" t="s">
        <v>9659</v>
      </c>
      <c r="D2475" s="2" t="s">
        <v>178</v>
      </c>
      <c r="E2475" s="2">
        <v>237</v>
      </c>
      <c r="F2475" s="2">
        <v>4579.006</v>
      </c>
    </row>
    <row r="2476" spans="3:6" x14ac:dyDescent="0.25">
      <c r="C2476" s="2" t="s">
        <v>9660</v>
      </c>
      <c r="D2476" s="2" t="s">
        <v>178</v>
      </c>
      <c r="E2476" s="2">
        <v>282</v>
      </c>
      <c r="F2476" s="2">
        <v>5777.18</v>
      </c>
    </row>
    <row r="2477" spans="3:6" x14ac:dyDescent="0.25">
      <c r="C2477" s="2" t="s">
        <v>9661</v>
      </c>
      <c r="D2477" s="2" t="s">
        <v>178</v>
      </c>
      <c r="E2477" s="2">
        <v>141</v>
      </c>
      <c r="F2477" s="2">
        <v>2997.5</v>
      </c>
    </row>
    <row r="2478" spans="3:6" x14ac:dyDescent="0.25">
      <c r="C2478" s="2" t="s">
        <v>9662</v>
      </c>
      <c r="D2478" s="2" t="s">
        <v>178</v>
      </c>
      <c r="E2478" s="2">
        <v>141</v>
      </c>
      <c r="F2478" s="2">
        <v>2859.6</v>
      </c>
    </row>
    <row r="2479" spans="3:6" x14ac:dyDescent="0.25">
      <c r="C2479" s="2" t="s">
        <v>9663</v>
      </c>
      <c r="D2479" s="2" t="s">
        <v>178</v>
      </c>
      <c r="E2479" s="2">
        <v>141</v>
      </c>
      <c r="F2479" s="2">
        <v>2867.34</v>
      </c>
    </row>
    <row r="2480" spans="3:6" x14ac:dyDescent="0.25">
      <c r="C2480" s="2" t="s">
        <v>9664</v>
      </c>
      <c r="D2480" s="2" t="s">
        <v>178</v>
      </c>
      <c r="E2480" s="2">
        <v>141</v>
      </c>
      <c r="F2480" s="2">
        <v>2911.36</v>
      </c>
    </row>
    <row r="2481" spans="3:6" x14ac:dyDescent="0.25">
      <c r="C2481" s="2" t="s">
        <v>9665</v>
      </c>
      <c r="D2481" s="2" t="s">
        <v>178</v>
      </c>
      <c r="E2481" s="2">
        <v>141</v>
      </c>
      <c r="F2481" s="2">
        <v>2847.999</v>
      </c>
    </row>
    <row r="2482" spans="3:6" x14ac:dyDescent="0.25">
      <c r="C2482" s="2" t="s">
        <v>9666</v>
      </c>
      <c r="D2482" s="2" t="s">
        <v>178</v>
      </c>
      <c r="E2482" s="2">
        <v>141</v>
      </c>
      <c r="F2482" s="2">
        <v>3023.259</v>
      </c>
    </row>
    <row r="2483" spans="3:6" x14ac:dyDescent="0.25">
      <c r="C2483" s="2" t="s">
        <v>9667</v>
      </c>
      <c r="D2483" s="2" t="s">
        <v>178</v>
      </c>
      <c r="E2483" s="2">
        <v>102</v>
      </c>
      <c r="F2483" s="2">
        <v>2061.48</v>
      </c>
    </row>
    <row r="2484" spans="3:6" x14ac:dyDescent="0.25">
      <c r="C2484" s="2" t="s">
        <v>9668</v>
      </c>
      <c r="D2484" s="2" t="s">
        <v>178</v>
      </c>
      <c r="E2484" s="2">
        <v>63</v>
      </c>
      <c r="F2484" s="2">
        <v>1208.7</v>
      </c>
    </row>
    <row r="2485" spans="3:6" x14ac:dyDescent="0.25">
      <c r="C2485" s="2" t="s">
        <v>9669</v>
      </c>
      <c r="D2485" s="2" t="s">
        <v>178</v>
      </c>
      <c r="E2485" s="2">
        <v>78</v>
      </c>
      <c r="F2485" s="2">
        <v>1512.89</v>
      </c>
    </row>
    <row r="2486" spans="3:6" x14ac:dyDescent="0.25">
      <c r="C2486" s="2" t="s">
        <v>9670</v>
      </c>
      <c r="D2486" s="2" t="s">
        <v>178</v>
      </c>
      <c r="E2486" s="2">
        <v>35</v>
      </c>
      <c r="F2486" s="2">
        <v>612.24</v>
      </c>
    </row>
    <row r="2487" spans="3:6" x14ac:dyDescent="0.25">
      <c r="C2487" s="2" t="s">
        <v>9671</v>
      </c>
      <c r="D2487" s="2" t="s">
        <v>178</v>
      </c>
      <c r="E2487" s="2">
        <v>18</v>
      </c>
      <c r="F2487" s="2">
        <v>309.66</v>
      </c>
    </row>
    <row r="2488" spans="3:6" x14ac:dyDescent="0.25">
      <c r="C2488" s="2" t="s">
        <v>9672</v>
      </c>
      <c r="D2488" s="2" t="s">
        <v>178</v>
      </c>
      <c r="E2488" s="2">
        <v>2</v>
      </c>
      <c r="F2488" s="2">
        <v>20.97</v>
      </c>
    </row>
    <row r="2489" spans="3:6" x14ac:dyDescent="0.25">
      <c r="C2489" s="2" t="s">
        <v>9673</v>
      </c>
      <c r="D2489" s="2" t="s">
        <v>178</v>
      </c>
      <c r="E2489" s="2">
        <v>2</v>
      </c>
      <c r="F2489" s="2">
        <v>23.64</v>
      </c>
    </row>
    <row r="2490" spans="3:6" x14ac:dyDescent="0.25">
      <c r="C2490" s="2" t="s">
        <v>9674</v>
      </c>
      <c r="D2490" s="2" t="s">
        <v>178</v>
      </c>
      <c r="E2490" s="2">
        <v>20</v>
      </c>
      <c r="F2490" s="2">
        <v>193.8</v>
      </c>
    </row>
    <row r="2491" spans="3:6" x14ac:dyDescent="0.25">
      <c r="C2491" s="2" t="s">
        <v>9675</v>
      </c>
      <c r="D2491" s="2" t="s">
        <v>178</v>
      </c>
      <c r="E2491" s="2">
        <v>142</v>
      </c>
      <c r="F2491" s="2">
        <v>2877.15</v>
      </c>
    </row>
    <row r="2492" spans="3:6" x14ac:dyDescent="0.25">
      <c r="C2492" s="2" t="s">
        <v>9676</v>
      </c>
      <c r="D2492" s="2" t="s">
        <v>178</v>
      </c>
      <c r="E2492" s="2">
        <v>143</v>
      </c>
      <c r="F2492" s="2">
        <v>2651.85</v>
      </c>
    </row>
    <row r="2493" spans="3:6" x14ac:dyDescent="0.25">
      <c r="C2493" s="2" t="s">
        <v>9677</v>
      </c>
      <c r="D2493" s="2" t="s">
        <v>178</v>
      </c>
      <c r="E2493" s="2">
        <v>42</v>
      </c>
      <c r="F2493" s="2">
        <v>845.4</v>
      </c>
    </row>
    <row r="2494" spans="3:6" x14ac:dyDescent="0.25">
      <c r="C2494" s="2" t="s">
        <v>9678</v>
      </c>
      <c r="D2494" s="2" t="s">
        <v>178</v>
      </c>
      <c r="E2494" s="2">
        <v>100</v>
      </c>
      <c r="F2494" s="2">
        <v>2059.2</v>
      </c>
    </row>
    <row r="2495" spans="3:6" x14ac:dyDescent="0.25">
      <c r="C2495" s="2" t="s">
        <v>9679</v>
      </c>
      <c r="D2495" s="2" t="s">
        <v>178</v>
      </c>
      <c r="E2495" s="2">
        <v>111</v>
      </c>
      <c r="F2495" s="2">
        <v>2191.9</v>
      </c>
    </row>
    <row r="2496" spans="3:6" x14ac:dyDescent="0.25">
      <c r="C2496" s="2" t="s">
        <v>9680</v>
      </c>
      <c r="D2496" s="2" t="s">
        <v>178</v>
      </c>
      <c r="E2496" s="2">
        <v>30</v>
      </c>
      <c r="F2496" s="2">
        <v>626.49</v>
      </c>
    </row>
    <row r="2498" spans="1:7" x14ac:dyDescent="0.25">
      <c r="A2498" s="1">
        <v>46164</v>
      </c>
      <c r="B2498" s="2" t="s">
        <v>989</v>
      </c>
      <c r="C2498" s="2" t="s">
        <v>9681</v>
      </c>
      <c r="D2498" s="2" t="s">
        <v>9</v>
      </c>
      <c r="E2498" s="2">
        <v>156</v>
      </c>
      <c r="F2498" s="2">
        <v>2955.28</v>
      </c>
      <c r="G2498" s="1">
        <v>46164</v>
      </c>
    </row>
    <row r="2499" spans="3:6" x14ac:dyDescent="0.25">
      <c r="C2499" s="2" t="s">
        <v>9682</v>
      </c>
      <c r="D2499" s="2" t="s">
        <v>9</v>
      </c>
      <c r="E2499" s="2">
        <v>145</v>
      </c>
      <c r="F2499" s="2">
        <v>2959.56</v>
      </c>
    </row>
    <row r="2500" spans="3:6" x14ac:dyDescent="0.25">
      <c r="C2500" s="2" t="s">
        <v>9683</v>
      </c>
      <c r="D2500" s="2" t="s">
        <v>9</v>
      </c>
      <c r="E2500" s="2">
        <v>92</v>
      </c>
      <c r="F2500" s="2">
        <v>1807.179</v>
      </c>
    </row>
    <row r="2503" spans="1:7" x14ac:dyDescent="0.25">
      <c r="A2503" s="1">
        <v>46164</v>
      </c>
      <c r="B2503" s="2" t="s">
        <v>7</v>
      </c>
      <c r="C2503" s="2" t="s">
        <v>9684</v>
      </c>
      <c r="D2503" s="2" t="s">
        <v>9</v>
      </c>
      <c r="E2503" s="2">
        <v>90</v>
      </c>
      <c r="F2503" s="2">
        <v>1859.72</v>
      </c>
      <c r="G2503" s="1">
        <v>46163</v>
      </c>
    </row>
    <row r="2504" spans="3:6" x14ac:dyDescent="0.25">
      <c r="C2504" s="2" t="s">
        <v>9685</v>
      </c>
      <c r="D2504" s="2" t="s">
        <v>9</v>
      </c>
      <c r="E2504" s="2">
        <v>85</v>
      </c>
      <c r="F2504" s="2">
        <v>1753.289</v>
      </c>
    </row>
    <row r="2506" spans="1:7" x14ac:dyDescent="0.25">
      <c r="A2506" s="1">
        <v>46164</v>
      </c>
      <c r="B2506" s="2" t="s">
        <v>1626</v>
      </c>
      <c r="C2506" s="2" t="s">
        <v>9686</v>
      </c>
      <c r="D2506" s="2" t="s">
        <v>59</v>
      </c>
      <c r="E2506" s="2">
        <v>336</v>
      </c>
      <c r="F2506" s="2">
        <v>4718.982</v>
      </c>
      <c r="G2506" s="1">
        <v>46163</v>
      </c>
    </row>
    <row r="2507" spans="3:6" x14ac:dyDescent="0.25">
      <c r="C2507" s="2" t="s">
        <v>9687</v>
      </c>
      <c r="D2507" s="2" t="s">
        <v>59</v>
      </c>
      <c r="E2507" s="2">
        <v>242</v>
      </c>
      <c r="F2507" s="2">
        <v>5186.5</v>
      </c>
    </row>
    <row r="2508" spans="3:6" x14ac:dyDescent="0.25">
      <c r="C2508" s="2" t="s">
        <v>9688</v>
      </c>
      <c r="D2508" s="2" t="s">
        <v>59</v>
      </c>
      <c r="E2508" s="2">
        <v>130</v>
      </c>
      <c r="F2508" s="2">
        <v>2726.319</v>
      </c>
    </row>
    <row r="2509" spans="3:6" x14ac:dyDescent="0.25">
      <c r="C2509" s="2" t="s">
        <v>9689</v>
      </c>
      <c r="D2509" s="2" t="s">
        <v>59</v>
      </c>
      <c r="E2509" s="2">
        <v>248</v>
      </c>
      <c r="F2509" s="2">
        <v>4788.71</v>
      </c>
    </row>
    <row r="2510" spans="3:6" x14ac:dyDescent="0.25">
      <c r="C2510" s="2" t="s">
        <v>9690</v>
      </c>
      <c r="D2510" s="2" t="s">
        <v>59</v>
      </c>
      <c r="E2510" s="2">
        <v>149</v>
      </c>
      <c r="F2510" s="2">
        <v>2904.85</v>
      </c>
    </row>
    <row r="2511" spans="3:6" x14ac:dyDescent="0.25">
      <c r="C2511" s="2" t="s">
        <v>9691</v>
      </c>
      <c r="D2511" s="2" t="s">
        <v>59</v>
      </c>
      <c r="E2511" s="2">
        <v>149</v>
      </c>
      <c r="F2511" s="2">
        <v>2774.33</v>
      </c>
    </row>
    <row r="2512" spans="3:6" x14ac:dyDescent="0.25">
      <c r="C2512" s="2" t="s">
        <v>9692</v>
      </c>
      <c r="D2512" s="2" t="s">
        <v>59</v>
      </c>
      <c r="E2512" s="2">
        <v>102</v>
      </c>
      <c r="F2512" s="2">
        <v>1897.107</v>
      </c>
    </row>
    <row r="2514" spans="1:7" x14ac:dyDescent="0.25">
      <c r="A2514" s="1">
        <v>46164</v>
      </c>
      <c r="B2514" s="11" t="s">
        <v>666</v>
      </c>
      <c r="C2514" s="2" t="s">
        <v>9693</v>
      </c>
      <c r="D2514" s="2" t="s">
        <v>59</v>
      </c>
      <c r="E2514" s="2">
        <v>149</v>
      </c>
      <c r="F2514" s="2">
        <v>2900.89</v>
      </c>
      <c r="G2514" s="1">
        <v>46162</v>
      </c>
    </row>
    <row r="2515" spans="3:6" x14ac:dyDescent="0.25">
      <c r="C2515" s="2" t="s">
        <v>9694</v>
      </c>
      <c r="D2515" s="2" t="s">
        <v>59</v>
      </c>
      <c r="E2515" s="2">
        <v>149</v>
      </c>
      <c r="F2515" s="2">
        <v>2915.15</v>
      </c>
    </row>
    <row r="2516" spans="3:6" x14ac:dyDescent="0.25">
      <c r="C2516" s="2" t="s">
        <v>9695</v>
      </c>
      <c r="D2516" s="2" t="s">
        <v>59</v>
      </c>
      <c r="E2516" s="2">
        <v>143</v>
      </c>
      <c r="F2516" s="2">
        <v>3673.86</v>
      </c>
    </row>
    <row r="2517" spans="3:6" x14ac:dyDescent="0.25">
      <c r="C2517" s="2" t="s">
        <v>9696</v>
      </c>
      <c r="D2517" s="2" t="s">
        <v>59</v>
      </c>
      <c r="E2517" s="2">
        <v>142</v>
      </c>
      <c r="F2517" s="2">
        <v>2972.73</v>
      </c>
    </row>
    <row r="2518" spans="3:6" x14ac:dyDescent="0.25">
      <c r="C2518" s="2" t="s">
        <v>9697</v>
      </c>
      <c r="D2518" s="2" t="s">
        <v>59</v>
      </c>
      <c r="E2518" s="2">
        <v>142</v>
      </c>
      <c r="F2518" s="2">
        <v>2965.419</v>
      </c>
    </row>
    <row r="2519" spans="3:6" x14ac:dyDescent="0.25">
      <c r="C2519" s="2" t="s">
        <v>9698</v>
      </c>
      <c r="D2519" s="2" t="s">
        <v>59</v>
      </c>
      <c r="E2519" s="2">
        <v>142</v>
      </c>
      <c r="F2519" s="2">
        <v>2988.18</v>
      </c>
    </row>
    <row r="2520" spans="3:6" x14ac:dyDescent="0.25">
      <c r="C2520" s="2" t="s">
        <v>9699</v>
      </c>
      <c r="D2520" s="2" t="s">
        <v>59</v>
      </c>
      <c r="E2520" s="2">
        <v>149</v>
      </c>
      <c r="F2520" s="2">
        <v>2846.88</v>
      </c>
    </row>
    <row r="2521" spans="3:6" x14ac:dyDescent="0.25">
      <c r="C2521" s="2" t="s">
        <v>9700</v>
      </c>
      <c r="D2521" s="2" t="s">
        <v>59</v>
      </c>
      <c r="E2521" s="2">
        <v>149</v>
      </c>
      <c r="F2521" s="2">
        <v>2725.989</v>
      </c>
    </row>
    <row r="2522" spans="3:6" x14ac:dyDescent="0.25">
      <c r="C2522" s="2" t="s">
        <v>9701</v>
      </c>
      <c r="D2522" s="2" t="s">
        <v>59</v>
      </c>
      <c r="E2522" s="2">
        <v>149</v>
      </c>
      <c r="F2522" s="2">
        <v>2840.579</v>
      </c>
    </row>
    <row r="2523" spans="3:6" x14ac:dyDescent="0.25">
      <c r="C2523" s="2" t="s">
        <v>9702</v>
      </c>
      <c r="D2523" s="2" t="s">
        <v>59</v>
      </c>
      <c r="E2523" s="2">
        <v>149</v>
      </c>
      <c r="F2523" s="2">
        <v>2942.2</v>
      </c>
    </row>
    <row r="2524" spans="3:6" x14ac:dyDescent="0.25">
      <c r="C2524" s="2" t="s">
        <v>9703</v>
      </c>
      <c r="D2524" s="2" t="s">
        <v>59</v>
      </c>
      <c r="E2524" s="2">
        <v>149</v>
      </c>
      <c r="F2524" s="2">
        <v>2900.92</v>
      </c>
    </row>
    <row r="2526" spans="1:7" x14ac:dyDescent="0.25">
      <c r="A2526" s="1">
        <v>46165</v>
      </c>
      <c r="B2526" s="2" t="s">
        <v>1009</v>
      </c>
      <c r="C2526" s="2" t="s">
        <v>9704</v>
      </c>
      <c r="D2526" s="2" t="s">
        <v>82</v>
      </c>
      <c r="E2526" s="2">
        <v>121</v>
      </c>
      <c r="F2526" s="2">
        <v>2527.22</v>
      </c>
      <c r="G2526" s="1">
        <v>46164</v>
      </c>
    </row>
    <row r="2527" spans="3:6" x14ac:dyDescent="0.25">
      <c r="C2527" s="2" t="s">
        <v>9705</v>
      </c>
      <c r="D2527" s="2" t="s">
        <v>82</v>
      </c>
      <c r="E2527" s="2">
        <v>81</v>
      </c>
      <c r="F2527" s="2">
        <v>1632.03</v>
      </c>
    </row>
    <row r="2528" spans="3:6" x14ac:dyDescent="0.25">
      <c r="C2528" s="2" t="s">
        <v>9706</v>
      </c>
      <c r="D2528" s="2" t="s">
        <v>82</v>
      </c>
      <c r="E2528" s="2">
        <v>40</v>
      </c>
      <c r="F2528" s="2">
        <v>835.03</v>
      </c>
    </row>
    <row r="2529" spans="3:6" x14ac:dyDescent="0.25">
      <c r="C2529" s="2" t="s">
        <v>9707</v>
      </c>
      <c r="D2529" s="2" t="s">
        <v>82</v>
      </c>
      <c r="E2529" s="2">
        <v>141</v>
      </c>
      <c r="F2529" s="2">
        <v>2678.97</v>
      </c>
    </row>
    <row r="2530" spans="3:6" x14ac:dyDescent="0.25">
      <c r="C2530" s="2" t="s">
        <v>9708</v>
      </c>
      <c r="D2530" s="2" t="s">
        <v>82</v>
      </c>
      <c r="E2530" s="2">
        <v>141</v>
      </c>
      <c r="F2530" s="2">
        <v>2774.63</v>
      </c>
    </row>
    <row r="2531" spans="3:6" x14ac:dyDescent="0.25">
      <c r="C2531" s="2" t="s">
        <v>9709</v>
      </c>
      <c r="D2531" s="2" t="s">
        <v>82</v>
      </c>
      <c r="E2531" s="2">
        <v>141</v>
      </c>
      <c r="F2531" s="2">
        <v>2771.6</v>
      </c>
    </row>
    <row r="2532" spans="3:6" x14ac:dyDescent="0.25">
      <c r="C2532" s="2" t="s">
        <v>9710</v>
      </c>
      <c r="D2532" s="2" t="s">
        <v>82</v>
      </c>
      <c r="E2532" s="2">
        <v>95</v>
      </c>
      <c r="F2532" s="2">
        <v>2089.759</v>
      </c>
    </row>
    <row r="2533" spans="3:6" x14ac:dyDescent="0.25">
      <c r="C2533" s="2" t="s">
        <v>9711</v>
      </c>
      <c r="D2533" s="2" t="s">
        <v>82</v>
      </c>
      <c r="E2533" s="2">
        <v>90</v>
      </c>
      <c r="F2533" s="2">
        <v>2480.517</v>
      </c>
    </row>
    <row r="2534" spans="3:6" x14ac:dyDescent="0.25">
      <c r="C2534" s="2" t="s">
        <v>9712</v>
      </c>
      <c r="D2534" s="2" t="s">
        <v>82</v>
      </c>
      <c r="E2534" s="2">
        <v>141</v>
      </c>
      <c r="F2534" s="2">
        <v>2836.38</v>
      </c>
    </row>
    <row r="2535" spans="3:6" x14ac:dyDescent="0.25">
      <c r="C2535" s="2" t="s">
        <v>9713</v>
      </c>
      <c r="D2535" s="2" t="s">
        <v>82</v>
      </c>
      <c r="E2535" s="2">
        <v>101</v>
      </c>
      <c r="F2535" s="2">
        <v>2067.33</v>
      </c>
    </row>
    <row r="2536" spans="3:6" x14ac:dyDescent="0.25">
      <c r="C2536" s="2" t="s">
        <v>9714</v>
      </c>
      <c r="D2536" s="2" t="s">
        <v>82</v>
      </c>
      <c r="E2536" s="2">
        <v>40</v>
      </c>
      <c r="F2536" s="2">
        <v>821.96</v>
      </c>
    </row>
    <row r="2537" spans="3:6" x14ac:dyDescent="0.25">
      <c r="C2537" s="2" t="s">
        <v>9715</v>
      </c>
      <c r="D2537" s="2" t="s">
        <v>82</v>
      </c>
      <c r="E2537" s="2">
        <v>90</v>
      </c>
      <c r="F2537" s="2">
        <v>1860.97</v>
      </c>
    </row>
    <row r="2538" spans="3:6" x14ac:dyDescent="0.25">
      <c r="C2538" s="2" t="s">
        <v>9716</v>
      </c>
      <c r="D2538" s="2" t="s">
        <v>82</v>
      </c>
      <c r="E2538" s="2">
        <v>34</v>
      </c>
      <c r="F2538" s="2">
        <v>690.12</v>
      </c>
    </row>
    <row r="2539" spans="3:6" x14ac:dyDescent="0.25">
      <c r="C2539" s="2" t="s">
        <v>9717</v>
      </c>
      <c r="D2539" s="2" t="s">
        <v>82</v>
      </c>
      <c r="E2539" s="2">
        <v>17</v>
      </c>
      <c r="F2539" s="2">
        <v>349.3</v>
      </c>
    </row>
    <row r="2540" spans="3:6" x14ac:dyDescent="0.25">
      <c r="C2540" s="2" t="s">
        <v>9718</v>
      </c>
      <c r="D2540" s="2" t="s">
        <v>82</v>
      </c>
      <c r="E2540" s="2">
        <v>33</v>
      </c>
      <c r="F2540" s="2">
        <v>631.3</v>
      </c>
    </row>
    <row r="2541" spans="3:6" x14ac:dyDescent="0.25">
      <c r="C2541" s="2" t="s">
        <v>9719</v>
      </c>
      <c r="D2541" s="2" t="s">
        <v>82</v>
      </c>
      <c r="E2541" s="2">
        <v>40</v>
      </c>
      <c r="F2541" s="2">
        <v>861.45</v>
      </c>
    </row>
    <row r="2542" spans="3:6" x14ac:dyDescent="0.25">
      <c r="C2542" s="2" t="s">
        <v>9720</v>
      </c>
      <c r="D2542" s="2" t="s">
        <v>82</v>
      </c>
      <c r="E2542" s="2">
        <v>28</v>
      </c>
      <c r="F2542" s="2">
        <v>516.71</v>
      </c>
    </row>
    <row r="2543" spans="3:6" x14ac:dyDescent="0.25">
      <c r="C2543" s="2" t="s">
        <v>9721</v>
      </c>
      <c r="D2543" s="2" t="s">
        <v>82</v>
      </c>
      <c r="E2543" s="2">
        <v>23</v>
      </c>
      <c r="F2543" s="2">
        <v>387.31</v>
      </c>
    </row>
    <row r="2544" spans="3:6" x14ac:dyDescent="0.25">
      <c r="C2544" s="2" t="s">
        <v>9722</v>
      </c>
      <c r="D2544" s="2" t="s">
        <v>82</v>
      </c>
      <c r="E2544" s="2">
        <v>8</v>
      </c>
      <c r="F2544" s="2">
        <v>140.059</v>
      </c>
    </row>
    <row r="2545" spans="3:6" x14ac:dyDescent="0.25">
      <c r="C2545" s="2" t="s">
        <v>9723</v>
      </c>
      <c r="D2545" s="2" t="s">
        <v>82</v>
      </c>
      <c r="E2545" s="2">
        <v>9</v>
      </c>
      <c r="F2545" s="2">
        <v>165.56</v>
      </c>
    </row>
    <row r="2546" spans="3:6" x14ac:dyDescent="0.25">
      <c r="C2546" s="2" t="s">
        <v>9724</v>
      </c>
      <c r="D2546" s="2" t="s">
        <v>82</v>
      </c>
      <c r="E2546" s="2">
        <v>100</v>
      </c>
      <c r="F2546" s="2">
        <v>2028.72</v>
      </c>
    </row>
    <row r="2547" spans="3:6" x14ac:dyDescent="0.25">
      <c r="C2547" s="2" t="s">
        <v>9725</v>
      </c>
      <c r="D2547" s="2" t="s">
        <v>82</v>
      </c>
      <c r="E2547" s="2">
        <v>80</v>
      </c>
      <c r="F2547" s="2">
        <v>1582.32</v>
      </c>
    </row>
    <row r="2548" spans="3:6" x14ac:dyDescent="0.25">
      <c r="C2548" s="2" t="s">
        <v>9726</v>
      </c>
      <c r="D2548" s="2" t="s">
        <v>82</v>
      </c>
      <c r="E2548" s="2">
        <v>20</v>
      </c>
      <c r="F2548" s="2">
        <v>380.85</v>
      </c>
    </row>
    <row r="2549" spans="3:6" x14ac:dyDescent="0.25">
      <c r="C2549" s="2" t="s">
        <v>9727</v>
      </c>
      <c r="D2549" s="2" t="s">
        <v>82</v>
      </c>
      <c r="E2549" s="2">
        <v>70</v>
      </c>
      <c r="F2549" s="2">
        <v>1412.36</v>
      </c>
    </row>
    <row r="2550" spans="3:6" x14ac:dyDescent="0.25">
      <c r="C2550" s="2" t="s">
        <v>9728</v>
      </c>
      <c r="D2550" s="2" t="s">
        <v>82</v>
      </c>
      <c r="E2550" s="2">
        <v>30</v>
      </c>
      <c r="F2550" s="2">
        <v>597.27</v>
      </c>
    </row>
    <row r="2551" spans="3:6" x14ac:dyDescent="0.25">
      <c r="C2551" s="2" t="s">
        <v>9729</v>
      </c>
      <c r="D2551" s="2" t="s">
        <v>82</v>
      </c>
      <c r="E2551" s="2">
        <v>60</v>
      </c>
      <c r="F2551" s="2">
        <v>1158.37</v>
      </c>
    </row>
    <row r="2552" spans="3:6" x14ac:dyDescent="0.25">
      <c r="C2552" s="2" t="s">
        <v>9730</v>
      </c>
      <c r="D2552" s="2" t="s">
        <v>82</v>
      </c>
      <c r="E2552" s="2">
        <v>40</v>
      </c>
      <c r="F2552" s="2">
        <v>828.48</v>
      </c>
    </row>
    <row r="2553" spans="3:6" x14ac:dyDescent="0.25">
      <c r="C2553" s="2" t="s">
        <v>9731</v>
      </c>
      <c r="D2553" s="2" t="s">
        <v>82</v>
      </c>
      <c r="E2553" s="2">
        <v>70</v>
      </c>
      <c r="F2553" s="2">
        <v>1454.53</v>
      </c>
    </row>
    <row r="2554" spans="3:6" x14ac:dyDescent="0.25">
      <c r="C2554" s="2" t="s">
        <v>9732</v>
      </c>
      <c r="D2554" s="2" t="s">
        <v>82</v>
      </c>
      <c r="E2554" s="2">
        <v>30</v>
      </c>
      <c r="F2554" s="2">
        <v>608.4</v>
      </c>
    </row>
    <row r="2556" spans="1:7" x14ac:dyDescent="0.25">
      <c r="A2556" s="1">
        <v>46165</v>
      </c>
      <c r="B2556" s="2" t="s">
        <v>1012</v>
      </c>
      <c r="C2556" s="2" t="s">
        <v>9733</v>
      </c>
      <c r="D2556" s="2" t="s">
        <v>73</v>
      </c>
      <c r="E2556" s="2">
        <v>96</v>
      </c>
      <c r="F2556" s="2">
        <v>1929.77</v>
      </c>
      <c r="G2556" s="1">
        <v>46163</v>
      </c>
    </row>
    <row r="2557" spans="3:6" x14ac:dyDescent="0.25">
      <c r="C2557" s="2" t="s">
        <v>9734</v>
      </c>
      <c r="D2557" s="2" t="s">
        <v>73</v>
      </c>
      <c r="E2557" s="2">
        <v>42</v>
      </c>
      <c r="F2557" s="2">
        <v>885.97</v>
      </c>
    </row>
    <row r="2558" spans="3:6" x14ac:dyDescent="0.25">
      <c r="C2558" s="2" t="s">
        <v>9735</v>
      </c>
      <c r="D2558" s="2" t="s">
        <v>73</v>
      </c>
      <c r="E2558" s="2">
        <v>16</v>
      </c>
      <c r="F2558" s="2">
        <v>281.77</v>
      </c>
    </row>
    <row r="2559" spans="3:6" x14ac:dyDescent="0.25">
      <c r="C2559" s="2" t="s">
        <v>9736</v>
      </c>
      <c r="D2559" s="2" t="s">
        <v>73</v>
      </c>
      <c r="E2559" s="2">
        <v>33</v>
      </c>
      <c r="F2559" s="2">
        <v>609.84</v>
      </c>
    </row>
    <row r="2561" spans="1:7" x14ac:dyDescent="0.25">
      <c r="A2561" s="1">
        <v>46165</v>
      </c>
      <c r="B2561" s="2" t="s">
        <v>4335</v>
      </c>
      <c r="C2561" s="2" t="s">
        <v>9737</v>
      </c>
      <c r="D2561" s="2" t="s">
        <v>82</v>
      </c>
      <c r="E2561" s="2">
        <v>145</v>
      </c>
      <c r="F2561" s="2">
        <v>1876.52</v>
      </c>
      <c r="G2561" s="1">
        <v>46164</v>
      </c>
    </row>
    <row r="2562" spans="3:6" x14ac:dyDescent="0.25">
      <c r="C2562" s="2" t="s">
        <v>9738</v>
      </c>
      <c r="D2562" s="2" t="s">
        <v>82</v>
      </c>
      <c r="E2562" s="2">
        <v>87</v>
      </c>
      <c r="F2562" s="2">
        <v>2635.225</v>
      </c>
    </row>
    <row r="2563" spans="3:6" x14ac:dyDescent="0.25">
      <c r="C2563" s="2" t="s">
        <v>9739</v>
      </c>
      <c r="D2563" s="2" t="s">
        <v>82</v>
      </c>
      <c r="E2563" s="2">
        <v>78</v>
      </c>
      <c r="F2563" s="2">
        <v>1939.577</v>
      </c>
    </row>
    <row r="2564" spans="3:6" x14ac:dyDescent="0.25">
      <c r="C2564" s="2" t="s">
        <v>9740</v>
      </c>
      <c r="D2564" s="2" t="s">
        <v>82</v>
      </c>
      <c r="E2564" s="2">
        <v>89</v>
      </c>
      <c r="F2564" s="2">
        <v>1643.42</v>
      </c>
    </row>
    <row r="2565" spans="3:6" x14ac:dyDescent="0.25">
      <c r="C2565" s="2" t="s">
        <v>9741</v>
      </c>
      <c r="D2565" s="2" t="s">
        <v>82</v>
      </c>
      <c r="E2565" s="2">
        <v>50</v>
      </c>
      <c r="F2565" s="2">
        <v>1049.15</v>
      </c>
    </row>
    <row r="2566" spans="3:6" x14ac:dyDescent="0.25">
      <c r="C2566" s="2" t="s">
        <v>9742</v>
      </c>
      <c r="D2566" s="2" t="s">
        <v>82</v>
      </c>
      <c r="E2566" s="2">
        <v>15</v>
      </c>
      <c r="F2566" s="2">
        <v>275.88</v>
      </c>
    </row>
    <row r="2567" spans="3:6" x14ac:dyDescent="0.25">
      <c r="C2567" s="2" t="s">
        <v>9743</v>
      </c>
      <c r="D2567" s="2" t="s">
        <v>82</v>
      </c>
      <c r="E2567" s="2">
        <v>37</v>
      </c>
      <c r="F2567" s="2">
        <v>739.24</v>
      </c>
    </row>
    <row r="2568" spans="3:6" x14ac:dyDescent="0.25">
      <c r="C2568" s="2" t="s">
        <v>9744</v>
      </c>
      <c r="D2568" s="2" t="s">
        <v>82</v>
      </c>
      <c r="E2568" s="2">
        <v>102</v>
      </c>
      <c r="F2568" s="2">
        <v>2150.23</v>
      </c>
    </row>
    <row r="2569" spans="3:6" x14ac:dyDescent="0.25">
      <c r="C2569" s="2" t="s">
        <v>9745</v>
      </c>
      <c r="D2569" s="2" t="s">
        <v>82</v>
      </c>
      <c r="E2569" s="2">
        <v>70</v>
      </c>
      <c r="F2569" s="2">
        <v>1429.9</v>
      </c>
    </row>
    <row r="2570" spans="3:6" x14ac:dyDescent="0.25">
      <c r="C2570" s="2" t="s">
        <v>9746</v>
      </c>
      <c r="D2570" s="2" t="s">
        <v>82</v>
      </c>
      <c r="E2570" s="2">
        <v>24</v>
      </c>
      <c r="F2570" s="2">
        <v>167.762</v>
      </c>
    </row>
    <row r="2571" spans="3:6" x14ac:dyDescent="0.25">
      <c r="C2571" s="2" t="s">
        <v>9747</v>
      </c>
      <c r="D2571" s="2" t="s">
        <v>82</v>
      </c>
      <c r="E2571" s="2">
        <v>30</v>
      </c>
      <c r="F2571" s="2">
        <v>547.34</v>
      </c>
    </row>
    <row r="2572" spans="3:6" x14ac:dyDescent="0.25">
      <c r="C2572" s="2" t="s">
        <v>9748</v>
      </c>
      <c r="D2572" s="2" t="s">
        <v>82</v>
      </c>
      <c r="E2572" s="2">
        <v>45</v>
      </c>
      <c r="F2572" s="2">
        <v>913.5</v>
      </c>
    </row>
    <row r="2573" spans="3:6" x14ac:dyDescent="0.25">
      <c r="C2573" s="2" t="s">
        <v>9749</v>
      </c>
      <c r="D2573" s="2" t="s">
        <v>82</v>
      </c>
      <c r="E2573" s="2">
        <v>20</v>
      </c>
      <c r="F2573" s="2">
        <v>395.31</v>
      </c>
    </row>
    <row r="2574" spans="3:6" x14ac:dyDescent="0.25">
      <c r="C2574" s="2" t="s">
        <v>9750</v>
      </c>
      <c r="D2574" s="2" t="s">
        <v>82</v>
      </c>
      <c r="E2574" s="2">
        <v>20</v>
      </c>
      <c r="F2574" s="2">
        <v>411.19</v>
      </c>
    </row>
    <row r="2575" spans="3:6" x14ac:dyDescent="0.25">
      <c r="C2575" s="2" t="s">
        <v>9751</v>
      </c>
      <c r="D2575" s="2" t="s">
        <v>82</v>
      </c>
      <c r="E2575" s="2">
        <v>16</v>
      </c>
      <c r="F2575" s="2">
        <v>320.67</v>
      </c>
    </row>
    <row r="2576" spans="3:6" x14ac:dyDescent="0.25">
      <c r="C2576" s="2" t="s">
        <v>9752</v>
      </c>
      <c r="D2576" s="2" t="s">
        <v>82</v>
      </c>
      <c r="E2576" s="2">
        <v>65</v>
      </c>
      <c r="F2576" s="2">
        <v>469.265</v>
      </c>
    </row>
    <row r="2577" spans="3:6" x14ac:dyDescent="0.25">
      <c r="C2577" s="2" t="s">
        <v>9753</v>
      </c>
      <c r="D2577" s="2" t="s">
        <v>82</v>
      </c>
      <c r="E2577" s="2">
        <v>117</v>
      </c>
      <c r="F2577" s="2">
        <v>1288.72</v>
      </c>
    </row>
    <row r="2578" spans="3:6" x14ac:dyDescent="0.25">
      <c r="C2578" s="2" t="s">
        <v>9754</v>
      </c>
      <c r="D2578" s="2" t="s">
        <v>82</v>
      </c>
      <c r="E2578" s="2">
        <v>109</v>
      </c>
      <c r="F2578" s="2">
        <v>2071.235</v>
      </c>
    </row>
    <row r="2579" spans="3:6" x14ac:dyDescent="0.25">
      <c r="C2579" s="2" t="s">
        <v>9755</v>
      </c>
      <c r="D2579" s="2" t="s">
        <v>82</v>
      </c>
      <c r="E2579" s="2">
        <v>119</v>
      </c>
      <c r="F2579" s="2">
        <v>1677.652</v>
      </c>
    </row>
    <row r="2580" spans="3:6" x14ac:dyDescent="0.25">
      <c r="C2580" s="2" t="s">
        <v>9756</v>
      </c>
      <c r="D2580" s="2" t="s">
        <v>82</v>
      </c>
      <c r="E2580" s="2">
        <v>48</v>
      </c>
      <c r="F2580" s="2">
        <v>986.2</v>
      </c>
    </row>
    <row r="2581" spans="3:6" x14ac:dyDescent="0.25">
      <c r="C2581" s="2" t="s">
        <v>9757</v>
      </c>
      <c r="D2581" s="2" t="s">
        <v>82</v>
      </c>
      <c r="E2581" s="2">
        <v>26</v>
      </c>
      <c r="F2581" s="2">
        <v>481.95</v>
      </c>
    </row>
    <row r="2582" spans="3:6" x14ac:dyDescent="0.25">
      <c r="C2582" s="2" t="s">
        <v>9758</v>
      </c>
      <c r="D2582" s="2" t="s">
        <v>82</v>
      </c>
      <c r="E2582" s="2">
        <v>28</v>
      </c>
      <c r="F2582" s="2">
        <v>568.22</v>
      </c>
    </row>
    <row r="2583" spans="3:6" x14ac:dyDescent="0.25">
      <c r="C2583" s="2" t="s">
        <v>9759</v>
      </c>
      <c r="D2583" s="2" t="s">
        <v>82</v>
      </c>
      <c r="E2583" s="2">
        <v>134</v>
      </c>
      <c r="F2583" s="2">
        <v>2777.72</v>
      </c>
    </row>
    <row r="2584" spans="3:6" x14ac:dyDescent="0.25">
      <c r="C2584" s="2" t="s">
        <v>9760</v>
      </c>
      <c r="D2584" s="2" t="s">
        <v>82</v>
      </c>
      <c r="E2584" s="2">
        <v>141</v>
      </c>
      <c r="F2584" s="2">
        <v>2910.94</v>
      </c>
    </row>
    <row r="2585" spans="3:6" x14ac:dyDescent="0.25">
      <c r="C2585" s="2" t="s">
        <v>9761</v>
      </c>
      <c r="D2585" s="2" t="s">
        <v>82</v>
      </c>
      <c r="E2585" s="2">
        <v>141</v>
      </c>
      <c r="F2585" s="2">
        <v>2851.11</v>
      </c>
    </row>
    <row r="2586" spans="3:6" x14ac:dyDescent="0.25">
      <c r="C2586" s="2" t="s">
        <v>9762</v>
      </c>
      <c r="D2586" s="2" t="s">
        <v>82</v>
      </c>
      <c r="E2586" s="2">
        <v>45</v>
      </c>
      <c r="F2586" s="2">
        <v>189.17</v>
      </c>
    </row>
    <row r="2587" spans="3:6" x14ac:dyDescent="0.25">
      <c r="C2587" s="2" t="s">
        <v>9763</v>
      </c>
      <c r="D2587" s="2" t="s">
        <v>82</v>
      </c>
      <c r="E2587" s="2">
        <v>37</v>
      </c>
      <c r="F2587" s="2">
        <v>156.38</v>
      </c>
    </row>
    <row r="2588" spans="3:6" x14ac:dyDescent="0.25">
      <c r="C2588" s="2" t="s">
        <v>9764</v>
      </c>
      <c r="D2588" s="2" t="s">
        <v>82</v>
      </c>
      <c r="E2588" s="2">
        <v>141</v>
      </c>
      <c r="F2588" s="2">
        <v>2940.51</v>
      </c>
    </row>
    <row r="2589" spans="3:6" x14ac:dyDescent="0.25">
      <c r="C2589" s="2" t="s">
        <v>9765</v>
      </c>
      <c r="D2589" s="2" t="s">
        <v>82</v>
      </c>
      <c r="E2589" s="2">
        <v>141</v>
      </c>
      <c r="F2589" s="2">
        <v>2848.42</v>
      </c>
    </row>
    <row r="2590" spans="3:6" x14ac:dyDescent="0.25">
      <c r="C2590" s="2" t="s">
        <v>9766</v>
      </c>
      <c r="D2590" s="2" t="s">
        <v>82</v>
      </c>
      <c r="E2590" s="2">
        <v>141</v>
      </c>
      <c r="F2590" s="2">
        <v>2811.599</v>
      </c>
    </row>
    <row r="2591" spans="3:6" x14ac:dyDescent="0.25">
      <c r="C2591" s="2" t="s">
        <v>9767</v>
      </c>
      <c r="D2591" s="2" t="s">
        <v>82</v>
      </c>
      <c r="E2591" s="2">
        <v>141</v>
      </c>
      <c r="F2591" s="2">
        <v>2986.61</v>
      </c>
    </row>
    <row r="2592" spans="3:6" x14ac:dyDescent="0.25">
      <c r="C2592" s="2" t="s">
        <v>9768</v>
      </c>
      <c r="D2592" s="2" t="s">
        <v>82</v>
      </c>
      <c r="E2592" s="2">
        <v>141</v>
      </c>
      <c r="F2592" s="2">
        <v>2887.08</v>
      </c>
    </row>
    <row r="2593" spans="3:6" x14ac:dyDescent="0.25">
      <c r="C2593" s="2" t="s">
        <v>9769</v>
      </c>
      <c r="D2593" s="2" t="s">
        <v>82</v>
      </c>
      <c r="E2593" s="2">
        <v>120</v>
      </c>
      <c r="F2593" s="2">
        <v>2420.62</v>
      </c>
    </row>
    <row r="2594" spans="3:6" x14ac:dyDescent="0.25">
      <c r="C2594" s="2" t="s">
        <v>9770</v>
      </c>
      <c r="D2594" s="2" t="s">
        <v>82</v>
      </c>
      <c r="E2594" s="2">
        <v>21</v>
      </c>
      <c r="F2594" s="2">
        <v>448.43</v>
      </c>
    </row>
    <row r="2595" spans="3:6" x14ac:dyDescent="0.25">
      <c r="C2595" s="2" t="s">
        <v>9771</v>
      </c>
      <c r="D2595" s="2" t="s">
        <v>82</v>
      </c>
      <c r="E2595" s="2">
        <v>40</v>
      </c>
      <c r="F2595" s="2">
        <v>770.52</v>
      </c>
    </row>
    <row r="2596" spans="3:6" x14ac:dyDescent="0.25">
      <c r="C2596" s="2" t="s">
        <v>9772</v>
      </c>
      <c r="D2596" s="2" t="s">
        <v>82</v>
      </c>
      <c r="E2596" s="2">
        <v>32</v>
      </c>
      <c r="F2596" s="2">
        <v>639.37</v>
      </c>
    </row>
    <row r="2597" spans="3:6" x14ac:dyDescent="0.25">
      <c r="C2597" s="2" t="s">
        <v>9773</v>
      </c>
      <c r="D2597" s="2" t="s">
        <v>82</v>
      </c>
      <c r="E2597" s="2">
        <v>30</v>
      </c>
      <c r="F2597" s="2">
        <v>605.63</v>
      </c>
    </row>
    <row r="2599" spans="1:7" x14ac:dyDescent="0.25">
      <c r="A2599" s="1">
        <v>46165</v>
      </c>
      <c r="B2599" s="2" t="s">
        <v>7</v>
      </c>
      <c r="C2599" s="2" t="s">
        <v>9774</v>
      </c>
      <c r="D2599" s="2" t="s">
        <v>9</v>
      </c>
      <c r="E2599" s="2">
        <v>98</v>
      </c>
      <c r="F2599" s="2">
        <v>1527.915</v>
      </c>
      <c r="G2599" s="1">
        <v>46164</v>
      </c>
    </row>
    <row r="2600" spans="3:6" x14ac:dyDescent="0.25">
      <c r="C2600" s="2" t="s">
        <v>9775</v>
      </c>
      <c r="D2600" s="2" t="s">
        <v>9</v>
      </c>
      <c r="E2600" s="2">
        <v>99</v>
      </c>
      <c r="F2600" s="2">
        <v>1958.98</v>
      </c>
    </row>
    <row r="2602" spans="1:6" x14ac:dyDescent="0.25">
      <c r="A2602" s="1">
        <v>46165</v>
      </c>
      <c r="B2602" s="2" t="s">
        <v>2368</v>
      </c>
      <c r="C2602" s="2" t="s">
        <v>9776</v>
      </c>
      <c r="D2602" s="2" t="s">
        <v>292</v>
      </c>
      <c r="E2602" s="2">
        <v>105</v>
      </c>
      <c r="F2602" s="2">
        <v>2093.8</v>
      </c>
    </row>
    <row r="2604" spans="1:7" x14ac:dyDescent="0.25">
      <c r="A2604" s="1">
        <v>46165</v>
      </c>
      <c r="B2604" s="2" t="s">
        <v>12</v>
      </c>
      <c r="C2604" s="2" t="s">
        <v>9777</v>
      </c>
      <c r="D2604" s="2" t="s">
        <v>26</v>
      </c>
      <c r="E2604" s="2">
        <v>156</v>
      </c>
      <c r="F2604" s="2">
        <v>3017.1</v>
      </c>
      <c r="G2604" s="1">
        <v>46165</v>
      </c>
    </row>
    <row r="2605" spans="3:6" x14ac:dyDescent="0.25">
      <c r="C2605" s="2" t="s">
        <v>9778</v>
      </c>
      <c r="D2605" s="2" t="s">
        <v>26</v>
      </c>
      <c r="E2605" s="2">
        <v>156</v>
      </c>
      <c r="F2605" s="2">
        <v>3125.019</v>
      </c>
    </row>
    <row r="2606" spans="3:6" x14ac:dyDescent="0.25">
      <c r="C2606" s="2" t="s">
        <v>9779</v>
      </c>
      <c r="D2606" s="2" t="s">
        <v>26</v>
      </c>
      <c r="E2606" s="2">
        <v>156</v>
      </c>
      <c r="F2606" s="2">
        <v>2987.2</v>
      </c>
    </row>
    <row r="2607" spans="3:6" x14ac:dyDescent="0.25">
      <c r="C2607" s="2" t="s">
        <v>9780</v>
      </c>
      <c r="D2607" s="2" t="s">
        <v>15</v>
      </c>
      <c r="E2607" s="2">
        <v>42</v>
      </c>
      <c r="F2607" s="2">
        <v>818.7</v>
      </c>
    </row>
    <row r="2608" spans="3:6" x14ac:dyDescent="0.25">
      <c r="C2608" s="2" t="s">
        <v>9781</v>
      </c>
      <c r="D2608" s="2" t="s">
        <v>15</v>
      </c>
      <c r="E2608" s="2">
        <v>105</v>
      </c>
      <c r="F2608" s="2">
        <v>2058.699</v>
      </c>
    </row>
    <row r="2609" spans="3:6" x14ac:dyDescent="0.25">
      <c r="C2609" s="2" t="s">
        <v>9782</v>
      </c>
      <c r="D2609" s="2" t="s">
        <v>15</v>
      </c>
      <c r="E2609" s="2">
        <v>76</v>
      </c>
      <c r="F2609" s="2">
        <v>1424.559</v>
      </c>
    </row>
    <row r="2610" spans="3:6" x14ac:dyDescent="0.25">
      <c r="C2610" s="2" t="s">
        <v>9783</v>
      </c>
      <c r="D2610" s="2" t="s">
        <v>15</v>
      </c>
      <c r="E2610" s="2">
        <v>87</v>
      </c>
      <c r="F2610" s="2">
        <v>1619.7</v>
      </c>
    </row>
    <row r="2611" spans="3:6" x14ac:dyDescent="0.25">
      <c r="C2611" s="2" t="s">
        <v>9784</v>
      </c>
      <c r="D2611" s="2" t="s">
        <v>36</v>
      </c>
      <c r="E2611" s="2">
        <v>45</v>
      </c>
      <c r="F2611" s="2">
        <v>865.609</v>
      </c>
    </row>
    <row r="2612" spans="3:6" x14ac:dyDescent="0.25">
      <c r="C2612" s="2" t="s">
        <v>9785</v>
      </c>
      <c r="D2612" s="2" t="s">
        <v>36</v>
      </c>
      <c r="E2612" s="2">
        <v>60</v>
      </c>
      <c r="F2612" s="2">
        <v>1174.599</v>
      </c>
    </row>
    <row r="2613" spans="3:6" x14ac:dyDescent="0.25">
      <c r="C2613" s="2" t="s">
        <v>9786</v>
      </c>
      <c r="D2613" s="2" t="s">
        <v>26</v>
      </c>
      <c r="E2613" s="2">
        <v>156</v>
      </c>
      <c r="F2613" s="2">
        <v>3176.8</v>
      </c>
    </row>
    <row r="2614" spans="3:6" x14ac:dyDescent="0.25">
      <c r="C2614" s="2" t="s">
        <v>9787</v>
      </c>
      <c r="D2614" s="2" t="s">
        <v>26</v>
      </c>
      <c r="E2614" s="2">
        <v>156</v>
      </c>
      <c r="F2614" s="2">
        <v>2994.93</v>
      </c>
    </row>
    <row r="2615" spans="3:6" x14ac:dyDescent="0.25">
      <c r="C2615" s="2" t="s">
        <v>9788</v>
      </c>
      <c r="D2615" s="2" t="s">
        <v>15</v>
      </c>
      <c r="E2615" s="2">
        <v>105</v>
      </c>
      <c r="F2615" s="2">
        <v>2115.53</v>
      </c>
    </row>
    <row r="2616" spans="3:6" x14ac:dyDescent="0.25">
      <c r="C2616" s="2" t="s">
        <v>9789</v>
      </c>
      <c r="D2616" s="2" t="s">
        <v>15</v>
      </c>
      <c r="E2616" s="2">
        <v>105</v>
      </c>
      <c r="F2616" s="2">
        <v>2074.07</v>
      </c>
    </row>
    <row r="2617" spans="3:6" x14ac:dyDescent="0.25">
      <c r="C2617" s="2" t="s">
        <v>9790</v>
      </c>
      <c r="D2617" s="2" t="s">
        <v>42</v>
      </c>
      <c r="E2617" s="2">
        <v>33</v>
      </c>
      <c r="F2617" s="2">
        <v>632.95</v>
      </c>
    </row>
    <row r="2618" spans="3:6" x14ac:dyDescent="0.25">
      <c r="C2618" s="2" t="s">
        <v>9791</v>
      </c>
      <c r="D2618" s="2" t="s">
        <v>42</v>
      </c>
      <c r="E2618" s="2">
        <v>23</v>
      </c>
      <c r="F2618" s="2">
        <v>459.437</v>
      </c>
    </row>
    <row r="2619" spans="3:6" x14ac:dyDescent="0.25">
      <c r="C2619" s="2" t="s">
        <v>9792</v>
      </c>
      <c r="D2619" s="2" t="s">
        <v>42</v>
      </c>
      <c r="E2619" s="2">
        <v>100</v>
      </c>
      <c r="F2619" s="2">
        <v>1912.11</v>
      </c>
    </row>
    <row r="2620" spans="3:6" x14ac:dyDescent="0.25">
      <c r="C2620" s="2" t="s">
        <v>9793</v>
      </c>
      <c r="D2620" s="2" t="s">
        <v>30</v>
      </c>
      <c r="E2620" s="2">
        <v>134</v>
      </c>
      <c r="F2620" s="2">
        <v>2676.82</v>
      </c>
    </row>
    <row r="2621" spans="3:6" x14ac:dyDescent="0.25">
      <c r="C2621" s="2" t="s">
        <v>9794</v>
      </c>
      <c r="D2621" s="2" t="s">
        <v>30</v>
      </c>
      <c r="E2621" s="2">
        <v>134</v>
      </c>
      <c r="F2621" s="2">
        <v>2651.05</v>
      </c>
    </row>
    <row r="2622" spans="3:6" x14ac:dyDescent="0.25">
      <c r="C2622" s="2" t="s">
        <v>9795</v>
      </c>
      <c r="D2622" s="2" t="s">
        <v>30</v>
      </c>
      <c r="E2622" s="2">
        <v>95</v>
      </c>
      <c r="F2622" s="2">
        <v>1812.23</v>
      </c>
    </row>
    <row r="2623" spans="3:6" x14ac:dyDescent="0.25">
      <c r="C2623" s="2" t="s">
        <v>9796</v>
      </c>
      <c r="D2623" s="2" t="s">
        <v>15</v>
      </c>
      <c r="E2623" s="2">
        <v>163</v>
      </c>
      <c r="F2623" s="2">
        <v>3147.49</v>
      </c>
    </row>
    <row r="2624" spans="3:6" x14ac:dyDescent="0.25">
      <c r="C2624" s="2" t="s">
        <v>9797</v>
      </c>
      <c r="D2624" s="2" t="s">
        <v>15</v>
      </c>
      <c r="E2624" s="2">
        <v>156</v>
      </c>
      <c r="F2624" s="2">
        <v>627.577</v>
      </c>
    </row>
    <row r="2625" spans="3:6" x14ac:dyDescent="0.25">
      <c r="C2625" s="2" t="s">
        <v>9798</v>
      </c>
      <c r="D2625" s="2" t="s">
        <v>15</v>
      </c>
      <c r="E2625" s="2">
        <v>134</v>
      </c>
      <c r="F2625" s="2">
        <v>2667.6</v>
      </c>
    </row>
    <row r="2626" spans="3:6" x14ac:dyDescent="0.25">
      <c r="C2626" s="2" t="s">
        <v>9799</v>
      </c>
      <c r="D2626" s="2" t="s">
        <v>15</v>
      </c>
      <c r="E2626" s="2">
        <v>134</v>
      </c>
      <c r="F2626" s="2">
        <v>2658.01</v>
      </c>
    </row>
    <row r="2627" spans="3:6" x14ac:dyDescent="0.25">
      <c r="C2627" s="2" t="s">
        <v>9800</v>
      </c>
      <c r="D2627" s="2" t="s">
        <v>15</v>
      </c>
      <c r="E2627" s="2">
        <v>134</v>
      </c>
      <c r="F2627" s="2">
        <v>2681.35</v>
      </c>
    </row>
    <row r="2628" spans="3:6" x14ac:dyDescent="0.25">
      <c r="C2628" s="2" t="s">
        <v>9801</v>
      </c>
      <c r="D2628" s="2" t="s">
        <v>15</v>
      </c>
      <c r="E2628" s="2">
        <v>32</v>
      </c>
      <c r="F2628" s="2">
        <v>626.55</v>
      </c>
    </row>
    <row r="2629" spans="3:6" x14ac:dyDescent="0.25">
      <c r="C2629" s="2" t="s">
        <v>9802</v>
      </c>
      <c r="D2629" s="2" t="s">
        <v>15</v>
      </c>
      <c r="E2629" s="2">
        <v>105</v>
      </c>
      <c r="F2629" s="2">
        <v>2027.79</v>
      </c>
    </row>
    <row r="2630" spans="3:6" x14ac:dyDescent="0.25">
      <c r="C2630" s="2" t="s">
        <v>9803</v>
      </c>
      <c r="D2630" s="2" t="s">
        <v>15</v>
      </c>
      <c r="E2630" s="2">
        <v>156</v>
      </c>
      <c r="F2630" s="2">
        <v>1077.593</v>
      </c>
    </row>
    <row r="2631" spans="3:6" x14ac:dyDescent="0.25">
      <c r="C2631" s="2" t="s">
        <v>9804</v>
      </c>
      <c r="D2631" s="2" t="s">
        <v>15</v>
      </c>
      <c r="E2631" s="2">
        <v>156</v>
      </c>
      <c r="F2631" s="2">
        <v>896.862</v>
      </c>
    </row>
    <row r="2632" spans="3:6" x14ac:dyDescent="0.25">
      <c r="C2632" s="2" t="s">
        <v>9805</v>
      </c>
      <c r="D2632" s="2" t="s">
        <v>15</v>
      </c>
      <c r="E2632" s="2">
        <v>163</v>
      </c>
      <c r="F2632" s="2">
        <v>3134.539</v>
      </c>
    </row>
    <row r="2633" spans="3:6" x14ac:dyDescent="0.25">
      <c r="C2633" s="2" t="s">
        <v>9806</v>
      </c>
      <c r="D2633" s="2" t="s">
        <v>15</v>
      </c>
      <c r="E2633" s="2">
        <v>163</v>
      </c>
      <c r="F2633" s="2">
        <v>3126.66</v>
      </c>
    </row>
    <row r="2634" spans="3:6" x14ac:dyDescent="0.25">
      <c r="C2634" s="2" t="s">
        <v>9807</v>
      </c>
      <c r="D2634" s="2" t="s">
        <v>15</v>
      </c>
      <c r="E2634" s="2">
        <v>163</v>
      </c>
      <c r="F2634" s="2">
        <v>3115.56</v>
      </c>
    </row>
    <row r="2635" spans="3:6" x14ac:dyDescent="0.25">
      <c r="C2635" s="2" t="s">
        <v>9808</v>
      </c>
      <c r="D2635" s="2" t="s">
        <v>15</v>
      </c>
      <c r="E2635" s="2">
        <v>163</v>
      </c>
      <c r="F2635" s="2">
        <v>3149.11</v>
      </c>
    </row>
    <row r="2636" spans="3:6" x14ac:dyDescent="0.25">
      <c r="C2636" s="2" t="s">
        <v>9809</v>
      </c>
      <c r="D2636" s="2" t="s">
        <v>30</v>
      </c>
      <c r="E2636" s="2">
        <v>134</v>
      </c>
      <c r="F2636" s="2">
        <v>2686.819</v>
      </c>
    </row>
    <row r="2637" spans="3:6" x14ac:dyDescent="0.25">
      <c r="C2637" s="2" t="s">
        <v>9810</v>
      </c>
      <c r="D2637" s="2" t="s">
        <v>15</v>
      </c>
      <c r="E2637" s="2">
        <v>105</v>
      </c>
      <c r="F2637" s="2">
        <v>2136.98</v>
      </c>
    </row>
    <row r="2638" spans="3:6" x14ac:dyDescent="0.25">
      <c r="C2638" s="2" t="s">
        <v>9811</v>
      </c>
      <c r="D2638" s="2" t="s">
        <v>36</v>
      </c>
      <c r="E2638" s="2">
        <v>76</v>
      </c>
      <c r="F2638" s="2">
        <v>1408.64</v>
      </c>
    </row>
    <row r="2639" spans="3:6" x14ac:dyDescent="0.25">
      <c r="C2639" s="2" t="s">
        <v>9812</v>
      </c>
      <c r="D2639" s="2" t="s">
        <v>36</v>
      </c>
      <c r="E2639" s="2">
        <v>80</v>
      </c>
      <c r="F2639" s="2">
        <v>1448.93</v>
      </c>
    </row>
    <row r="2640" spans="3:6" x14ac:dyDescent="0.25">
      <c r="C2640" s="2" t="s">
        <v>9503</v>
      </c>
      <c r="D2640" s="2" t="s">
        <v>15</v>
      </c>
      <c r="E2640" s="2">
        <v>105</v>
      </c>
      <c r="F2640" s="2">
        <v>712.086</v>
      </c>
    </row>
    <row r="2641" spans="3:6" x14ac:dyDescent="0.25">
      <c r="C2641" s="2" t="s">
        <v>9813</v>
      </c>
      <c r="D2641" s="2" t="s">
        <v>15</v>
      </c>
      <c r="E2641" s="2">
        <v>73</v>
      </c>
      <c r="F2641" s="2" t="s">
        <v>4167</v>
      </c>
    </row>
    <row r="2643" spans="2:7" x14ac:dyDescent="0.25">
      <c r="B2643" s="2" t="s">
        <v>48</v>
      </c>
      <c r="C2643" s="2" t="s">
        <v>9814</v>
      </c>
      <c r="D2643" s="2" t="s">
        <v>26</v>
      </c>
      <c r="E2643" s="2">
        <v>156</v>
      </c>
      <c r="F2643" s="2">
        <v>2464</v>
      </c>
      <c r="G2643" s="1">
        <v>46165</v>
      </c>
    </row>
    <row r="2644" spans="3:6" x14ac:dyDescent="0.25">
      <c r="C2644" s="2" t="s">
        <v>9815</v>
      </c>
      <c r="D2644" s="2" t="s">
        <v>30</v>
      </c>
      <c r="E2644" s="2">
        <v>105</v>
      </c>
      <c r="F2644" s="2">
        <v>181</v>
      </c>
    </row>
    <row r="2645" spans="3:6" x14ac:dyDescent="0.25">
      <c r="C2645" s="2" t="s">
        <v>9816</v>
      </c>
      <c r="D2645" s="2" t="s">
        <v>30</v>
      </c>
      <c r="E2645" s="2">
        <v>13</v>
      </c>
      <c r="F2645" s="2">
        <v>1509</v>
      </c>
    </row>
    <row r="2646" spans="3:6" x14ac:dyDescent="0.25">
      <c r="C2646" s="2" t="s">
        <v>9817</v>
      </c>
      <c r="D2646" s="2" t="s">
        <v>30</v>
      </c>
      <c r="E2646" s="2">
        <v>143</v>
      </c>
      <c r="F2646" s="2">
        <v>1910</v>
      </c>
    </row>
    <row r="2647" spans="3:6" x14ac:dyDescent="0.25">
      <c r="C2647" s="2" t="s">
        <v>9818</v>
      </c>
      <c r="D2647" s="2" t="s">
        <v>26</v>
      </c>
      <c r="E2647" s="2">
        <v>105</v>
      </c>
      <c r="F2647" s="2">
        <v>2720</v>
      </c>
    </row>
    <row r="2648" spans="3:6" x14ac:dyDescent="0.25">
      <c r="C2648" s="2" t="s">
        <v>9819</v>
      </c>
      <c r="D2648" s="2" t="s">
        <v>26</v>
      </c>
      <c r="E2648" s="2">
        <v>156</v>
      </c>
      <c r="F2648" s="2">
        <v>2770</v>
      </c>
    </row>
    <row r="2650" spans="1:7" x14ac:dyDescent="0.25">
      <c r="A2650" s="1">
        <v>46165</v>
      </c>
      <c r="B2650" s="2" t="s">
        <v>57</v>
      </c>
      <c r="C2650" s="2" t="s">
        <v>9820</v>
      </c>
      <c r="D2650" s="2" t="s">
        <v>59</v>
      </c>
      <c r="E2650" s="2">
        <v>163</v>
      </c>
      <c r="F2650" s="2">
        <v>3125.708</v>
      </c>
      <c r="G2650" s="1">
        <v>46164</v>
      </c>
    </row>
    <row r="2651" spans="3:6" x14ac:dyDescent="0.25">
      <c r="C2651" s="2" t="s">
        <v>9821</v>
      </c>
      <c r="D2651" s="2" t="s">
        <v>59</v>
      </c>
      <c r="E2651" s="2">
        <v>159</v>
      </c>
      <c r="F2651" s="2">
        <v>3047.939</v>
      </c>
    </row>
    <row r="2652" spans="3:6" x14ac:dyDescent="0.25">
      <c r="C2652" s="2" t="s">
        <v>9822</v>
      </c>
      <c r="D2652" s="2" t="s">
        <v>59</v>
      </c>
      <c r="E2652" s="2">
        <v>98</v>
      </c>
      <c r="F2652" s="2">
        <v>1984</v>
      </c>
    </row>
    <row r="2653" spans="3:6" x14ac:dyDescent="0.25">
      <c r="C2653" s="2" t="s">
        <v>9823</v>
      </c>
      <c r="D2653" s="2" t="s">
        <v>59</v>
      </c>
      <c r="E2653" s="2">
        <v>250</v>
      </c>
      <c r="F2653" s="2">
        <v>4258.113</v>
      </c>
    </row>
    <row r="2654" spans="3:6" x14ac:dyDescent="0.25">
      <c r="C2654" s="2" t="s">
        <v>9824</v>
      </c>
      <c r="D2654" s="2" t="s">
        <v>59</v>
      </c>
      <c r="E2654" s="2">
        <v>294</v>
      </c>
      <c r="F2654" s="2">
        <v>6249.219</v>
      </c>
    </row>
    <row r="2655" spans="3:6" x14ac:dyDescent="0.25">
      <c r="C2655" s="2" t="s">
        <v>9825</v>
      </c>
      <c r="D2655" s="2" t="s">
        <v>59</v>
      </c>
      <c r="E2655" s="2">
        <v>269</v>
      </c>
      <c r="F2655" s="2">
        <v>5178.531</v>
      </c>
    </row>
    <row r="2656" spans="3:6" x14ac:dyDescent="0.25">
      <c r="C2656" s="2" t="s">
        <v>9826</v>
      </c>
      <c r="D2656" s="2" t="s">
        <v>59</v>
      </c>
      <c r="E2656" s="2">
        <v>223</v>
      </c>
      <c r="F2656" s="2">
        <v>4864.79</v>
      </c>
    </row>
    <row r="2657" spans="3:6" x14ac:dyDescent="0.25">
      <c r="C2657" s="2" t="s">
        <v>9553</v>
      </c>
      <c r="D2657" s="2" t="s">
        <v>59</v>
      </c>
      <c r="E2657" s="2">
        <v>275</v>
      </c>
      <c r="F2657" s="2">
        <v>5976</v>
      </c>
    </row>
    <row r="2658" spans="3:6" x14ac:dyDescent="0.25">
      <c r="C2658" s="2" t="s">
        <v>9552</v>
      </c>
      <c r="D2658" s="2" t="s">
        <v>59</v>
      </c>
      <c r="E2658" s="2">
        <v>328</v>
      </c>
      <c r="F2658" s="2">
        <v>5800</v>
      </c>
    </row>
    <row r="2659" spans="3:6" x14ac:dyDescent="0.25">
      <c r="C2659" s="2" t="s">
        <v>9827</v>
      </c>
      <c r="D2659" s="2" t="s">
        <v>59</v>
      </c>
      <c r="E2659" s="2">
        <v>105</v>
      </c>
      <c r="F2659" s="2">
        <v>2000.88</v>
      </c>
    </row>
    <row r="2660" spans="3:6" x14ac:dyDescent="0.25">
      <c r="C2660" s="2" t="s">
        <v>9828</v>
      </c>
      <c r="D2660" s="2" t="s">
        <v>59</v>
      </c>
      <c r="E2660" s="2">
        <v>268</v>
      </c>
      <c r="F2660" s="2">
        <v>5059.179</v>
      </c>
    </row>
    <row r="2661" spans="3:6" x14ac:dyDescent="0.25">
      <c r="C2661" s="2" t="s">
        <v>9829</v>
      </c>
      <c r="D2661" s="2" t="s">
        <v>59</v>
      </c>
      <c r="E2661" s="2">
        <v>163</v>
      </c>
      <c r="F2661" s="2">
        <v>3162.429</v>
      </c>
    </row>
    <row r="2662" spans="3:6" x14ac:dyDescent="0.25">
      <c r="C2662" s="2" t="s">
        <v>9830</v>
      </c>
      <c r="D2662" s="2" t="s">
        <v>59</v>
      </c>
      <c r="E2662" s="2">
        <v>106</v>
      </c>
      <c r="F2662" s="2">
        <v>2001.399</v>
      </c>
    </row>
    <row r="2664" spans="1:7" x14ac:dyDescent="0.25">
      <c r="A2664" s="1">
        <v>46166</v>
      </c>
      <c r="B2664" s="2" t="s">
        <v>1032</v>
      </c>
      <c r="C2664" s="2" t="s">
        <v>9831</v>
      </c>
      <c r="D2664" s="2" t="s">
        <v>73</v>
      </c>
      <c r="E2664" s="2">
        <v>44</v>
      </c>
      <c r="F2664" s="2">
        <v>783.269</v>
      </c>
      <c r="G2664" s="1">
        <v>46167</v>
      </c>
    </row>
    <row r="2665" spans="3:6" x14ac:dyDescent="0.25">
      <c r="C2665" s="2" t="s">
        <v>9832</v>
      </c>
      <c r="D2665" s="2" t="s">
        <v>73</v>
      </c>
      <c r="E2665" s="2">
        <v>47</v>
      </c>
      <c r="F2665" s="2">
        <v>980.93</v>
      </c>
    </row>
    <row r="2666" spans="3:6" x14ac:dyDescent="0.25">
      <c r="C2666" s="2" t="s">
        <v>9833</v>
      </c>
      <c r="D2666" s="2" t="s">
        <v>73</v>
      </c>
      <c r="E2666" s="2">
        <v>59</v>
      </c>
      <c r="F2666" s="2">
        <v>1198.7</v>
      </c>
    </row>
    <row r="2667" spans="3:6" x14ac:dyDescent="0.25">
      <c r="C2667" s="2" t="s">
        <v>9834</v>
      </c>
      <c r="D2667" s="2" t="s">
        <v>73</v>
      </c>
      <c r="E2667" s="2">
        <v>25</v>
      </c>
      <c r="F2667" s="2">
        <v>450.73</v>
      </c>
    </row>
    <row r="2668" spans="3:6" x14ac:dyDescent="0.25">
      <c r="C2668" s="2" t="s">
        <v>9835</v>
      </c>
      <c r="D2668" s="2" t="s">
        <v>73</v>
      </c>
      <c r="E2668" s="2">
        <v>8</v>
      </c>
      <c r="F2668" s="2">
        <v>169.4</v>
      </c>
    </row>
    <row r="2670" spans="1:7" x14ac:dyDescent="0.25">
      <c r="A2670" s="1">
        <v>46166</v>
      </c>
      <c r="B2670" s="2" t="s">
        <v>71</v>
      </c>
      <c r="C2670" s="2" t="s">
        <v>9836</v>
      </c>
      <c r="D2670" s="2" t="s">
        <v>73</v>
      </c>
      <c r="E2670" s="2">
        <v>62</v>
      </c>
      <c r="F2670" s="2">
        <v>1086.509</v>
      </c>
      <c r="G2670" s="1">
        <v>46164</v>
      </c>
    </row>
    <row r="2671" spans="3:6" x14ac:dyDescent="0.25">
      <c r="C2671" s="2" t="s">
        <v>9837</v>
      </c>
      <c r="D2671" s="2" t="s">
        <v>73</v>
      </c>
      <c r="E2671" s="2">
        <v>91</v>
      </c>
      <c r="F2671" s="2">
        <v>1820.12</v>
      </c>
    </row>
    <row r="2672" spans="3:6" x14ac:dyDescent="0.25">
      <c r="C2672" s="2" t="s">
        <v>9838</v>
      </c>
      <c r="D2672" s="2" t="s">
        <v>73</v>
      </c>
      <c r="E2672" s="2">
        <v>101</v>
      </c>
      <c r="F2672" s="2">
        <v>1948.11</v>
      </c>
    </row>
    <row r="2673" spans="3:6" x14ac:dyDescent="0.25">
      <c r="C2673" s="2" t="s">
        <v>9839</v>
      </c>
      <c r="D2673" s="2" t="s">
        <v>73</v>
      </c>
      <c r="E2673" s="2">
        <v>39</v>
      </c>
      <c r="F2673" s="2">
        <v>662.61</v>
      </c>
    </row>
    <row r="2675" spans="1:7" x14ac:dyDescent="0.25">
      <c r="A2675" s="1">
        <v>46166</v>
      </c>
      <c r="B2675" s="2" t="s">
        <v>495</v>
      </c>
      <c r="C2675" s="2" t="s">
        <v>9840</v>
      </c>
      <c r="D2675" s="2" t="s">
        <v>178</v>
      </c>
      <c r="E2675" s="2">
        <v>204</v>
      </c>
      <c r="F2675" s="2">
        <v>4135.87</v>
      </c>
      <c r="G2675" s="1">
        <v>46167</v>
      </c>
    </row>
    <row r="2676" spans="3:6" x14ac:dyDescent="0.25">
      <c r="C2676" s="2" t="s">
        <v>9841</v>
      </c>
      <c r="D2676" s="2" t="s">
        <v>178</v>
      </c>
      <c r="E2676" s="2">
        <v>204</v>
      </c>
      <c r="F2676" s="2">
        <v>4255.38</v>
      </c>
    </row>
    <row r="2677" spans="3:6" x14ac:dyDescent="0.25">
      <c r="C2677" s="2" t="s">
        <v>9842</v>
      </c>
      <c r="D2677" s="2" t="s">
        <v>178</v>
      </c>
      <c r="E2677" s="2">
        <f>124+15</f>
        <v>139</v>
      </c>
      <c r="F2677" s="2">
        <v>2498.43</v>
      </c>
    </row>
    <row r="2678" spans="3:6" x14ac:dyDescent="0.25">
      <c r="C2678" s="2" t="s">
        <v>9843</v>
      </c>
      <c r="D2678" s="2" t="s">
        <v>178</v>
      </c>
      <c r="E2678" s="2">
        <v>30</v>
      </c>
      <c r="F2678" s="2">
        <v>129.31</v>
      </c>
    </row>
    <row r="2679" spans="3:6" x14ac:dyDescent="0.25">
      <c r="C2679" s="2" t="s">
        <v>9844</v>
      </c>
      <c r="D2679" s="2" t="s">
        <v>178</v>
      </c>
      <c r="E2679" s="2">
        <v>143</v>
      </c>
      <c r="F2679" s="2">
        <v>2530.06</v>
      </c>
    </row>
    <row r="2680" spans="3:6" x14ac:dyDescent="0.25">
      <c r="C2680" s="2" t="s">
        <v>9845</v>
      </c>
      <c r="D2680" s="2" t="s">
        <v>178</v>
      </c>
      <c r="E2680" s="2">
        <v>141</v>
      </c>
      <c r="F2680" s="2">
        <v>2895.66</v>
      </c>
    </row>
    <row r="2681" spans="3:6" x14ac:dyDescent="0.25">
      <c r="C2681" s="2" t="s">
        <v>9846</v>
      </c>
      <c r="D2681" s="2" t="s">
        <v>178</v>
      </c>
      <c r="E2681" s="2">
        <v>141</v>
      </c>
      <c r="F2681" s="2">
        <v>2977.02</v>
      </c>
    </row>
    <row r="2682" spans="3:6" x14ac:dyDescent="0.25">
      <c r="C2682" s="2" t="s">
        <v>9847</v>
      </c>
      <c r="D2682" s="2" t="s">
        <v>178</v>
      </c>
      <c r="E2682" s="2">
        <v>102</v>
      </c>
      <c r="F2682" s="2">
        <v>2109.96</v>
      </c>
    </row>
    <row r="2683" spans="3:6" x14ac:dyDescent="0.25">
      <c r="C2683" s="2" t="s">
        <v>9848</v>
      </c>
      <c r="D2683" s="2" t="s">
        <v>178</v>
      </c>
      <c r="E2683" s="2">
        <v>30</v>
      </c>
      <c r="F2683" s="2">
        <v>129.76</v>
      </c>
    </row>
    <row r="2684" spans="3:6" x14ac:dyDescent="0.25">
      <c r="C2684" s="2" t="s">
        <v>9849</v>
      </c>
      <c r="D2684" s="2" t="s">
        <v>178</v>
      </c>
      <c r="E2684" s="2">
        <v>123</v>
      </c>
      <c r="F2684" s="2">
        <v>2303.156</v>
      </c>
    </row>
    <row r="2685" spans="3:6" x14ac:dyDescent="0.25">
      <c r="C2685" s="2" t="s">
        <v>9850</v>
      </c>
      <c r="D2685" s="2" t="s">
        <v>178</v>
      </c>
      <c r="E2685" s="2">
        <v>102</v>
      </c>
      <c r="F2685" s="2">
        <v>1904.34</v>
      </c>
    </row>
    <row r="2686" spans="3:6" x14ac:dyDescent="0.25">
      <c r="C2686" s="2" t="s">
        <v>9851</v>
      </c>
      <c r="D2686" s="2" t="s">
        <v>178</v>
      </c>
      <c r="E2686" s="2">
        <v>282</v>
      </c>
      <c r="F2686" s="2">
        <v>6093.31</v>
      </c>
    </row>
    <row r="2687" spans="3:6" x14ac:dyDescent="0.25">
      <c r="C2687" s="2" t="s">
        <v>9852</v>
      </c>
      <c r="D2687" s="2" t="s">
        <v>178</v>
      </c>
      <c r="E2687" s="2">
        <v>141</v>
      </c>
      <c r="F2687" s="2">
        <v>2838.25</v>
      </c>
    </row>
    <row r="2688" spans="3:6" x14ac:dyDescent="0.25">
      <c r="C2688" s="2" t="s">
        <v>9853</v>
      </c>
      <c r="D2688" s="2" t="s">
        <v>178</v>
      </c>
      <c r="E2688" s="2">
        <v>246</v>
      </c>
      <c r="F2688" s="2">
        <v>5045.54</v>
      </c>
    </row>
    <row r="2689" spans="3:6" x14ac:dyDescent="0.25">
      <c r="C2689" s="2" t="s">
        <v>9854</v>
      </c>
      <c r="D2689" s="2" t="s">
        <v>178</v>
      </c>
      <c r="E2689" s="2">
        <v>135</v>
      </c>
      <c r="F2689" s="2">
        <v>2230.929</v>
      </c>
    </row>
    <row r="2690" spans="3:6" x14ac:dyDescent="0.25">
      <c r="C2690" s="2" t="s">
        <v>9855</v>
      </c>
      <c r="D2690" s="2" t="s">
        <v>178</v>
      </c>
      <c r="E2690" s="2">
        <v>141</v>
      </c>
      <c r="F2690" s="2">
        <v>2850.69</v>
      </c>
    </row>
    <row r="2691" spans="3:6" x14ac:dyDescent="0.25">
      <c r="C2691" s="2" t="s">
        <v>9856</v>
      </c>
      <c r="D2691" s="2" t="s">
        <v>178</v>
      </c>
      <c r="E2691" s="2">
        <v>141</v>
      </c>
      <c r="F2691" s="2">
        <v>2894.449</v>
      </c>
    </row>
    <row r="2692" spans="3:6" x14ac:dyDescent="0.25">
      <c r="C2692" s="2" t="s">
        <v>9857</v>
      </c>
      <c r="D2692" s="2" t="s">
        <v>178</v>
      </c>
      <c r="E2692" s="2">
        <v>243</v>
      </c>
      <c r="F2692" s="2">
        <v>5107.7</v>
      </c>
    </row>
    <row r="2693" spans="3:6" x14ac:dyDescent="0.25">
      <c r="C2693" s="2" t="s">
        <v>9858</v>
      </c>
      <c r="D2693" s="2" t="s">
        <v>178</v>
      </c>
      <c r="E2693" s="2">
        <v>282</v>
      </c>
      <c r="F2693" s="2">
        <v>5666.529</v>
      </c>
    </row>
    <row r="2694" spans="3:6" x14ac:dyDescent="0.25">
      <c r="C2694" s="2" t="s">
        <v>9859</v>
      </c>
      <c r="D2694" s="2" t="s">
        <v>178</v>
      </c>
      <c r="E2694" s="2">
        <v>141</v>
      </c>
      <c r="F2694" s="2">
        <v>3027.29</v>
      </c>
    </row>
    <row r="2695" spans="3:6" x14ac:dyDescent="0.25">
      <c r="C2695" s="2" t="s">
        <v>9860</v>
      </c>
      <c r="D2695" s="2" t="s">
        <v>178</v>
      </c>
      <c r="E2695" s="2">
        <v>141</v>
      </c>
      <c r="F2695" s="2">
        <v>2822.269</v>
      </c>
    </row>
    <row r="2696" spans="3:6" x14ac:dyDescent="0.25">
      <c r="C2696" s="2" t="s">
        <v>9861</v>
      </c>
      <c r="D2696" s="2" t="s">
        <v>178</v>
      </c>
      <c r="E2696" s="2">
        <v>141</v>
      </c>
      <c r="F2696" s="2">
        <v>2910.21</v>
      </c>
    </row>
    <row r="2697" spans="3:6" x14ac:dyDescent="0.25">
      <c r="C2697" s="2" t="s">
        <v>9862</v>
      </c>
      <c r="D2697" s="2" t="s">
        <v>178</v>
      </c>
      <c r="E2697" s="2">
        <v>77</v>
      </c>
      <c r="F2697" s="2">
        <v>1542.4</v>
      </c>
    </row>
    <row r="2698" spans="3:6" x14ac:dyDescent="0.25">
      <c r="C2698" s="2" t="s">
        <v>9863</v>
      </c>
      <c r="D2698" s="2" t="s">
        <v>178</v>
      </c>
      <c r="E2698" s="2">
        <v>64</v>
      </c>
      <c r="F2698" s="2">
        <v>1261.509</v>
      </c>
    </row>
    <row r="2699" spans="3:6" x14ac:dyDescent="0.25">
      <c r="C2699" s="2" t="s">
        <v>9864</v>
      </c>
      <c r="D2699" s="2" t="s">
        <v>178</v>
      </c>
      <c r="E2699" s="2">
        <v>21</v>
      </c>
      <c r="F2699" s="2">
        <v>300.749</v>
      </c>
    </row>
    <row r="2700" spans="3:6" x14ac:dyDescent="0.25">
      <c r="C2700" s="2" t="s">
        <v>9865</v>
      </c>
      <c r="D2700" s="2" t="s">
        <v>178</v>
      </c>
      <c r="E2700" s="2">
        <v>45</v>
      </c>
      <c r="F2700" s="2">
        <v>910.33</v>
      </c>
    </row>
    <row r="2701" spans="3:6" x14ac:dyDescent="0.25">
      <c r="C2701" s="2" t="s">
        <v>9866</v>
      </c>
      <c r="D2701" s="2" t="s">
        <v>178</v>
      </c>
      <c r="E2701" s="2">
        <v>11</v>
      </c>
      <c r="F2701" s="2">
        <v>105.4</v>
      </c>
    </row>
    <row r="2702" spans="3:6" x14ac:dyDescent="0.25">
      <c r="C2702" s="2" t="s">
        <v>9867</v>
      </c>
      <c r="D2702" s="2" t="s">
        <v>178</v>
      </c>
      <c r="E2702" s="2">
        <v>141</v>
      </c>
      <c r="F2702" s="2">
        <v>2863.51</v>
      </c>
    </row>
    <row r="2703" spans="3:6" x14ac:dyDescent="0.25">
      <c r="C2703" s="2" t="s">
        <v>9868</v>
      </c>
      <c r="D2703" s="2" t="s">
        <v>178</v>
      </c>
      <c r="E2703" s="2">
        <v>141</v>
      </c>
      <c r="F2703" s="2">
        <v>3008.41</v>
      </c>
    </row>
    <row r="2705" spans="1:7" x14ac:dyDescent="0.25">
      <c r="A2705" s="1">
        <v>46166</v>
      </c>
      <c r="B2705" s="2" t="s">
        <v>7</v>
      </c>
      <c r="C2705" s="2" t="s">
        <v>9869</v>
      </c>
      <c r="D2705" s="2" t="s">
        <v>9</v>
      </c>
      <c r="E2705" s="2">
        <v>75</v>
      </c>
      <c r="F2705" s="2">
        <v>1509.6</v>
      </c>
      <c r="G2705" s="1">
        <v>46167</v>
      </c>
    </row>
    <row r="2706" spans="3:6" x14ac:dyDescent="0.25">
      <c r="C2706" s="2" t="s">
        <v>9870</v>
      </c>
      <c r="D2706" s="2" t="s">
        <v>9</v>
      </c>
      <c r="E2706" s="2">
        <v>99</v>
      </c>
      <c r="F2706" s="2">
        <v>2097.79</v>
      </c>
    </row>
    <row r="2708" spans="1:7" x14ac:dyDescent="0.25">
      <c r="A2708" s="1">
        <v>46166</v>
      </c>
      <c r="B2708" s="2" t="s">
        <v>7683</v>
      </c>
      <c r="C2708" s="2" t="s">
        <v>9871</v>
      </c>
      <c r="D2708" s="2" t="s">
        <v>9</v>
      </c>
      <c r="E2708" s="2">
        <v>142</v>
      </c>
      <c r="F2708" s="2">
        <v>2953.87</v>
      </c>
      <c r="G2708" s="1">
        <v>46167</v>
      </c>
    </row>
    <row r="2709" spans="3:6" x14ac:dyDescent="0.25">
      <c r="C2709" s="2" t="s">
        <v>9872</v>
      </c>
      <c r="D2709" s="2" t="s">
        <v>9</v>
      </c>
      <c r="E2709" s="2">
        <v>140</v>
      </c>
      <c r="F2709" s="2">
        <v>2953.55</v>
      </c>
    </row>
    <row r="2710" spans="3:6" x14ac:dyDescent="0.25">
      <c r="C2710" s="2" t="s">
        <v>9873</v>
      </c>
      <c r="D2710" s="2" t="s">
        <v>9</v>
      </c>
      <c r="E2710" s="2">
        <v>90</v>
      </c>
      <c r="F2710" s="2">
        <v>1801.57</v>
      </c>
    </row>
    <row r="2712" spans="1:7" x14ac:dyDescent="0.25">
      <c r="A2712" s="1">
        <v>46166</v>
      </c>
      <c r="B2712" s="2" t="s">
        <v>80</v>
      </c>
      <c r="C2712" s="2" t="s">
        <v>9874</v>
      </c>
      <c r="D2712" s="2" t="s">
        <v>82</v>
      </c>
      <c r="E2712" s="2">
        <v>134</v>
      </c>
      <c r="F2712" s="2">
        <v>2790.91</v>
      </c>
      <c r="G2712" s="1">
        <v>46165</v>
      </c>
    </row>
    <row r="2713" spans="3:6" x14ac:dyDescent="0.25">
      <c r="C2713" s="2" t="s">
        <v>9875</v>
      </c>
      <c r="D2713" s="2" t="s">
        <v>82</v>
      </c>
      <c r="E2713" s="2">
        <v>94</v>
      </c>
      <c r="F2713" s="2">
        <v>1856.2</v>
      </c>
    </row>
    <row r="2714" spans="3:6" x14ac:dyDescent="0.25">
      <c r="C2714" s="2" t="s">
        <v>9876</v>
      </c>
      <c r="D2714" s="2" t="s">
        <v>82</v>
      </c>
      <c r="E2714" s="2">
        <v>13</v>
      </c>
      <c r="F2714" s="2">
        <v>264.05</v>
      </c>
    </row>
    <row r="2715" spans="3:6" x14ac:dyDescent="0.25">
      <c r="C2715" s="2" t="s">
        <v>9877</v>
      </c>
      <c r="D2715" s="2" t="s">
        <v>82</v>
      </c>
      <c r="E2715" s="2">
        <v>34</v>
      </c>
      <c r="F2715" s="2">
        <v>688.75</v>
      </c>
    </row>
    <row r="2716" spans="3:6" x14ac:dyDescent="0.25">
      <c r="C2716" s="2" t="s">
        <v>9878</v>
      </c>
      <c r="D2716" s="2" t="s">
        <v>82</v>
      </c>
      <c r="E2716" s="2">
        <v>76</v>
      </c>
      <c r="F2716" s="2">
        <v>2430.645</v>
      </c>
    </row>
    <row r="2717" spans="3:6" x14ac:dyDescent="0.25">
      <c r="C2717" s="2" t="s">
        <v>9879</v>
      </c>
      <c r="D2717" s="2" t="s">
        <v>82</v>
      </c>
      <c r="E2717" s="2">
        <v>76</v>
      </c>
      <c r="F2717" s="2">
        <v>2435.143</v>
      </c>
    </row>
    <row r="2718" spans="3:6" x14ac:dyDescent="0.25">
      <c r="C2718" s="2" t="s">
        <v>9880</v>
      </c>
      <c r="D2718" s="2" t="s">
        <v>82</v>
      </c>
      <c r="E2718" s="2">
        <v>86</v>
      </c>
      <c r="F2718" s="2">
        <v>1751.77</v>
      </c>
    </row>
    <row r="2719" spans="3:6" x14ac:dyDescent="0.25">
      <c r="C2719" s="2" t="s">
        <v>9881</v>
      </c>
      <c r="D2719" s="2" t="s">
        <v>82</v>
      </c>
      <c r="E2719" s="2">
        <v>16</v>
      </c>
      <c r="F2719" s="2">
        <v>329.89</v>
      </c>
    </row>
    <row r="2720" spans="3:6" x14ac:dyDescent="0.25">
      <c r="C2720" s="2" t="s">
        <v>9882</v>
      </c>
      <c r="D2720" s="2" t="s">
        <v>82</v>
      </c>
      <c r="E2720" s="2">
        <v>49</v>
      </c>
      <c r="F2720" s="2">
        <v>1002.91</v>
      </c>
    </row>
    <row r="2721" spans="3:6" x14ac:dyDescent="0.25">
      <c r="C2721" s="2" t="s">
        <v>9883</v>
      </c>
      <c r="D2721" s="2" t="s">
        <v>82</v>
      </c>
      <c r="E2721" s="2">
        <v>53</v>
      </c>
      <c r="F2721" s="2">
        <v>1029.55</v>
      </c>
    </row>
    <row r="2722" spans="3:6" x14ac:dyDescent="0.25">
      <c r="C2722" s="2" t="s">
        <v>9884</v>
      </c>
      <c r="D2722" s="2" t="s">
        <v>82</v>
      </c>
      <c r="E2722" s="2">
        <v>75</v>
      </c>
      <c r="F2722" s="2">
        <v>1487.81</v>
      </c>
    </row>
    <row r="2723" spans="3:6" x14ac:dyDescent="0.25">
      <c r="C2723" s="2" t="s">
        <v>9885</v>
      </c>
      <c r="D2723" s="2" t="s">
        <v>82</v>
      </c>
      <c r="E2723" s="2">
        <v>7</v>
      </c>
      <c r="F2723" s="2">
        <v>117.29</v>
      </c>
    </row>
    <row r="2724" spans="3:6" x14ac:dyDescent="0.25">
      <c r="C2724" s="2" t="s">
        <v>9886</v>
      </c>
      <c r="D2724" s="2" t="s">
        <v>82</v>
      </c>
      <c r="E2724" s="2">
        <v>26</v>
      </c>
      <c r="F2724" s="2">
        <v>142.473</v>
      </c>
    </row>
    <row r="2725" spans="3:6" x14ac:dyDescent="0.25">
      <c r="C2725" s="2" t="s">
        <v>9887</v>
      </c>
      <c r="D2725" s="2" t="s">
        <v>82</v>
      </c>
      <c r="E2725" s="2">
        <v>30</v>
      </c>
      <c r="F2725" s="2">
        <v>572.129</v>
      </c>
    </row>
    <row r="2726" spans="3:6" x14ac:dyDescent="0.25">
      <c r="C2726" s="2" t="s">
        <v>9888</v>
      </c>
      <c r="D2726" s="2" t="s">
        <v>82</v>
      </c>
      <c r="E2726" s="2">
        <v>30</v>
      </c>
      <c r="F2726" s="2">
        <v>546.39</v>
      </c>
    </row>
    <row r="2727" spans="3:6" x14ac:dyDescent="0.25">
      <c r="C2727" s="2" t="s">
        <v>9889</v>
      </c>
      <c r="D2727" s="2" t="s">
        <v>82</v>
      </c>
      <c r="E2727" s="2">
        <v>24</v>
      </c>
      <c r="F2727" s="2">
        <v>446.52</v>
      </c>
    </row>
    <row r="2728" spans="3:6" x14ac:dyDescent="0.25">
      <c r="C2728" s="2" t="s">
        <v>9890</v>
      </c>
      <c r="D2728" s="2" t="s">
        <v>82</v>
      </c>
      <c r="E2728" s="2">
        <v>56</v>
      </c>
      <c r="F2728" s="2">
        <v>1168.89</v>
      </c>
    </row>
    <row r="2729" spans="3:6" x14ac:dyDescent="0.25">
      <c r="C2729" s="2" t="s">
        <v>9891</v>
      </c>
      <c r="D2729" s="2" t="s">
        <v>82</v>
      </c>
      <c r="E2729" s="2">
        <v>31</v>
      </c>
      <c r="F2729" s="2">
        <v>669.279</v>
      </c>
    </row>
    <row r="2730" spans="3:6" x14ac:dyDescent="0.25">
      <c r="C2730" s="2" t="s">
        <v>9892</v>
      </c>
      <c r="D2730" s="2" t="s">
        <v>82</v>
      </c>
      <c r="E2730" s="2">
        <v>15</v>
      </c>
      <c r="F2730" s="2">
        <v>306.77</v>
      </c>
    </row>
    <row r="2731" spans="3:6" x14ac:dyDescent="0.25">
      <c r="C2731" s="2" t="s">
        <v>9893</v>
      </c>
      <c r="D2731" s="2" t="s">
        <v>82</v>
      </c>
      <c r="E2731" s="2">
        <v>35</v>
      </c>
      <c r="F2731" s="2">
        <v>730.25</v>
      </c>
    </row>
    <row r="2732" spans="3:6" x14ac:dyDescent="0.25">
      <c r="C2732" s="2" t="s">
        <v>9894</v>
      </c>
      <c r="D2732" s="2" t="s">
        <v>82</v>
      </c>
      <c r="E2732" s="2">
        <v>49</v>
      </c>
      <c r="F2732" s="2">
        <v>1029.89</v>
      </c>
    </row>
    <row r="2733" spans="3:6" x14ac:dyDescent="0.25">
      <c r="C2733" s="2" t="s">
        <v>9895</v>
      </c>
      <c r="D2733" s="2" t="s">
        <v>82</v>
      </c>
      <c r="E2733" s="2">
        <v>18</v>
      </c>
      <c r="F2733" s="2">
        <v>394.23</v>
      </c>
    </row>
    <row r="2734" spans="3:6" x14ac:dyDescent="0.25">
      <c r="C2734" s="2" t="s">
        <v>9896</v>
      </c>
      <c r="D2734" s="2" t="s">
        <v>82</v>
      </c>
      <c r="E2734" s="2">
        <v>89</v>
      </c>
      <c r="F2734" s="2">
        <v>1818.76</v>
      </c>
    </row>
    <row r="2735" spans="3:6" x14ac:dyDescent="0.25">
      <c r="C2735" s="2" t="s">
        <v>9897</v>
      </c>
      <c r="D2735" s="2" t="s">
        <v>82</v>
      </c>
      <c r="E2735" s="2">
        <v>32</v>
      </c>
      <c r="F2735" s="2">
        <v>643.5</v>
      </c>
    </row>
    <row r="2736" spans="3:6" x14ac:dyDescent="0.25">
      <c r="C2736" s="2" t="s">
        <v>9898</v>
      </c>
      <c r="D2736" s="2" t="s">
        <v>82</v>
      </c>
      <c r="E2736" s="2">
        <v>62</v>
      </c>
      <c r="F2736" s="2">
        <v>1178.99</v>
      </c>
    </row>
    <row r="2737" spans="3:6" x14ac:dyDescent="0.25">
      <c r="C2737" s="2" t="s">
        <v>9899</v>
      </c>
      <c r="D2737" s="2" t="s">
        <v>82</v>
      </c>
      <c r="E2737" s="2">
        <v>60</v>
      </c>
      <c r="F2737" s="2">
        <v>1199.71</v>
      </c>
    </row>
    <row r="2738" spans="3:6" x14ac:dyDescent="0.25">
      <c r="C2738" s="2" t="s">
        <v>9900</v>
      </c>
      <c r="D2738" s="2" t="s">
        <v>82</v>
      </c>
      <c r="E2738" s="2">
        <v>61</v>
      </c>
      <c r="F2738" s="2">
        <v>1217</v>
      </c>
    </row>
    <row r="2739" spans="3:6" x14ac:dyDescent="0.25">
      <c r="C2739" s="2" t="s">
        <v>9901</v>
      </c>
      <c r="D2739" s="2" t="s">
        <v>82</v>
      </c>
      <c r="E2739" s="2">
        <v>61</v>
      </c>
      <c r="F2739" s="2">
        <v>1192.47</v>
      </c>
    </row>
    <row r="2740" spans="3:6" x14ac:dyDescent="0.25">
      <c r="C2740" s="2" t="s">
        <v>9902</v>
      </c>
      <c r="D2740" s="2" t="s">
        <v>82</v>
      </c>
      <c r="E2740" s="2">
        <v>75</v>
      </c>
      <c r="F2740" s="2">
        <v>337.389</v>
      </c>
    </row>
    <row r="2741" spans="3:6" x14ac:dyDescent="0.25">
      <c r="C2741" s="2" t="s">
        <v>9903</v>
      </c>
      <c r="D2741" s="2" t="s">
        <v>82</v>
      </c>
      <c r="E2741" s="2">
        <v>87</v>
      </c>
      <c r="F2741" s="2">
        <v>1779.67</v>
      </c>
    </row>
    <row r="2742" spans="3:6" x14ac:dyDescent="0.25">
      <c r="C2742" s="2" t="s">
        <v>9904</v>
      </c>
      <c r="D2742" s="2" t="s">
        <v>82</v>
      </c>
      <c r="E2742" s="2">
        <v>54</v>
      </c>
      <c r="F2742" s="2">
        <v>1084.84</v>
      </c>
    </row>
    <row r="2743" spans="3:6" x14ac:dyDescent="0.25">
      <c r="C2743" s="2" t="s">
        <v>9905</v>
      </c>
      <c r="D2743" s="2" t="s">
        <v>82</v>
      </c>
      <c r="E2743" s="2">
        <v>47</v>
      </c>
      <c r="F2743" s="2">
        <v>897.89</v>
      </c>
    </row>
    <row r="2744" spans="3:6" x14ac:dyDescent="0.25">
      <c r="C2744" s="2" t="s">
        <v>9906</v>
      </c>
      <c r="D2744" s="2" t="s">
        <v>82</v>
      </c>
      <c r="E2744" s="2">
        <v>38</v>
      </c>
      <c r="F2744" s="2">
        <v>801.89</v>
      </c>
    </row>
    <row r="2745" spans="3:6" x14ac:dyDescent="0.25">
      <c r="C2745" s="2" t="s">
        <v>9907</v>
      </c>
      <c r="D2745" s="2" t="s">
        <v>82</v>
      </c>
      <c r="E2745" s="2">
        <v>56</v>
      </c>
      <c r="F2745" s="2">
        <v>1013.34</v>
      </c>
    </row>
    <row r="2746" spans="3:6" x14ac:dyDescent="0.25">
      <c r="C2746" s="2" t="s">
        <v>9908</v>
      </c>
      <c r="D2746" s="2" t="s">
        <v>82</v>
      </c>
      <c r="E2746" s="2">
        <v>81</v>
      </c>
      <c r="F2746" s="2">
        <v>1481.99</v>
      </c>
    </row>
    <row r="2747" spans="3:6" x14ac:dyDescent="0.25">
      <c r="C2747" s="2" t="s">
        <v>9909</v>
      </c>
      <c r="D2747" s="2" t="s">
        <v>82</v>
      </c>
      <c r="E2747" s="2">
        <v>13</v>
      </c>
      <c r="F2747" s="2">
        <v>199.913</v>
      </c>
    </row>
    <row r="2748" spans="3:6" x14ac:dyDescent="0.25">
      <c r="C2748" s="2" t="s">
        <v>9910</v>
      </c>
      <c r="D2748" s="2" t="s">
        <v>82</v>
      </c>
      <c r="E2748" s="2">
        <v>39</v>
      </c>
      <c r="F2748" s="2">
        <v>662.91</v>
      </c>
    </row>
    <row r="2749" spans="3:6" x14ac:dyDescent="0.25">
      <c r="C2749" s="2" t="s">
        <v>9911</v>
      </c>
      <c r="D2749" s="2" t="s">
        <v>82</v>
      </c>
      <c r="E2749" s="2">
        <v>141</v>
      </c>
      <c r="F2749" s="2">
        <v>2954.11</v>
      </c>
    </row>
    <row r="2750" spans="3:6" x14ac:dyDescent="0.25">
      <c r="C2750" s="2" t="s">
        <v>9912</v>
      </c>
      <c r="D2750" s="2" t="s">
        <v>82</v>
      </c>
      <c r="E2750" s="2">
        <v>141</v>
      </c>
      <c r="F2750" s="2">
        <v>2899.64</v>
      </c>
    </row>
    <row r="2751" spans="3:6" x14ac:dyDescent="0.25">
      <c r="C2751" s="2" t="s">
        <v>9913</v>
      </c>
      <c r="D2751" s="2" t="s">
        <v>82</v>
      </c>
      <c r="E2751" s="2">
        <v>141</v>
      </c>
      <c r="F2751" s="2">
        <v>2841.35</v>
      </c>
    </row>
    <row r="2752" spans="3:6" x14ac:dyDescent="0.25">
      <c r="C2752" s="2" t="s">
        <v>9914</v>
      </c>
      <c r="D2752" s="2" t="s">
        <v>82</v>
      </c>
      <c r="E2752" s="2">
        <v>141</v>
      </c>
      <c r="F2752" s="2">
        <v>2918.42</v>
      </c>
    </row>
    <row r="2753" spans="3:6" x14ac:dyDescent="0.25">
      <c r="C2753" s="2" t="s">
        <v>9915</v>
      </c>
      <c r="D2753" s="2" t="s">
        <v>82</v>
      </c>
      <c r="E2753" s="2">
        <v>42</v>
      </c>
      <c r="F2753" s="2">
        <v>860.85</v>
      </c>
    </row>
    <row r="2754" spans="3:6" x14ac:dyDescent="0.25">
      <c r="C2754" s="2" t="s">
        <v>9916</v>
      </c>
      <c r="D2754" s="2" t="s">
        <v>82</v>
      </c>
      <c r="E2754" s="2">
        <v>99</v>
      </c>
      <c r="F2754" s="2">
        <v>1996.72</v>
      </c>
    </row>
    <row r="2755" spans="3:6" x14ac:dyDescent="0.25">
      <c r="C2755" s="2" t="s">
        <v>9917</v>
      </c>
      <c r="D2755" s="2" t="s">
        <v>82</v>
      </c>
      <c r="E2755" s="2">
        <v>88</v>
      </c>
      <c r="F2755" s="2">
        <v>1909.992</v>
      </c>
    </row>
    <row r="2756" spans="3:6" x14ac:dyDescent="0.25">
      <c r="C2756" s="2" t="s">
        <v>9918</v>
      </c>
      <c r="D2756" s="2" t="s">
        <v>82</v>
      </c>
      <c r="E2756" s="2">
        <v>68</v>
      </c>
      <c r="F2756" s="2">
        <v>1413.88</v>
      </c>
    </row>
    <row r="2757" spans="3:6" x14ac:dyDescent="0.25">
      <c r="C2757" s="2" t="s">
        <v>9919</v>
      </c>
      <c r="D2757" s="2" t="s">
        <v>82</v>
      </c>
      <c r="E2757" s="2">
        <v>10</v>
      </c>
      <c r="F2757" s="2">
        <v>204.3</v>
      </c>
    </row>
    <row r="2758" spans="3:6" x14ac:dyDescent="0.25">
      <c r="C2758" s="2" t="s">
        <v>9920</v>
      </c>
      <c r="D2758" s="2" t="s">
        <v>82</v>
      </c>
      <c r="E2758" s="2">
        <v>24</v>
      </c>
      <c r="F2758" s="2">
        <v>456.46</v>
      </c>
    </row>
    <row r="2760" spans="1:7" x14ac:dyDescent="0.25">
      <c r="A2760" s="1">
        <v>46166</v>
      </c>
      <c r="B2760" s="2" t="s">
        <v>57</v>
      </c>
      <c r="C2760" s="2" t="s">
        <v>9921</v>
      </c>
      <c r="D2760" s="2" t="s">
        <v>59</v>
      </c>
      <c r="E2760" s="2">
        <v>149</v>
      </c>
      <c r="F2760" s="2">
        <v>2898.51</v>
      </c>
      <c r="G2760" s="1">
        <v>46167</v>
      </c>
    </row>
    <row r="2761" spans="3:6" x14ac:dyDescent="0.25">
      <c r="C2761" s="2" t="s">
        <v>9922</v>
      </c>
      <c r="D2761" s="2" t="s">
        <v>59</v>
      </c>
      <c r="E2761" s="2">
        <v>344</v>
      </c>
      <c r="F2761" s="2">
        <v>4773.607</v>
      </c>
    </row>
    <row r="2762" spans="3:6" x14ac:dyDescent="0.25">
      <c r="C2762" s="2" t="s">
        <v>9923</v>
      </c>
      <c r="D2762" s="2" t="s">
        <v>59</v>
      </c>
      <c r="E2762" s="2">
        <v>195</v>
      </c>
      <c r="F2762" s="2">
        <v>4247.06</v>
      </c>
    </row>
    <row r="2763" spans="3:6" x14ac:dyDescent="0.25">
      <c r="C2763" s="2" t="s">
        <v>9924</v>
      </c>
      <c r="D2763" s="2" t="s">
        <v>59</v>
      </c>
      <c r="E2763" s="2">
        <v>244</v>
      </c>
      <c r="F2763" s="2">
        <v>5301.929</v>
      </c>
    </row>
    <row r="2764" spans="3:6" x14ac:dyDescent="0.25">
      <c r="C2764" s="2" t="s">
        <v>9925</v>
      </c>
      <c r="D2764" s="2" t="s">
        <v>59</v>
      </c>
      <c r="E2764" s="2">
        <v>251</v>
      </c>
      <c r="F2764" s="2">
        <v>4768.646</v>
      </c>
    </row>
    <row r="2765" spans="3:6" x14ac:dyDescent="0.25">
      <c r="C2765" s="2" t="s">
        <v>9926</v>
      </c>
      <c r="D2765" s="2" t="s">
        <v>59</v>
      </c>
      <c r="E2765" s="2">
        <v>149</v>
      </c>
      <c r="F2765" s="2">
        <v>2801.169</v>
      </c>
    </row>
    <row r="2767" spans="1:7" x14ac:dyDescent="0.25">
      <c r="A2767" s="1">
        <v>46167</v>
      </c>
      <c r="B2767" s="2" t="s">
        <v>1012</v>
      </c>
      <c r="C2767" s="2" t="s">
        <v>9927</v>
      </c>
      <c r="D2767" s="2" t="s">
        <v>82</v>
      </c>
      <c r="E2767" s="2">
        <v>80</v>
      </c>
      <c r="F2767" s="2">
        <v>1700.45</v>
      </c>
      <c r="G2767" s="1">
        <v>46167</v>
      </c>
    </row>
    <row r="2768" spans="3:6" x14ac:dyDescent="0.25">
      <c r="C2768" s="2" t="s">
        <v>9928</v>
      </c>
      <c r="D2768" s="2" t="s">
        <v>82</v>
      </c>
      <c r="E2768" s="2">
        <v>61</v>
      </c>
      <c r="F2768" s="2">
        <v>1248</v>
      </c>
    </row>
    <row r="2769" spans="3:6" x14ac:dyDescent="0.25">
      <c r="C2769" s="2" t="s">
        <v>9929</v>
      </c>
      <c r="D2769" s="2" t="s">
        <v>82</v>
      </c>
      <c r="E2769" s="2">
        <v>47</v>
      </c>
      <c r="F2769" s="2">
        <v>962.04</v>
      </c>
    </row>
    <row r="2770" spans="3:6" x14ac:dyDescent="0.25">
      <c r="C2770" s="2" t="s">
        <v>9930</v>
      </c>
      <c r="D2770" s="2" t="s">
        <v>82</v>
      </c>
      <c r="E2770" s="2">
        <v>60</v>
      </c>
      <c r="F2770" s="2">
        <v>1162.54</v>
      </c>
    </row>
    <row r="2771" spans="3:6" x14ac:dyDescent="0.25">
      <c r="C2771" s="2" t="s">
        <v>9931</v>
      </c>
      <c r="D2771" s="2" t="s">
        <v>82</v>
      </c>
      <c r="E2771" s="2">
        <v>34</v>
      </c>
      <c r="F2771" s="2">
        <v>677.99</v>
      </c>
    </row>
    <row r="2772" spans="3:6" x14ac:dyDescent="0.25">
      <c r="C2772" s="2" t="s">
        <v>9932</v>
      </c>
      <c r="D2772" s="2" t="s">
        <v>82</v>
      </c>
      <c r="E2772" s="2">
        <v>40</v>
      </c>
      <c r="F2772" s="2">
        <v>802.545</v>
      </c>
    </row>
    <row r="2773" spans="3:6" x14ac:dyDescent="0.25">
      <c r="C2773" s="2" t="s">
        <v>9933</v>
      </c>
      <c r="D2773" s="2" t="s">
        <v>82</v>
      </c>
      <c r="E2773" s="2">
        <v>28</v>
      </c>
      <c r="F2773" s="2">
        <v>562.94</v>
      </c>
    </row>
    <row r="2774" spans="3:6" x14ac:dyDescent="0.25">
      <c r="C2774" s="2" t="s">
        <v>9934</v>
      </c>
      <c r="D2774" s="2" t="s">
        <v>82</v>
      </c>
      <c r="E2774" s="2">
        <v>73</v>
      </c>
      <c r="F2774" s="2">
        <v>1422.21</v>
      </c>
    </row>
    <row r="2775" spans="3:6" x14ac:dyDescent="0.25">
      <c r="C2775" s="2" t="s">
        <v>9935</v>
      </c>
      <c r="D2775" s="2" t="s">
        <v>82</v>
      </c>
      <c r="E2775" s="2">
        <v>22</v>
      </c>
      <c r="F2775" s="2">
        <v>439.589</v>
      </c>
    </row>
    <row r="2776" spans="3:6" x14ac:dyDescent="0.25">
      <c r="C2776" s="2" t="s">
        <v>9936</v>
      </c>
      <c r="D2776" s="2" t="s">
        <v>82</v>
      </c>
      <c r="E2776" s="2">
        <v>20</v>
      </c>
      <c r="F2776" s="2">
        <v>382.6</v>
      </c>
    </row>
    <row r="2777" spans="3:6" x14ac:dyDescent="0.25">
      <c r="C2777" s="2" t="s">
        <v>9937</v>
      </c>
      <c r="D2777" s="2" t="s">
        <v>82</v>
      </c>
      <c r="E2777" s="2">
        <v>22</v>
      </c>
      <c r="F2777" s="2">
        <v>426.58</v>
      </c>
    </row>
    <row r="2778" spans="3:6" x14ac:dyDescent="0.25">
      <c r="C2778" s="2" t="s">
        <v>9938</v>
      </c>
      <c r="D2778" s="2" t="s">
        <v>82</v>
      </c>
      <c r="E2778" s="2">
        <v>39</v>
      </c>
      <c r="F2778" s="2">
        <v>753.9</v>
      </c>
    </row>
    <row r="2779" spans="3:6" x14ac:dyDescent="0.25">
      <c r="C2779" s="2" t="s">
        <v>9939</v>
      </c>
      <c r="D2779" s="2" t="s">
        <v>82</v>
      </c>
      <c r="E2779" s="2">
        <v>38</v>
      </c>
      <c r="F2779" s="2">
        <v>793.279</v>
      </c>
    </row>
    <row r="2780" spans="3:6" x14ac:dyDescent="0.25">
      <c r="C2780" s="2" t="s">
        <v>9940</v>
      </c>
      <c r="D2780" s="2" t="s">
        <v>82</v>
      </c>
      <c r="E2780" s="2">
        <v>43</v>
      </c>
      <c r="F2780" s="2">
        <v>847.71</v>
      </c>
    </row>
    <row r="2781" spans="3:6" x14ac:dyDescent="0.25">
      <c r="C2781" s="2" t="s">
        <v>9941</v>
      </c>
      <c r="D2781" s="2" t="s">
        <v>82</v>
      </c>
      <c r="E2781" s="2">
        <v>35</v>
      </c>
      <c r="F2781" s="2">
        <v>693.729</v>
      </c>
    </row>
    <row r="2782" spans="3:6" x14ac:dyDescent="0.25">
      <c r="C2782" s="2" t="s">
        <v>9942</v>
      </c>
      <c r="D2782" s="2" t="s">
        <v>82</v>
      </c>
      <c r="E2782" s="2">
        <v>19</v>
      </c>
      <c r="F2782" s="2">
        <v>130.72</v>
      </c>
    </row>
    <row r="2783" spans="3:6" x14ac:dyDescent="0.25">
      <c r="C2783" s="2" t="s">
        <v>9943</v>
      </c>
      <c r="D2783" s="2" t="s">
        <v>82</v>
      </c>
      <c r="E2783" s="2">
        <v>141</v>
      </c>
      <c r="F2783" s="2">
        <v>2866.98</v>
      </c>
    </row>
    <row r="2784" spans="3:6" x14ac:dyDescent="0.25">
      <c r="C2784" s="2" t="s">
        <v>9944</v>
      </c>
      <c r="D2784" s="2" t="s">
        <v>82</v>
      </c>
      <c r="E2784" s="2">
        <v>141</v>
      </c>
      <c r="F2784" s="2">
        <v>2814.629</v>
      </c>
    </row>
    <row r="2785" spans="3:6" x14ac:dyDescent="0.25">
      <c r="C2785" s="2" t="s">
        <v>9945</v>
      </c>
      <c r="D2785" s="2" t="s">
        <v>82</v>
      </c>
      <c r="E2785" s="2">
        <v>141</v>
      </c>
      <c r="F2785" s="2">
        <v>2768.41</v>
      </c>
    </row>
    <row r="2786" spans="3:6" x14ac:dyDescent="0.25">
      <c r="C2786" s="2" t="s">
        <v>9946</v>
      </c>
      <c r="D2786" s="2" t="s">
        <v>82</v>
      </c>
      <c r="E2786" s="2">
        <v>121</v>
      </c>
      <c r="F2786" s="2">
        <v>2399.118</v>
      </c>
    </row>
    <row r="2787" spans="3:6" x14ac:dyDescent="0.25">
      <c r="C2787" s="2" t="s">
        <v>9947</v>
      </c>
      <c r="D2787" s="2" t="s">
        <v>82</v>
      </c>
      <c r="E2787" s="2">
        <v>121</v>
      </c>
      <c r="F2787" s="2">
        <v>2411.12</v>
      </c>
    </row>
    <row r="2788" spans="3:6" x14ac:dyDescent="0.25">
      <c r="C2788" s="2" t="s">
        <v>9948</v>
      </c>
      <c r="D2788" s="2" t="s">
        <v>82</v>
      </c>
      <c r="E2788" s="2">
        <v>29</v>
      </c>
      <c r="F2788" s="2">
        <v>552.51</v>
      </c>
    </row>
    <row r="2789" spans="3:6" x14ac:dyDescent="0.25">
      <c r="C2789" s="2" t="s">
        <v>9949</v>
      </c>
      <c r="D2789" s="2" t="s">
        <v>82</v>
      </c>
      <c r="E2789" s="2">
        <v>25</v>
      </c>
      <c r="F2789" s="2">
        <v>445.24</v>
      </c>
    </row>
    <row r="2790" spans="3:6" x14ac:dyDescent="0.25">
      <c r="C2790" s="2" t="s">
        <v>9950</v>
      </c>
      <c r="D2790" s="2" t="s">
        <v>82</v>
      </c>
      <c r="E2790" s="2">
        <v>22</v>
      </c>
      <c r="F2790" s="2">
        <v>406.95</v>
      </c>
    </row>
    <row r="2791" spans="3:6" x14ac:dyDescent="0.25">
      <c r="C2791" s="2" t="s">
        <v>9951</v>
      </c>
      <c r="D2791" s="2" t="s">
        <v>82</v>
      </c>
      <c r="E2791" s="2">
        <v>18</v>
      </c>
      <c r="F2791" s="2">
        <v>377.78</v>
      </c>
    </row>
    <row r="2792" spans="3:6" x14ac:dyDescent="0.25">
      <c r="C2792" s="2" t="s">
        <v>9952</v>
      </c>
      <c r="D2792" s="2" t="s">
        <v>82</v>
      </c>
      <c r="E2792" s="2">
        <v>13</v>
      </c>
      <c r="F2792" s="2">
        <v>247.31</v>
      </c>
    </row>
    <row r="2793" spans="3:6" x14ac:dyDescent="0.25">
      <c r="C2793" s="2" t="s">
        <v>9953</v>
      </c>
      <c r="D2793" s="2" t="s">
        <v>82</v>
      </c>
      <c r="E2793" s="2">
        <v>12</v>
      </c>
      <c r="F2793" s="2">
        <v>224.409</v>
      </c>
    </row>
    <row r="2794" spans="3:6" x14ac:dyDescent="0.25">
      <c r="C2794" s="2" t="s">
        <v>9954</v>
      </c>
      <c r="D2794" s="2" t="s">
        <v>82</v>
      </c>
      <c r="E2794" s="2">
        <v>14</v>
      </c>
      <c r="F2794" s="2">
        <v>310.69</v>
      </c>
    </row>
    <row r="2795" spans="3:6" x14ac:dyDescent="0.25">
      <c r="C2795" s="2" t="s">
        <v>9955</v>
      </c>
      <c r="D2795" s="2" t="s">
        <v>82</v>
      </c>
      <c r="E2795" s="2">
        <v>86</v>
      </c>
      <c r="F2795" s="2">
        <v>2699.618</v>
      </c>
    </row>
    <row r="2796" spans="3:6" x14ac:dyDescent="0.25">
      <c r="C2796" s="2" t="s">
        <v>9956</v>
      </c>
      <c r="D2796" s="2" t="s">
        <v>82</v>
      </c>
      <c r="E2796" s="2">
        <v>27</v>
      </c>
      <c r="F2796" s="2">
        <v>519.02</v>
      </c>
    </row>
    <row r="2797" spans="3:6" x14ac:dyDescent="0.25">
      <c r="C2797" s="2" t="s">
        <v>9957</v>
      </c>
      <c r="D2797" s="2" t="s">
        <v>82</v>
      </c>
      <c r="E2797" s="2">
        <v>98</v>
      </c>
      <c r="F2797" s="2">
        <v>1504.812</v>
      </c>
    </row>
    <row r="2798" spans="3:6" x14ac:dyDescent="0.25">
      <c r="C2798" s="2" t="s">
        <v>9958</v>
      </c>
      <c r="D2798" s="2" t="s">
        <v>82</v>
      </c>
      <c r="E2798" s="2">
        <v>76</v>
      </c>
      <c r="F2798" s="2">
        <v>1962.158</v>
      </c>
    </row>
    <row r="2799" spans="3:6" x14ac:dyDescent="0.25">
      <c r="C2799" s="2" t="s">
        <v>9959</v>
      </c>
      <c r="D2799" s="2" t="s">
        <v>82</v>
      </c>
      <c r="E2799" s="2">
        <v>76</v>
      </c>
      <c r="F2799" s="2">
        <v>2113.935</v>
      </c>
    </row>
    <row r="2801" spans="1:7" x14ac:dyDescent="0.25">
      <c r="A2801" s="1">
        <v>46167</v>
      </c>
      <c r="B2801" s="2" t="s">
        <v>176</v>
      </c>
      <c r="C2801" s="2" t="s">
        <v>9960</v>
      </c>
      <c r="D2801" s="2" t="s">
        <v>178</v>
      </c>
      <c r="E2801" s="2">
        <v>141</v>
      </c>
      <c r="F2801" s="2">
        <v>2794.81</v>
      </c>
      <c r="G2801" s="1">
        <v>46167</v>
      </c>
    </row>
    <row r="2802" spans="3:6" x14ac:dyDescent="0.25">
      <c r="C2802" s="2" t="s">
        <v>9961</v>
      </c>
      <c r="D2802" s="2" t="s">
        <v>178</v>
      </c>
      <c r="E2802" s="2">
        <v>123</v>
      </c>
      <c r="F2802" s="2">
        <v>2391.05</v>
      </c>
    </row>
    <row r="2803" spans="3:6" x14ac:dyDescent="0.25">
      <c r="C2803" s="2" t="s">
        <v>9962</v>
      </c>
      <c r="D2803" s="2" t="s">
        <v>178</v>
      </c>
      <c r="E2803" s="2">
        <v>123</v>
      </c>
      <c r="F2803" s="2">
        <v>2478.77</v>
      </c>
    </row>
    <row r="2804" spans="3:6" x14ac:dyDescent="0.25">
      <c r="C2804" s="2" t="s">
        <v>9963</v>
      </c>
      <c r="D2804" s="2" t="s">
        <v>178</v>
      </c>
      <c r="E2804" s="2">
        <v>135</v>
      </c>
      <c r="F2804" s="2">
        <v>2630.699</v>
      </c>
    </row>
    <row r="2805" spans="3:6" x14ac:dyDescent="0.25">
      <c r="C2805" s="2" t="s">
        <v>9964</v>
      </c>
      <c r="D2805" s="2" t="s">
        <v>178</v>
      </c>
      <c r="E2805" s="2">
        <v>123</v>
      </c>
      <c r="F2805" s="2">
        <v>2271.948</v>
      </c>
    </row>
    <row r="2806" spans="3:6" x14ac:dyDescent="0.25">
      <c r="C2806" s="2" t="s">
        <v>9965</v>
      </c>
      <c r="D2806" s="2" t="s">
        <v>178</v>
      </c>
      <c r="E2806" s="2">
        <v>102</v>
      </c>
      <c r="F2806" s="2">
        <v>1958.13</v>
      </c>
    </row>
    <row r="2807" spans="3:6" x14ac:dyDescent="0.25">
      <c r="C2807" s="2" t="s">
        <v>9966</v>
      </c>
      <c r="D2807" s="2" t="s">
        <v>178</v>
      </c>
      <c r="E2807" s="2">
        <v>51</v>
      </c>
      <c r="F2807" s="2">
        <v>995.05</v>
      </c>
    </row>
    <row r="2808" spans="3:6" x14ac:dyDescent="0.25">
      <c r="C2808" s="2" t="s">
        <v>9967</v>
      </c>
      <c r="D2808" s="2" t="s">
        <v>178</v>
      </c>
      <c r="E2808" s="2">
        <v>51</v>
      </c>
      <c r="F2808" s="2">
        <v>956.589</v>
      </c>
    </row>
    <row r="2809" spans="3:6" x14ac:dyDescent="0.25">
      <c r="C2809" s="2" t="s">
        <v>9968</v>
      </c>
      <c r="D2809" s="2" t="s">
        <v>178</v>
      </c>
      <c r="E2809" s="2">
        <v>141</v>
      </c>
      <c r="F2809" s="2">
        <v>2982.11</v>
      </c>
    </row>
    <row r="2810" spans="3:6" x14ac:dyDescent="0.25">
      <c r="C2810" s="2" t="s">
        <v>9969</v>
      </c>
      <c r="D2810" s="2" t="s">
        <v>178</v>
      </c>
      <c r="E2810" s="2">
        <v>75</v>
      </c>
      <c r="F2810" s="2">
        <v>321.3</v>
      </c>
    </row>
    <row r="2811" spans="3:6" x14ac:dyDescent="0.25">
      <c r="C2811" s="2" t="s">
        <v>9970</v>
      </c>
      <c r="D2811" s="2" t="s">
        <v>178</v>
      </c>
      <c r="E2811" s="2">
        <v>282</v>
      </c>
      <c r="F2811" s="2">
        <v>5245.089</v>
      </c>
    </row>
    <row r="2812" spans="3:6" x14ac:dyDescent="0.25">
      <c r="C2812" s="2" t="s">
        <v>9971</v>
      </c>
      <c r="D2812" s="2" t="s">
        <v>178</v>
      </c>
      <c r="E2812" s="2">
        <v>226</v>
      </c>
      <c r="F2812" s="2">
        <v>4760.41</v>
      </c>
    </row>
    <row r="2813" spans="3:6" x14ac:dyDescent="0.25">
      <c r="C2813" s="2" t="s">
        <v>9972</v>
      </c>
      <c r="D2813" s="2" t="s">
        <v>178</v>
      </c>
      <c r="E2813" s="2">
        <v>11</v>
      </c>
      <c r="F2813" s="2">
        <v>162.18</v>
      </c>
    </row>
    <row r="2814" spans="3:6" x14ac:dyDescent="0.25">
      <c r="C2814" s="2" t="s">
        <v>9973</v>
      </c>
      <c r="D2814" s="2" t="s">
        <v>178</v>
      </c>
      <c r="E2814" s="2">
        <v>54</v>
      </c>
      <c r="F2814" s="2">
        <v>1007.64</v>
      </c>
    </row>
    <row r="2815" spans="3:6" x14ac:dyDescent="0.25">
      <c r="C2815" s="2" t="s">
        <v>9974</v>
      </c>
      <c r="D2815" s="2" t="s">
        <v>178</v>
      </c>
      <c r="E2815" s="2">
        <v>37</v>
      </c>
      <c r="F2815" s="2">
        <v>650.715</v>
      </c>
    </row>
    <row r="2816" spans="3:6" x14ac:dyDescent="0.25">
      <c r="C2816" s="2" t="s">
        <v>9975</v>
      </c>
      <c r="D2816" s="2" t="s">
        <v>178</v>
      </c>
      <c r="E2816" s="2">
        <v>102</v>
      </c>
      <c r="F2816" s="2">
        <v>2076.66</v>
      </c>
    </row>
    <row r="2817" spans="3:6" x14ac:dyDescent="0.25">
      <c r="C2817" s="2" t="s">
        <v>9976</v>
      </c>
      <c r="D2817" s="2" t="s">
        <v>178</v>
      </c>
      <c r="E2817" s="2">
        <v>282</v>
      </c>
      <c r="F2817" s="2">
        <v>5896.17</v>
      </c>
    </row>
    <row r="2818" spans="3:6" x14ac:dyDescent="0.25">
      <c r="C2818" s="2" t="s">
        <v>9977</v>
      </c>
      <c r="D2818" s="2" t="s">
        <v>178</v>
      </c>
      <c r="E2818" s="2">
        <v>243</v>
      </c>
      <c r="F2818" s="2">
        <v>5008.85</v>
      </c>
    </row>
    <row r="2819" spans="3:6" x14ac:dyDescent="0.25">
      <c r="C2819" s="2" t="s">
        <v>9978</v>
      </c>
      <c r="D2819" s="2" t="s">
        <v>178</v>
      </c>
      <c r="E2819" s="2">
        <v>282</v>
      </c>
      <c r="F2819" s="2">
        <v>6105.95</v>
      </c>
    </row>
    <row r="2820" spans="3:6" x14ac:dyDescent="0.25">
      <c r="C2820" s="2" t="s">
        <v>9979</v>
      </c>
      <c r="D2820" s="2" t="s">
        <v>178</v>
      </c>
      <c r="E2820" s="2">
        <v>141</v>
      </c>
      <c r="F2820" s="2">
        <v>2953.24</v>
      </c>
    </row>
    <row r="2821" spans="3:6" x14ac:dyDescent="0.25">
      <c r="C2821" s="2" t="s">
        <v>9980</v>
      </c>
      <c r="D2821" s="2" t="s">
        <v>178</v>
      </c>
      <c r="E2821" s="2">
        <v>141</v>
      </c>
      <c r="F2821" s="2">
        <v>2880.72</v>
      </c>
    </row>
    <row r="2822" spans="3:6" x14ac:dyDescent="0.25">
      <c r="C2822" s="2" t="s">
        <v>9981</v>
      </c>
      <c r="D2822" s="2" t="s">
        <v>178</v>
      </c>
      <c r="E2822" s="2">
        <v>80</v>
      </c>
      <c r="F2822" s="2">
        <v>1517.37</v>
      </c>
    </row>
    <row r="2823" spans="3:6" x14ac:dyDescent="0.25">
      <c r="C2823" s="2" t="s">
        <v>9982</v>
      </c>
      <c r="D2823" s="2" t="s">
        <v>178</v>
      </c>
      <c r="E2823" s="2">
        <v>61</v>
      </c>
      <c r="F2823" s="2">
        <v>1174.06</v>
      </c>
    </row>
    <row r="2824" spans="3:6" x14ac:dyDescent="0.25">
      <c r="C2824" s="2" t="s">
        <v>9983</v>
      </c>
      <c r="D2824" s="2" t="s">
        <v>178</v>
      </c>
      <c r="E2824" s="2">
        <v>102</v>
      </c>
      <c r="F2824" s="2">
        <v>1888.949</v>
      </c>
    </row>
    <row r="2825" spans="3:6" x14ac:dyDescent="0.25">
      <c r="C2825" s="2" t="s">
        <v>9984</v>
      </c>
      <c r="D2825" s="2" t="s">
        <v>178</v>
      </c>
      <c r="E2825" s="2">
        <v>141</v>
      </c>
      <c r="F2825" s="2">
        <v>2852.788</v>
      </c>
    </row>
    <row r="2826" spans="3:6" x14ac:dyDescent="0.25">
      <c r="C2826" s="2" t="s">
        <v>9985</v>
      </c>
      <c r="D2826" s="2" t="s">
        <v>178</v>
      </c>
      <c r="E2826" s="2">
        <v>24</v>
      </c>
      <c r="F2826" s="2">
        <v>391.76</v>
      </c>
    </row>
    <row r="2827" spans="3:6" x14ac:dyDescent="0.25">
      <c r="C2827" s="2" t="s">
        <v>9986</v>
      </c>
      <c r="D2827" s="2" t="s">
        <v>178</v>
      </c>
      <c r="E2827" s="2">
        <v>32</v>
      </c>
      <c r="F2827" s="2">
        <v>636.5</v>
      </c>
    </row>
    <row r="2828" spans="3:6" x14ac:dyDescent="0.25">
      <c r="C2828" s="2" t="s">
        <v>9987</v>
      </c>
      <c r="D2828" s="2" t="s">
        <v>178</v>
      </c>
      <c r="E2828" s="2">
        <v>20</v>
      </c>
      <c r="F2828" s="2">
        <v>389.8</v>
      </c>
    </row>
    <row r="2829" spans="3:6" x14ac:dyDescent="0.25">
      <c r="C2829" s="2" t="s">
        <v>9988</v>
      </c>
      <c r="D2829" s="2" t="s">
        <v>178</v>
      </c>
      <c r="E2829" s="2">
        <v>141</v>
      </c>
      <c r="F2829" s="2">
        <v>2931.279</v>
      </c>
    </row>
    <row r="2830" spans="3:6" x14ac:dyDescent="0.25">
      <c r="C2830" s="2" t="s">
        <v>9989</v>
      </c>
      <c r="D2830" s="2" t="s">
        <v>178</v>
      </c>
      <c r="E2830" s="2">
        <v>141</v>
      </c>
      <c r="F2830" s="2">
        <v>2937.97</v>
      </c>
    </row>
    <row r="2831" spans="3:6" x14ac:dyDescent="0.25">
      <c r="C2831" s="2" t="s">
        <v>9990</v>
      </c>
      <c r="D2831" s="2" t="s">
        <v>178</v>
      </c>
      <c r="E2831" s="2">
        <v>109</v>
      </c>
      <c r="F2831" s="2">
        <v>2161.99</v>
      </c>
    </row>
    <row r="2832" spans="3:6" x14ac:dyDescent="0.25">
      <c r="C2832" s="2" t="s">
        <v>9991</v>
      </c>
      <c r="D2832" s="2" t="s">
        <v>178</v>
      </c>
      <c r="E2832" s="2">
        <v>32</v>
      </c>
      <c r="F2832" s="2">
        <v>645.62</v>
      </c>
    </row>
    <row r="2833" spans="3:6" x14ac:dyDescent="0.25">
      <c r="C2833" s="2" t="s">
        <v>9992</v>
      </c>
      <c r="D2833" s="2" t="s">
        <v>178</v>
      </c>
      <c r="E2833" s="2">
        <v>68</v>
      </c>
      <c r="F2833" s="2">
        <v>1329.059</v>
      </c>
    </row>
    <row r="2834" spans="3:6" x14ac:dyDescent="0.25">
      <c r="C2834" s="2" t="s">
        <v>9993</v>
      </c>
      <c r="D2834" s="2" t="s">
        <v>178</v>
      </c>
      <c r="E2834" s="2">
        <v>71</v>
      </c>
      <c r="F2834" s="2">
        <v>1523.27</v>
      </c>
    </row>
    <row r="2836" spans="1:7" x14ac:dyDescent="0.25">
      <c r="A2836" s="1">
        <v>46167</v>
      </c>
      <c r="B2836" s="2" t="s">
        <v>229</v>
      </c>
      <c r="C2836" s="2" t="s">
        <v>9994</v>
      </c>
      <c r="D2836" s="2" t="s">
        <v>82</v>
      </c>
      <c r="E2836" s="2">
        <v>134</v>
      </c>
      <c r="F2836" s="2">
        <v>2776.84</v>
      </c>
      <c r="G2836" s="1">
        <v>46167</v>
      </c>
    </row>
    <row r="2837" spans="3:6" x14ac:dyDescent="0.25">
      <c r="C2837" s="2" t="s">
        <v>9995</v>
      </c>
      <c r="D2837" s="2" t="s">
        <v>82</v>
      </c>
      <c r="E2837" s="2">
        <v>76</v>
      </c>
      <c r="F2837" s="2">
        <f>2418.259+168.6</f>
        <v>2586.859</v>
      </c>
    </row>
    <row r="2838" spans="3:6" x14ac:dyDescent="0.25">
      <c r="C2838" s="2" t="s">
        <v>9996</v>
      </c>
      <c r="D2838" s="2" t="s">
        <v>82</v>
      </c>
      <c r="E2838" s="2">
        <v>150</v>
      </c>
      <c r="F2838" s="2">
        <f>1134.146+134.3</f>
        <v>1268.446</v>
      </c>
    </row>
    <row r="2839" spans="3:6" x14ac:dyDescent="0.25">
      <c r="C2839" s="2" t="s">
        <v>9997</v>
      </c>
      <c r="D2839" s="2" t="s">
        <v>82</v>
      </c>
      <c r="E2839" s="2">
        <v>62</v>
      </c>
      <c r="F2839" s="2">
        <v>1215.34</v>
      </c>
    </row>
    <row r="2840" spans="3:6" x14ac:dyDescent="0.25">
      <c r="C2840" s="2" t="s">
        <v>9998</v>
      </c>
      <c r="D2840" s="2" t="s">
        <v>82</v>
      </c>
      <c r="E2840" s="2">
        <v>60</v>
      </c>
      <c r="F2840" s="2">
        <v>1236.3</v>
      </c>
    </row>
    <row r="2841" spans="3:6" x14ac:dyDescent="0.25">
      <c r="C2841" s="2" t="s">
        <v>9999</v>
      </c>
      <c r="D2841" s="2" t="s">
        <v>82</v>
      </c>
      <c r="E2841" s="2">
        <v>14</v>
      </c>
      <c r="F2841" s="2">
        <f>209.04+22.5</f>
        <v>231.54</v>
      </c>
    </row>
    <row r="2842" spans="3:6" x14ac:dyDescent="0.25">
      <c r="C2842" s="2" t="s">
        <v>10000</v>
      </c>
      <c r="D2842" s="2" t="s">
        <v>82</v>
      </c>
      <c r="E2842" s="2">
        <v>6</v>
      </c>
      <c r="F2842" s="2">
        <f>35.29+78.8</f>
        <v>114.09</v>
      </c>
    </row>
    <row r="2843" spans="3:6" x14ac:dyDescent="0.25">
      <c r="C2843" s="2" t="s">
        <v>10001</v>
      </c>
      <c r="D2843" s="2" t="s">
        <v>82</v>
      </c>
      <c r="E2843" s="2">
        <v>49</v>
      </c>
      <c r="F2843" s="2">
        <v>980.879</v>
      </c>
    </row>
    <row r="2844" spans="3:6" x14ac:dyDescent="0.25">
      <c r="C2844" s="2" t="s">
        <v>10002</v>
      </c>
      <c r="D2844" s="2" t="s">
        <v>82</v>
      </c>
      <c r="E2844" s="2">
        <v>49</v>
      </c>
      <c r="F2844" s="2">
        <v>995.58</v>
      </c>
    </row>
    <row r="2845" spans="3:6" x14ac:dyDescent="0.25">
      <c r="C2845" s="2" t="s">
        <v>10003</v>
      </c>
      <c r="D2845" s="2" t="s">
        <v>82</v>
      </c>
      <c r="E2845" s="2">
        <v>43</v>
      </c>
      <c r="F2845" s="2">
        <f>648.85+173.75</f>
        <v>822.6</v>
      </c>
    </row>
    <row r="2846" spans="3:6" x14ac:dyDescent="0.25">
      <c r="C2846" s="2" t="s">
        <v>10004</v>
      </c>
      <c r="D2846" s="2" t="s">
        <v>82</v>
      </c>
      <c r="E2846" s="2">
        <v>102</v>
      </c>
      <c r="F2846" s="2">
        <v>2074.789</v>
      </c>
    </row>
    <row r="2847" spans="3:6" x14ac:dyDescent="0.25">
      <c r="C2847" s="2" t="s">
        <v>10005</v>
      </c>
      <c r="D2847" s="2" t="s">
        <v>82</v>
      </c>
      <c r="E2847" s="2">
        <v>102</v>
      </c>
      <c r="F2847" s="2">
        <v>2061.75</v>
      </c>
    </row>
    <row r="2848" spans="3:6" x14ac:dyDescent="0.25">
      <c r="C2848" s="2" t="s">
        <v>10006</v>
      </c>
      <c r="D2848" s="2" t="s">
        <v>82</v>
      </c>
      <c r="E2848" s="2">
        <v>82</v>
      </c>
      <c r="F2848" s="2">
        <v>1673.709</v>
      </c>
    </row>
    <row r="2849" spans="3:6" x14ac:dyDescent="0.25">
      <c r="C2849" s="2" t="s">
        <v>10007</v>
      </c>
      <c r="D2849" s="2" t="s">
        <v>82</v>
      </c>
      <c r="E2849" s="2">
        <v>20</v>
      </c>
      <c r="F2849" s="2">
        <v>423.02</v>
      </c>
    </row>
    <row r="2850" spans="3:6" x14ac:dyDescent="0.25">
      <c r="C2850" s="2" t="s">
        <v>10008</v>
      </c>
      <c r="D2850" s="2" t="s">
        <v>82</v>
      </c>
      <c r="E2850" s="2">
        <v>92</v>
      </c>
      <c r="F2850" s="2">
        <f>1786.93+82.95</f>
        <v>1869.88</v>
      </c>
    </row>
    <row r="2851" spans="3:6" x14ac:dyDescent="0.25">
      <c r="C2851" s="2" t="s">
        <v>10009</v>
      </c>
      <c r="D2851" s="2" t="s">
        <v>82</v>
      </c>
      <c r="E2851" s="2">
        <v>10</v>
      </c>
      <c r="F2851" s="2">
        <v>205.25</v>
      </c>
    </row>
    <row r="2852" spans="3:6" x14ac:dyDescent="0.25">
      <c r="C2852" s="2" t="s">
        <v>10010</v>
      </c>
      <c r="D2852" s="2" t="s">
        <v>82</v>
      </c>
      <c r="E2852" s="2">
        <v>75</v>
      </c>
      <c r="F2852" s="2">
        <f>477.07+1031.75</f>
        <v>1508.82</v>
      </c>
    </row>
    <row r="2853" spans="3:6" x14ac:dyDescent="0.25">
      <c r="C2853" s="2" t="s">
        <v>10011</v>
      </c>
      <c r="D2853" s="2" t="s">
        <v>82</v>
      </c>
      <c r="E2853" s="2">
        <v>60</v>
      </c>
      <c r="F2853" s="2">
        <v>261.349</v>
      </c>
    </row>
    <row r="2854" spans="3:6" x14ac:dyDescent="0.25">
      <c r="C2854" s="2" t="s">
        <v>10012</v>
      </c>
      <c r="D2854" s="2" t="s">
        <v>82</v>
      </c>
      <c r="E2854" s="2">
        <v>90</v>
      </c>
      <c r="F2854" s="2">
        <v>1842.82</v>
      </c>
    </row>
    <row r="2855" spans="3:6" x14ac:dyDescent="0.25">
      <c r="C2855" s="2" t="s">
        <v>10013</v>
      </c>
      <c r="D2855" s="2" t="s">
        <v>82</v>
      </c>
      <c r="E2855" s="2">
        <v>31</v>
      </c>
      <c r="F2855" s="2">
        <v>648.24</v>
      </c>
    </row>
    <row r="2856" spans="3:6" x14ac:dyDescent="0.25">
      <c r="C2856" s="2" t="s">
        <v>10014</v>
      </c>
      <c r="D2856" s="2" t="s">
        <v>82</v>
      </c>
      <c r="E2856" s="2">
        <v>82</v>
      </c>
      <c r="F2856" s="2">
        <v>1654.68</v>
      </c>
    </row>
    <row r="2857" spans="3:6" x14ac:dyDescent="0.25">
      <c r="C2857" s="2" t="s">
        <v>10015</v>
      </c>
      <c r="D2857" s="2" t="s">
        <v>82</v>
      </c>
      <c r="E2857" s="2">
        <v>39</v>
      </c>
      <c r="F2857" s="2">
        <v>809.63</v>
      </c>
    </row>
    <row r="2858" spans="3:6" x14ac:dyDescent="0.25">
      <c r="C2858" s="2" t="s">
        <v>10016</v>
      </c>
      <c r="D2858" s="2" t="s">
        <v>82</v>
      </c>
      <c r="E2858" s="2">
        <v>80</v>
      </c>
      <c r="F2858" s="2">
        <v>1655.17</v>
      </c>
    </row>
    <row r="2859" spans="3:6" x14ac:dyDescent="0.25">
      <c r="C2859" s="2" t="s">
        <v>10017</v>
      </c>
      <c r="D2859" s="2" t="s">
        <v>82</v>
      </c>
      <c r="E2859" s="2">
        <v>41</v>
      </c>
      <c r="F2859" s="2">
        <v>839.02</v>
      </c>
    </row>
    <row r="2860" spans="3:6" x14ac:dyDescent="0.25">
      <c r="C2860" s="2" t="s">
        <v>10018</v>
      </c>
      <c r="D2860" s="2" t="s">
        <v>82</v>
      </c>
      <c r="E2860" s="2">
        <v>53</v>
      </c>
      <c r="F2860" s="2">
        <v>229.96</v>
      </c>
    </row>
    <row r="2861" spans="3:6" x14ac:dyDescent="0.25">
      <c r="C2861" s="2" t="s">
        <v>10019</v>
      </c>
      <c r="D2861" s="2" t="s">
        <v>82</v>
      </c>
      <c r="E2861" s="2">
        <v>121</v>
      </c>
      <c r="F2861" s="2">
        <v>2457.689</v>
      </c>
    </row>
    <row r="2862" spans="3:6" x14ac:dyDescent="0.25">
      <c r="C2862" s="2" t="s">
        <v>10020</v>
      </c>
      <c r="D2862" s="2" t="s">
        <v>82</v>
      </c>
      <c r="E2862" s="2">
        <v>141</v>
      </c>
      <c r="F2862" s="2">
        <v>2873.29</v>
      </c>
    </row>
    <row r="2863" spans="3:6" x14ac:dyDescent="0.25">
      <c r="C2863" s="2" t="s">
        <v>10021</v>
      </c>
      <c r="D2863" s="2" t="s">
        <v>82</v>
      </c>
      <c r="E2863" s="2">
        <v>101</v>
      </c>
      <c r="F2863" s="2">
        <v>1973.31</v>
      </c>
    </row>
    <row r="2864" spans="3:6" x14ac:dyDescent="0.25">
      <c r="C2864" s="2" t="s">
        <v>10022</v>
      </c>
      <c r="D2864" s="2" t="s">
        <v>82</v>
      </c>
      <c r="E2864" s="2">
        <v>24</v>
      </c>
      <c r="F2864" s="2">
        <v>476.17</v>
      </c>
    </row>
    <row r="2865" spans="3:6" x14ac:dyDescent="0.25">
      <c r="C2865" s="2" t="s">
        <v>10023</v>
      </c>
      <c r="D2865" s="2" t="s">
        <v>82</v>
      </c>
      <c r="E2865" s="2">
        <v>16</v>
      </c>
      <c r="F2865" s="2">
        <v>326.31</v>
      </c>
    </row>
    <row r="2866" spans="3:6" x14ac:dyDescent="0.25">
      <c r="C2866" s="2" t="s">
        <v>10024</v>
      </c>
      <c r="D2866" s="2" t="s">
        <v>82</v>
      </c>
      <c r="E2866" s="2">
        <v>141</v>
      </c>
      <c r="F2866" s="2">
        <v>2969.679</v>
      </c>
    </row>
    <row r="2867" spans="3:6" x14ac:dyDescent="0.25">
      <c r="C2867" s="2" t="s">
        <v>10025</v>
      </c>
      <c r="D2867" s="2" t="s">
        <v>82</v>
      </c>
      <c r="E2867" s="2">
        <v>88</v>
      </c>
      <c r="F2867" s="2">
        <v>1719.66</v>
      </c>
    </row>
    <row r="2868" spans="3:6" x14ac:dyDescent="0.25">
      <c r="C2868" s="2" t="s">
        <v>10026</v>
      </c>
      <c r="D2868" s="2" t="s">
        <v>82</v>
      </c>
      <c r="E2868" s="2">
        <v>53</v>
      </c>
      <c r="F2868" s="2">
        <v>1084.21</v>
      </c>
    </row>
    <row r="2869" spans="3:6" x14ac:dyDescent="0.25">
      <c r="C2869" s="2" t="s">
        <v>10027</v>
      </c>
      <c r="D2869" s="2" t="s">
        <v>82</v>
      </c>
      <c r="E2869" s="2">
        <v>93</v>
      </c>
      <c r="F2869" s="2">
        <v>1602.204</v>
      </c>
    </row>
    <row r="2870" spans="3:6" x14ac:dyDescent="0.25">
      <c r="C2870" s="2" t="s">
        <v>10028</v>
      </c>
      <c r="D2870" s="2" t="s">
        <v>82</v>
      </c>
      <c r="E2870" s="2">
        <v>48</v>
      </c>
      <c r="F2870" s="2">
        <v>951.849</v>
      </c>
    </row>
    <row r="2871" spans="3:6" x14ac:dyDescent="0.25">
      <c r="C2871" s="2" t="s">
        <v>10029</v>
      </c>
      <c r="D2871" s="2" t="s">
        <v>82</v>
      </c>
      <c r="E2871" s="2">
        <v>51</v>
      </c>
      <c r="F2871" s="2">
        <v>951.169</v>
      </c>
    </row>
    <row r="2872" spans="3:6" x14ac:dyDescent="0.25">
      <c r="C2872" s="2" t="s">
        <v>10030</v>
      </c>
      <c r="D2872" s="2" t="s">
        <v>82</v>
      </c>
      <c r="E2872" s="2">
        <v>42</v>
      </c>
      <c r="F2872" s="2">
        <v>858.28</v>
      </c>
    </row>
    <row r="2873" spans="3:6" x14ac:dyDescent="0.25">
      <c r="C2873" s="2" t="s">
        <v>10031</v>
      </c>
      <c r="D2873" s="2" t="s">
        <v>82</v>
      </c>
      <c r="E2873" s="2">
        <v>141</v>
      </c>
      <c r="F2873" s="2">
        <v>2841.45</v>
      </c>
    </row>
    <row r="2874" spans="3:6" x14ac:dyDescent="0.25">
      <c r="C2874" s="2" t="s">
        <v>10032</v>
      </c>
      <c r="D2874" s="2" t="s">
        <v>82</v>
      </c>
      <c r="E2874" s="2">
        <v>141</v>
      </c>
      <c r="F2874" s="2">
        <v>2817.109</v>
      </c>
    </row>
    <row r="2875" spans="3:6" x14ac:dyDescent="0.25">
      <c r="C2875" s="2" t="s">
        <v>10033</v>
      </c>
      <c r="D2875" s="2" t="s">
        <v>82</v>
      </c>
      <c r="E2875" s="2">
        <v>102</v>
      </c>
      <c r="F2875" s="2">
        <v>2123.55</v>
      </c>
    </row>
    <row r="2877" spans="1:7" x14ac:dyDescent="0.25">
      <c r="A2877" s="1">
        <v>46167</v>
      </c>
      <c r="B2877" s="2" t="s">
        <v>290</v>
      </c>
      <c r="C2877" s="2" t="s">
        <v>10034</v>
      </c>
      <c r="D2877" s="2" t="s">
        <v>292</v>
      </c>
      <c r="E2877" s="2">
        <v>100</v>
      </c>
      <c r="F2877" s="2">
        <v>2078.907</v>
      </c>
      <c r="G2877" s="1">
        <v>46167</v>
      </c>
    </row>
    <row r="2878" spans="3:6" x14ac:dyDescent="0.25">
      <c r="C2878" s="2" t="s">
        <v>10035</v>
      </c>
      <c r="D2878" s="2" t="s">
        <v>292</v>
      </c>
      <c r="E2878" s="2">
        <v>100</v>
      </c>
      <c r="F2878" s="2">
        <v>2215.17</v>
      </c>
    </row>
    <row r="2879" spans="3:6" x14ac:dyDescent="0.25">
      <c r="C2879" s="2" t="s">
        <v>10036</v>
      </c>
      <c r="D2879" s="2" t="s">
        <v>292</v>
      </c>
      <c r="E2879" s="2">
        <v>19</v>
      </c>
      <c r="F2879" s="2">
        <v>357.57</v>
      </c>
    </row>
    <row r="2880" spans="3:6" x14ac:dyDescent="0.25">
      <c r="C2880" s="2" t="s">
        <v>10037</v>
      </c>
      <c r="D2880" s="2" t="s">
        <v>292</v>
      </c>
      <c r="E2880" s="2">
        <v>28</v>
      </c>
      <c r="F2880" s="2">
        <v>542.906</v>
      </c>
    </row>
    <row r="2881" spans="3:6" x14ac:dyDescent="0.25">
      <c r="C2881" s="2" t="s">
        <v>10038</v>
      </c>
      <c r="D2881" s="2" t="s">
        <v>292</v>
      </c>
      <c r="E2881" s="2">
        <v>15</v>
      </c>
      <c r="F2881" s="2">
        <v>225.239</v>
      </c>
    </row>
    <row r="2882" spans="3:6" x14ac:dyDescent="0.25">
      <c r="C2882" s="2" t="s">
        <v>10039</v>
      </c>
      <c r="D2882" s="2" t="s">
        <v>292</v>
      </c>
      <c r="E2882" s="2">
        <v>14</v>
      </c>
      <c r="F2882" s="2">
        <v>213.76</v>
      </c>
    </row>
    <row r="2883" spans="3:6" x14ac:dyDescent="0.25">
      <c r="C2883" s="2" t="s">
        <v>10040</v>
      </c>
      <c r="D2883" s="2" t="s">
        <v>292</v>
      </c>
      <c r="E2883" s="2">
        <v>11</v>
      </c>
      <c r="F2883" s="2">
        <v>220.81</v>
      </c>
    </row>
    <row r="2884" spans="3:6" x14ac:dyDescent="0.25">
      <c r="C2884" s="2" t="s">
        <v>10041</v>
      </c>
      <c r="D2884" s="2" t="s">
        <v>292</v>
      </c>
      <c r="E2884" s="2">
        <v>16</v>
      </c>
      <c r="F2884" s="2">
        <v>332.96</v>
      </c>
    </row>
    <row r="2885" spans="3:6" x14ac:dyDescent="0.25">
      <c r="C2885" s="2" t="s">
        <v>10042</v>
      </c>
      <c r="D2885" s="2" t="s">
        <v>292</v>
      </c>
      <c r="E2885" s="2">
        <v>18</v>
      </c>
      <c r="F2885" s="2">
        <v>353.379</v>
      </c>
    </row>
    <row r="2886" spans="3:6" x14ac:dyDescent="0.25">
      <c r="C2886" s="2" t="s">
        <v>10043</v>
      </c>
      <c r="D2886" s="2" t="s">
        <v>292</v>
      </c>
      <c r="E2886" s="2">
        <v>56</v>
      </c>
      <c r="F2886" s="2">
        <v>1043.729</v>
      </c>
    </row>
    <row r="2887" spans="3:6" x14ac:dyDescent="0.25">
      <c r="C2887" s="2" t="s">
        <v>10044</v>
      </c>
      <c r="D2887" s="2" t="s">
        <v>292</v>
      </c>
      <c r="E2887" s="2">
        <v>17</v>
      </c>
      <c r="F2887" s="2">
        <v>290.03</v>
      </c>
    </row>
    <row r="2888" spans="3:6" x14ac:dyDescent="0.25">
      <c r="C2888" s="2" t="s">
        <v>10045</v>
      </c>
      <c r="D2888" s="2" t="s">
        <v>292</v>
      </c>
      <c r="E2888" s="2">
        <v>30</v>
      </c>
      <c r="F2888" s="2">
        <v>606.73</v>
      </c>
    </row>
    <row r="2889" spans="3:6" x14ac:dyDescent="0.25">
      <c r="C2889" s="2" t="s">
        <v>10046</v>
      </c>
      <c r="D2889" s="2" t="s">
        <v>292</v>
      </c>
      <c r="E2889" s="2">
        <v>27</v>
      </c>
      <c r="F2889" s="2">
        <v>309.974</v>
      </c>
    </row>
    <row r="2890" spans="3:6" x14ac:dyDescent="0.25">
      <c r="C2890" s="2" t="s">
        <v>10047</v>
      </c>
      <c r="D2890" s="2" t="s">
        <v>292</v>
      </c>
      <c r="E2890" s="2">
        <v>35</v>
      </c>
      <c r="F2890" s="2">
        <v>744.91</v>
      </c>
    </row>
    <row r="2891" spans="3:6" x14ac:dyDescent="0.25">
      <c r="C2891" s="2" t="s">
        <v>10048</v>
      </c>
      <c r="D2891" s="2" t="s">
        <v>292</v>
      </c>
      <c r="E2891" s="2">
        <v>22</v>
      </c>
      <c r="F2891" s="2">
        <v>455.739</v>
      </c>
    </row>
    <row r="2892" spans="3:6" x14ac:dyDescent="0.25">
      <c r="C2892" s="2" t="s">
        <v>10049</v>
      </c>
      <c r="D2892" s="2" t="s">
        <v>292</v>
      </c>
      <c r="E2892" s="2">
        <v>13</v>
      </c>
      <c r="F2892" s="2">
        <v>272.46</v>
      </c>
    </row>
    <row r="2893" spans="3:6" x14ac:dyDescent="0.25">
      <c r="C2893" s="2" t="s">
        <v>10050</v>
      </c>
      <c r="D2893" s="2" t="s">
        <v>292</v>
      </c>
      <c r="E2893" s="2">
        <v>96</v>
      </c>
      <c r="F2893" s="2">
        <v>1997.71</v>
      </c>
    </row>
    <row r="2894" spans="3:6" x14ac:dyDescent="0.25">
      <c r="C2894" s="2" t="s">
        <v>10051</v>
      </c>
      <c r="D2894" s="2" t="s">
        <v>292</v>
      </c>
      <c r="E2894" s="2">
        <v>123</v>
      </c>
      <c r="F2894" s="2">
        <v>2537.23</v>
      </c>
    </row>
    <row r="2895" spans="3:6" x14ac:dyDescent="0.25">
      <c r="C2895" s="2" t="s">
        <v>10052</v>
      </c>
      <c r="D2895" s="2" t="s">
        <v>292</v>
      </c>
      <c r="E2895" s="2">
        <v>123</v>
      </c>
      <c r="F2895" s="2">
        <v>2509.82</v>
      </c>
    </row>
    <row r="2896" spans="3:6" x14ac:dyDescent="0.25">
      <c r="C2896" s="2" t="s">
        <v>10053</v>
      </c>
      <c r="D2896" s="2" t="s">
        <v>292</v>
      </c>
      <c r="E2896" s="2">
        <v>123</v>
      </c>
      <c r="F2896" s="2">
        <v>2486.95</v>
      </c>
    </row>
    <row r="2897" spans="3:6" x14ac:dyDescent="0.25">
      <c r="C2897" s="2" t="s">
        <v>10054</v>
      </c>
      <c r="D2897" s="2" t="s">
        <v>292</v>
      </c>
      <c r="E2897" s="2">
        <v>127</v>
      </c>
      <c r="F2897" s="2">
        <v>2125.005</v>
      </c>
    </row>
    <row r="2898" spans="3:6" x14ac:dyDescent="0.25">
      <c r="C2898" s="2" t="s">
        <v>10055</v>
      </c>
      <c r="D2898" s="2" t="s">
        <v>292</v>
      </c>
      <c r="E2898" s="2">
        <v>141</v>
      </c>
      <c r="F2898" s="2">
        <v>2875.872</v>
      </c>
    </row>
    <row r="2899" spans="3:6" x14ac:dyDescent="0.25">
      <c r="C2899" s="2" t="s">
        <v>10056</v>
      </c>
      <c r="D2899" s="2" t="s">
        <v>292</v>
      </c>
      <c r="E2899" s="2">
        <v>50</v>
      </c>
      <c r="F2899" s="2">
        <v>242.58</v>
      </c>
    </row>
    <row r="2900" spans="3:6" x14ac:dyDescent="0.25">
      <c r="C2900" s="2" t="s">
        <v>10057</v>
      </c>
      <c r="D2900" s="2" t="s">
        <v>292</v>
      </c>
      <c r="E2900" s="2">
        <v>141</v>
      </c>
      <c r="F2900" s="2">
        <v>2983.27</v>
      </c>
    </row>
    <row r="2901" spans="3:6" x14ac:dyDescent="0.25">
      <c r="C2901" s="2" t="s">
        <v>10058</v>
      </c>
      <c r="D2901" s="2" t="s">
        <v>292</v>
      </c>
      <c r="E2901" s="2">
        <v>92</v>
      </c>
      <c r="F2901" s="2">
        <v>1561.833</v>
      </c>
    </row>
    <row r="2902" spans="3:6" x14ac:dyDescent="0.25">
      <c r="C2902" s="2" t="s">
        <v>10059</v>
      </c>
      <c r="D2902" s="2" t="s">
        <v>292</v>
      </c>
      <c r="E2902" s="2">
        <v>124</v>
      </c>
      <c r="F2902" s="2">
        <v>2515.92</v>
      </c>
    </row>
    <row r="2903" spans="3:6" x14ac:dyDescent="0.25">
      <c r="C2903" s="2" t="s">
        <v>10060</v>
      </c>
      <c r="D2903" s="2" t="s">
        <v>292</v>
      </c>
      <c r="E2903" s="2">
        <v>114</v>
      </c>
      <c r="F2903" s="2">
        <v>1716.203</v>
      </c>
    </row>
    <row r="2904" spans="3:6" x14ac:dyDescent="0.25">
      <c r="C2904" s="2" t="s">
        <v>10061</v>
      </c>
      <c r="D2904" s="2" t="s">
        <v>292</v>
      </c>
      <c r="E2904" s="2">
        <v>67</v>
      </c>
      <c r="F2904" s="2">
        <v>1430.69</v>
      </c>
    </row>
    <row r="2905" spans="3:6" x14ac:dyDescent="0.25">
      <c r="C2905" s="2" t="s">
        <v>10062</v>
      </c>
      <c r="D2905" s="2" t="s">
        <v>292</v>
      </c>
      <c r="E2905" s="2">
        <v>141</v>
      </c>
      <c r="F2905" s="2">
        <v>2889</v>
      </c>
    </row>
    <row r="2906" spans="3:6" x14ac:dyDescent="0.25">
      <c r="C2906" s="2" t="s">
        <v>10063</v>
      </c>
      <c r="D2906" s="2" t="s">
        <v>292</v>
      </c>
      <c r="E2906" s="2">
        <v>60</v>
      </c>
      <c r="F2906" s="2">
        <v>319.13</v>
      </c>
    </row>
    <row r="2907" spans="3:6" x14ac:dyDescent="0.25">
      <c r="C2907" s="2" t="s">
        <v>10064</v>
      </c>
      <c r="D2907" s="2" t="s">
        <v>292</v>
      </c>
      <c r="E2907" s="2">
        <v>141</v>
      </c>
      <c r="F2907" s="2">
        <v>2815.75</v>
      </c>
    </row>
    <row r="2908" spans="3:6" x14ac:dyDescent="0.25">
      <c r="C2908" s="2" t="s">
        <v>10065</v>
      </c>
      <c r="D2908" s="2" t="s">
        <v>292</v>
      </c>
      <c r="E2908" s="2">
        <v>125</v>
      </c>
      <c r="F2908" s="2">
        <v>2685.837</v>
      </c>
    </row>
    <row r="2909" spans="3:6" x14ac:dyDescent="0.25">
      <c r="C2909" s="2" t="s">
        <v>10066</v>
      </c>
      <c r="D2909" s="2" t="s">
        <v>292</v>
      </c>
      <c r="E2909" s="2">
        <v>141</v>
      </c>
      <c r="F2909" s="2">
        <v>2816.639</v>
      </c>
    </row>
    <row r="2910" spans="3:6" x14ac:dyDescent="0.25">
      <c r="C2910" s="2" t="s">
        <v>10067</v>
      </c>
      <c r="D2910" s="2" t="s">
        <v>292</v>
      </c>
      <c r="E2910" s="2">
        <v>45</v>
      </c>
      <c r="F2910" s="2">
        <v>214.62</v>
      </c>
    </row>
    <row r="2911" spans="3:6" x14ac:dyDescent="0.25">
      <c r="C2911" s="2" t="s">
        <v>10068</v>
      </c>
      <c r="D2911" s="2" t="s">
        <v>292</v>
      </c>
      <c r="E2911" s="2">
        <v>61</v>
      </c>
      <c r="F2911" s="2">
        <v>1217.659</v>
      </c>
    </row>
    <row r="2912" spans="3:6" x14ac:dyDescent="0.25">
      <c r="C2912" s="2" t="s">
        <v>10069</v>
      </c>
      <c r="D2912" s="2" t="s">
        <v>292</v>
      </c>
      <c r="E2912" s="2">
        <v>79</v>
      </c>
      <c r="F2912" s="2">
        <v>1657.689</v>
      </c>
    </row>
    <row r="2913" spans="3:6" x14ac:dyDescent="0.25">
      <c r="C2913" s="2" t="s">
        <v>10070</v>
      </c>
      <c r="D2913" s="2" t="s">
        <v>292</v>
      </c>
      <c r="E2913" s="2">
        <v>141</v>
      </c>
      <c r="F2913" s="2">
        <v>2918.449</v>
      </c>
    </row>
    <row r="2914" spans="3:6" x14ac:dyDescent="0.25">
      <c r="C2914" s="2" t="s">
        <v>10071</v>
      </c>
      <c r="D2914" s="2" t="s">
        <v>292</v>
      </c>
      <c r="E2914" s="2">
        <v>45</v>
      </c>
      <c r="F2914" s="2">
        <v>238.27</v>
      </c>
    </row>
    <row r="2915" spans="3:6" x14ac:dyDescent="0.25">
      <c r="C2915" s="2" t="s">
        <v>10072</v>
      </c>
      <c r="D2915" s="2" t="s">
        <v>292</v>
      </c>
      <c r="E2915" s="2">
        <v>98</v>
      </c>
      <c r="F2915" s="2">
        <v>1615.013</v>
      </c>
    </row>
    <row r="2916" spans="3:6" x14ac:dyDescent="0.25">
      <c r="C2916" s="2" t="s">
        <v>10073</v>
      </c>
      <c r="D2916" s="2" t="s">
        <v>292</v>
      </c>
      <c r="E2916" s="2">
        <v>56</v>
      </c>
      <c r="F2916" s="2">
        <v>1120</v>
      </c>
    </row>
    <row r="2917" spans="3:6" x14ac:dyDescent="0.25">
      <c r="C2917" s="2" t="s">
        <v>10074</v>
      </c>
      <c r="D2917" s="2" t="s">
        <v>292</v>
      </c>
      <c r="E2917" s="2">
        <v>53</v>
      </c>
      <c r="F2917" s="2">
        <v>1020.04</v>
      </c>
    </row>
    <row r="2918" spans="3:6" x14ac:dyDescent="0.25">
      <c r="C2918" s="2" t="s">
        <v>10075</v>
      </c>
      <c r="D2918" s="2" t="s">
        <v>292</v>
      </c>
      <c r="E2918" s="2">
        <v>56</v>
      </c>
      <c r="F2918" s="2">
        <v>616.543</v>
      </c>
    </row>
    <row r="2919" spans="3:6" x14ac:dyDescent="0.25">
      <c r="C2919" s="2" t="s">
        <v>10076</v>
      </c>
      <c r="D2919" s="2" t="s">
        <v>292</v>
      </c>
      <c r="E2919" s="2">
        <v>100</v>
      </c>
      <c r="F2919" s="2">
        <v>1978.489</v>
      </c>
    </row>
    <row r="2920" spans="3:6" x14ac:dyDescent="0.25">
      <c r="C2920" s="2" t="s">
        <v>10077</v>
      </c>
      <c r="D2920" s="2" t="s">
        <v>292</v>
      </c>
      <c r="E2920" s="2">
        <v>30</v>
      </c>
      <c r="F2920" s="2">
        <v>656.13</v>
      </c>
    </row>
    <row r="2921" spans="3:6" x14ac:dyDescent="0.25">
      <c r="C2921" s="2" t="s">
        <v>10078</v>
      </c>
      <c r="D2921" s="2" t="s">
        <v>292</v>
      </c>
      <c r="E2921" s="2">
        <v>65</v>
      </c>
      <c r="F2921" s="2">
        <v>1377.77</v>
      </c>
    </row>
    <row r="2922" spans="3:6" x14ac:dyDescent="0.25">
      <c r="C2922" s="2" t="s">
        <v>10079</v>
      </c>
      <c r="D2922" s="2" t="s">
        <v>292</v>
      </c>
      <c r="E2922" s="2">
        <v>41</v>
      </c>
      <c r="F2922" s="2">
        <v>291.182</v>
      </c>
    </row>
    <row r="2923" spans="3:6" x14ac:dyDescent="0.25">
      <c r="C2923" s="2" t="s">
        <v>10080</v>
      </c>
      <c r="D2923" s="2" t="s">
        <v>292</v>
      </c>
      <c r="E2923" s="2">
        <v>10</v>
      </c>
      <c r="F2923" s="2">
        <v>236.8</v>
      </c>
    </row>
    <row r="2924" spans="3:6" x14ac:dyDescent="0.25">
      <c r="C2924" s="2" t="s">
        <v>10081</v>
      </c>
      <c r="D2924" s="2" t="s">
        <v>292</v>
      </c>
      <c r="E2924" s="2">
        <v>62</v>
      </c>
      <c r="F2924" s="2">
        <v>1276.09</v>
      </c>
    </row>
    <row r="2925" spans="3:6" x14ac:dyDescent="0.25">
      <c r="C2925" s="2" t="s">
        <v>10082</v>
      </c>
      <c r="D2925" s="2" t="s">
        <v>292</v>
      </c>
      <c r="E2925" s="2">
        <v>80</v>
      </c>
      <c r="F2925" s="2">
        <v>1637.69</v>
      </c>
    </row>
    <row r="2927" spans="1:7" x14ac:dyDescent="0.25">
      <c r="A2927" s="1">
        <v>46167</v>
      </c>
      <c r="B2927" s="2" t="s">
        <v>7</v>
      </c>
      <c r="C2927" s="2" t="s">
        <v>10083</v>
      </c>
      <c r="D2927" s="2" t="s">
        <v>9</v>
      </c>
      <c r="E2927" s="2">
        <v>89</v>
      </c>
      <c r="F2927" s="2">
        <v>1807.93</v>
      </c>
      <c r="G2927" s="1">
        <v>46167</v>
      </c>
    </row>
    <row r="2928" spans="3:6" x14ac:dyDescent="0.25">
      <c r="C2928" s="2" t="s">
        <v>10084</v>
      </c>
      <c r="D2928" s="2" t="s">
        <v>9</v>
      </c>
      <c r="E2928" s="2">
        <v>86</v>
      </c>
      <c r="F2928" s="2">
        <v>1806.93</v>
      </c>
    </row>
    <row r="2930" spans="1:7" x14ac:dyDescent="0.25">
      <c r="A2930" s="1">
        <v>46167</v>
      </c>
      <c r="B2930" s="2" t="s">
        <v>128</v>
      </c>
      <c r="C2930" s="2" t="s">
        <v>10085</v>
      </c>
      <c r="D2930" s="2" t="s">
        <v>15</v>
      </c>
      <c r="E2930" s="2">
        <v>276</v>
      </c>
      <c r="F2930" s="2">
        <v>1032.254</v>
      </c>
      <c r="G2930" s="1">
        <v>46167</v>
      </c>
    </row>
    <row r="2931" spans="3:6" x14ac:dyDescent="0.25">
      <c r="C2931" s="2" t="s">
        <v>10086</v>
      </c>
      <c r="D2931" s="2" t="s">
        <v>15</v>
      </c>
      <c r="E2931" s="2">
        <v>319</v>
      </c>
      <c r="F2931" s="2">
        <v>792.755</v>
      </c>
    </row>
    <row r="2932" spans="3:6" x14ac:dyDescent="0.25">
      <c r="C2932" s="2" t="s">
        <v>10087</v>
      </c>
      <c r="D2932" s="2" t="s">
        <v>15</v>
      </c>
      <c r="E2932" s="2">
        <v>36</v>
      </c>
      <c r="F2932" s="2">
        <v>744.91</v>
      </c>
    </row>
    <row r="2933" spans="3:6" x14ac:dyDescent="0.25">
      <c r="C2933" s="2" t="s">
        <v>10088</v>
      </c>
      <c r="D2933" s="2" t="s">
        <v>15</v>
      </c>
      <c r="E2933" s="2">
        <v>105</v>
      </c>
      <c r="F2933" s="2">
        <v>2106.57</v>
      </c>
    </row>
    <row r="2934" spans="3:6" x14ac:dyDescent="0.25">
      <c r="C2934" s="2" t="s">
        <v>10089</v>
      </c>
      <c r="D2934" s="2" t="s">
        <v>15</v>
      </c>
      <c r="E2934" s="2">
        <v>105</v>
      </c>
      <c r="F2934" s="2">
        <v>2075.85</v>
      </c>
    </row>
    <row r="2935" spans="3:6" x14ac:dyDescent="0.25">
      <c r="C2935" s="2" t="s">
        <v>10090</v>
      </c>
      <c r="D2935" s="2" t="s">
        <v>42</v>
      </c>
      <c r="E2935" s="2">
        <v>92</v>
      </c>
      <c r="F2935" s="2">
        <v>1744.901</v>
      </c>
    </row>
    <row r="2936" spans="3:6" x14ac:dyDescent="0.25">
      <c r="C2936" s="2" t="s">
        <v>10091</v>
      </c>
      <c r="D2936" s="2" t="s">
        <v>42</v>
      </c>
      <c r="E2936" s="2">
        <v>14</v>
      </c>
      <c r="F2936" s="2">
        <v>257.42</v>
      </c>
    </row>
    <row r="2937" spans="3:6" x14ac:dyDescent="0.25">
      <c r="C2937" s="2" t="s">
        <v>10092</v>
      </c>
      <c r="D2937" s="2" t="s">
        <v>15</v>
      </c>
      <c r="E2937" s="2">
        <v>163</v>
      </c>
      <c r="F2937" s="2">
        <v>3193.78</v>
      </c>
    </row>
    <row r="2938" spans="3:6" x14ac:dyDescent="0.25">
      <c r="C2938" s="2" t="s">
        <v>10093</v>
      </c>
      <c r="D2938" s="2" t="s">
        <v>15</v>
      </c>
      <c r="E2938" s="2">
        <v>163</v>
      </c>
      <c r="F2938" s="2">
        <v>3161.229</v>
      </c>
    </row>
    <row r="2939" spans="3:6" x14ac:dyDescent="0.25">
      <c r="C2939" s="2" t="s">
        <v>10094</v>
      </c>
      <c r="D2939" s="2" t="s">
        <v>42</v>
      </c>
      <c r="E2939" s="2">
        <v>76</v>
      </c>
      <c r="F2939" s="2">
        <v>1482.883</v>
      </c>
    </row>
    <row r="2940" spans="3:6" x14ac:dyDescent="0.25">
      <c r="C2940" s="2" t="s">
        <v>10095</v>
      </c>
      <c r="D2940" s="2" t="s">
        <v>42</v>
      </c>
      <c r="E2940" s="2">
        <v>80</v>
      </c>
      <c r="F2940" s="2">
        <v>1579.14</v>
      </c>
    </row>
    <row r="2941" spans="3:6" x14ac:dyDescent="0.25">
      <c r="C2941" s="2" t="s">
        <v>10096</v>
      </c>
      <c r="D2941" s="2" t="s">
        <v>30</v>
      </c>
      <c r="E2941" s="2">
        <v>67</v>
      </c>
      <c r="F2941" s="2">
        <v>1371.79</v>
      </c>
    </row>
    <row r="2942" spans="3:6" x14ac:dyDescent="0.25">
      <c r="C2942" s="2" t="s">
        <v>10097</v>
      </c>
      <c r="D2942" s="2" t="s">
        <v>30</v>
      </c>
      <c r="E2942" s="2">
        <v>68</v>
      </c>
      <c r="F2942" s="2">
        <v>1201.22</v>
      </c>
    </row>
    <row r="2943" spans="3:6" x14ac:dyDescent="0.25">
      <c r="C2943" s="2" t="s">
        <v>10098</v>
      </c>
      <c r="D2943" s="2" t="s">
        <v>42</v>
      </c>
      <c r="E2943" s="2">
        <v>20</v>
      </c>
      <c r="F2943" s="2">
        <v>363.369</v>
      </c>
    </row>
    <row r="2944" spans="3:6" x14ac:dyDescent="0.25">
      <c r="C2944" s="2" t="s">
        <v>10099</v>
      </c>
      <c r="D2944" s="2" t="s">
        <v>42</v>
      </c>
      <c r="E2944" s="2">
        <v>80</v>
      </c>
      <c r="F2944" s="2">
        <v>1493.833</v>
      </c>
    </row>
    <row r="2945" spans="3:6" x14ac:dyDescent="0.25">
      <c r="C2945" s="2" t="s">
        <v>10100</v>
      </c>
      <c r="D2945" s="2" t="s">
        <v>42</v>
      </c>
      <c r="E2945" s="2">
        <v>56</v>
      </c>
      <c r="F2945" s="2">
        <v>1066.01</v>
      </c>
    </row>
    <row r="2946" spans="3:6" x14ac:dyDescent="0.25">
      <c r="C2946" s="2" t="s">
        <v>10101</v>
      </c>
      <c r="D2946" s="2" t="s">
        <v>36</v>
      </c>
      <c r="E2946" s="2">
        <v>14</v>
      </c>
      <c r="F2946" s="2">
        <v>242.19</v>
      </c>
    </row>
    <row r="2947" spans="3:6" x14ac:dyDescent="0.25">
      <c r="C2947" s="2" t="s">
        <v>10102</v>
      </c>
      <c r="D2947" s="2" t="s">
        <v>36</v>
      </c>
      <c r="E2947" s="2">
        <v>80</v>
      </c>
      <c r="F2947" s="2">
        <v>1509.54</v>
      </c>
    </row>
    <row r="2948" spans="3:6" x14ac:dyDescent="0.25">
      <c r="C2948" s="2" t="s">
        <v>10103</v>
      </c>
      <c r="D2948" s="2" t="s">
        <v>36</v>
      </c>
      <c r="E2948" s="2">
        <v>53</v>
      </c>
      <c r="F2948" s="2">
        <v>1017.499</v>
      </c>
    </row>
    <row r="2949" spans="3:6" x14ac:dyDescent="0.25">
      <c r="C2949" s="2" t="s">
        <v>10104</v>
      </c>
      <c r="D2949" s="2" t="s">
        <v>30</v>
      </c>
      <c r="E2949" s="2">
        <v>134</v>
      </c>
      <c r="F2949" s="2">
        <v>2646.99</v>
      </c>
    </row>
    <row r="2950" spans="3:6" x14ac:dyDescent="0.25">
      <c r="C2950" s="2" t="s">
        <v>10105</v>
      </c>
      <c r="D2950" s="2" t="s">
        <v>30</v>
      </c>
      <c r="E2950" s="2">
        <v>134</v>
      </c>
      <c r="F2950" s="2">
        <v>2779.879</v>
      </c>
    </row>
    <row r="2951" spans="3:6" x14ac:dyDescent="0.25">
      <c r="C2951" s="2" t="s">
        <v>10106</v>
      </c>
      <c r="D2951" s="2" t="s">
        <v>26</v>
      </c>
      <c r="E2951" s="2">
        <v>156</v>
      </c>
      <c r="F2951" s="2">
        <v>3000.584</v>
      </c>
    </row>
    <row r="2952" spans="3:6" x14ac:dyDescent="0.25">
      <c r="C2952" s="2" t="s">
        <v>10107</v>
      </c>
      <c r="D2952" s="2" t="s">
        <v>26</v>
      </c>
      <c r="E2952" s="2">
        <v>156</v>
      </c>
      <c r="F2952" s="2">
        <v>2975.015</v>
      </c>
    </row>
    <row r="2953" spans="3:6" x14ac:dyDescent="0.25">
      <c r="C2953" s="2" t="s">
        <v>10108</v>
      </c>
      <c r="D2953" s="2" t="s">
        <v>26</v>
      </c>
      <c r="E2953" s="2">
        <v>156</v>
      </c>
      <c r="F2953" s="2">
        <v>2986.462</v>
      </c>
    </row>
    <row r="2954" spans="3:6" x14ac:dyDescent="0.25">
      <c r="C2954" s="2" t="s">
        <v>10109</v>
      </c>
      <c r="D2954" s="2" t="s">
        <v>15</v>
      </c>
      <c r="E2954" s="2">
        <v>33</v>
      </c>
      <c r="F2954" s="2">
        <v>538.74</v>
      </c>
    </row>
    <row r="2955" spans="3:6" x14ac:dyDescent="0.25">
      <c r="C2955" s="2" t="s">
        <v>10110</v>
      </c>
      <c r="D2955" s="2" t="s">
        <v>30</v>
      </c>
      <c r="E2955" s="2">
        <v>134</v>
      </c>
      <c r="F2955" s="2">
        <v>2446.35</v>
      </c>
    </row>
    <row r="2956" spans="3:6" x14ac:dyDescent="0.25">
      <c r="C2956" s="2" t="s">
        <v>10111</v>
      </c>
      <c r="D2956" s="2" t="s">
        <v>30</v>
      </c>
      <c r="E2956" s="2">
        <v>134</v>
      </c>
      <c r="F2956" s="2">
        <v>2678.76</v>
      </c>
    </row>
    <row r="2957" spans="3:6" x14ac:dyDescent="0.25">
      <c r="C2957" s="2" t="s">
        <v>10112</v>
      </c>
      <c r="D2957" s="2" t="s">
        <v>30</v>
      </c>
      <c r="E2957" s="2">
        <v>134</v>
      </c>
      <c r="F2957" s="2">
        <v>2705.39</v>
      </c>
    </row>
    <row r="2958" spans="3:6" x14ac:dyDescent="0.25">
      <c r="C2958" s="2" t="s">
        <v>10113</v>
      </c>
      <c r="D2958" s="2" t="s">
        <v>26</v>
      </c>
      <c r="E2958" s="2">
        <v>156</v>
      </c>
      <c r="F2958" s="2">
        <v>3041.447</v>
      </c>
    </row>
    <row r="2959" spans="3:6" x14ac:dyDescent="0.25">
      <c r="C2959" s="2" t="s">
        <v>10114</v>
      </c>
      <c r="D2959" s="2" t="s">
        <v>26</v>
      </c>
      <c r="E2959" s="2">
        <v>156</v>
      </c>
      <c r="F2959" s="2">
        <v>3035.039</v>
      </c>
    </row>
    <row r="2960" spans="3:6" x14ac:dyDescent="0.25">
      <c r="C2960" s="2" t="s">
        <v>10115</v>
      </c>
      <c r="D2960" s="2" t="s">
        <v>42</v>
      </c>
      <c r="E2960" s="2">
        <v>33</v>
      </c>
      <c r="F2960" s="2">
        <v>632.85</v>
      </c>
    </row>
    <row r="2961" spans="3:6" x14ac:dyDescent="0.25">
      <c r="C2961" s="2" t="s">
        <v>10116</v>
      </c>
      <c r="D2961" s="2" t="s">
        <v>42</v>
      </c>
      <c r="E2961" s="2">
        <v>100</v>
      </c>
      <c r="F2961" s="2">
        <v>1836.946</v>
      </c>
    </row>
    <row r="2962" spans="3:6" x14ac:dyDescent="0.25">
      <c r="C2962" s="2" t="s">
        <v>10117</v>
      </c>
      <c r="D2962" s="2" t="s">
        <v>42</v>
      </c>
      <c r="E2962" s="2">
        <v>23</v>
      </c>
      <c r="F2962" s="2">
        <v>418.56</v>
      </c>
    </row>
    <row r="2963" spans="3:6" x14ac:dyDescent="0.25">
      <c r="C2963" s="2" t="s">
        <v>10118</v>
      </c>
      <c r="D2963" s="2" t="s">
        <v>15</v>
      </c>
      <c r="E2963" s="2">
        <v>105</v>
      </c>
      <c r="F2963" s="2">
        <v>488.006</v>
      </c>
    </row>
    <row r="2964" spans="3:6" x14ac:dyDescent="0.25">
      <c r="C2964" s="2" t="s">
        <v>10119</v>
      </c>
      <c r="D2964" s="2" t="s">
        <v>15</v>
      </c>
      <c r="E2964" s="2">
        <v>156</v>
      </c>
      <c r="F2964" s="2">
        <v>1943.732</v>
      </c>
    </row>
    <row r="2965" spans="3:6" x14ac:dyDescent="0.25">
      <c r="C2965" s="2" t="s">
        <v>10120</v>
      </c>
      <c r="D2965" s="2" t="s">
        <v>15</v>
      </c>
      <c r="E2965" s="2">
        <v>163</v>
      </c>
      <c r="F2965" s="2">
        <v>3137.71</v>
      </c>
    </row>
    <row r="2966" spans="3:6" x14ac:dyDescent="0.25">
      <c r="C2966" s="2" t="s">
        <v>10121</v>
      </c>
      <c r="D2966" s="2" t="s">
        <v>136</v>
      </c>
      <c r="E2966" s="2">
        <v>156</v>
      </c>
      <c r="F2966" s="2">
        <v>3092.31</v>
      </c>
    </row>
    <row r="2967" spans="3:6" x14ac:dyDescent="0.25">
      <c r="C2967" s="2" t="s">
        <v>10122</v>
      </c>
      <c r="D2967" s="2" t="s">
        <v>136</v>
      </c>
      <c r="E2967" s="2">
        <v>156</v>
      </c>
      <c r="F2967" s="2">
        <v>3057.778</v>
      </c>
    </row>
    <row r="2969" spans="1:7" x14ac:dyDescent="0.25">
      <c r="A2969" s="1">
        <v>46167</v>
      </c>
      <c r="B2969" s="2" t="s">
        <v>2428</v>
      </c>
      <c r="C2969" s="2" t="s">
        <v>10123</v>
      </c>
      <c r="D2969" s="2" t="s">
        <v>59</v>
      </c>
      <c r="E2969" s="2">
        <v>163</v>
      </c>
      <c r="F2969" s="2">
        <v>3100.269</v>
      </c>
      <c r="G2969" s="1">
        <v>46167</v>
      </c>
    </row>
    <row r="2970" spans="3:6" x14ac:dyDescent="0.25">
      <c r="C2970" s="2" t="s">
        <v>10124</v>
      </c>
      <c r="D2970" s="2" t="s">
        <v>59</v>
      </c>
      <c r="E2970" s="2">
        <v>163</v>
      </c>
      <c r="F2970" s="2">
        <v>3004.089</v>
      </c>
    </row>
    <row r="2971" spans="3:6" x14ac:dyDescent="0.25">
      <c r="C2971" s="2" t="s">
        <v>10125</v>
      </c>
      <c r="D2971" s="2" t="s">
        <v>59</v>
      </c>
      <c r="E2971" s="2">
        <v>160</v>
      </c>
      <c r="F2971" s="2">
        <v>3354.16</v>
      </c>
    </row>
    <row r="2973" spans="1:7" x14ac:dyDescent="0.25">
      <c r="A2973" s="1">
        <v>46167</v>
      </c>
      <c r="B2973" s="2" t="s">
        <v>1626</v>
      </c>
      <c r="C2973" s="2" t="s">
        <v>10126</v>
      </c>
      <c r="D2973" s="2" t="s">
        <v>59</v>
      </c>
      <c r="E2973" s="2">
        <v>102</v>
      </c>
      <c r="F2973" s="2">
        <v>1916.228</v>
      </c>
      <c r="G2973" s="1">
        <v>46167</v>
      </c>
    </row>
    <row r="2974" spans="3:6" x14ac:dyDescent="0.25">
      <c r="C2974" s="2" t="s">
        <v>10127</v>
      </c>
      <c r="D2974" s="2" t="s">
        <v>59</v>
      </c>
      <c r="E2974" s="2">
        <v>102</v>
      </c>
      <c r="F2974" s="2">
        <v>2052.5</v>
      </c>
    </row>
    <row r="2975" spans="3:6" x14ac:dyDescent="0.25">
      <c r="C2975" s="2" t="s">
        <v>10128</v>
      </c>
      <c r="D2975" s="2" t="s">
        <v>59</v>
      </c>
      <c r="E2975" s="2">
        <v>288</v>
      </c>
      <c r="F2975" s="2">
        <v>4671.321</v>
      </c>
    </row>
    <row r="2976" spans="3:6" x14ac:dyDescent="0.25">
      <c r="C2976" s="2" t="s">
        <v>10129</v>
      </c>
      <c r="D2976" s="2" t="s">
        <v>59</v>
      </c>
      <c r="E2976" s="2">
        <v>245</v>
      </c>
      <c r="F2976" s="2">
        <v>5253.43</v>
      </c>
    </row>
    <row r="2977" spans="3:6" x14ac:dyDescent="0.25">
      <c r="C2977" s="2" t="s">
        <v>10130</v>
      </c>
      <c r="D2977" s="2" t="s">
        <v>59</v>
      </c>
      <c r="E2977" s="2">
        <v>101</v>
      </c>
      <c r="F2977" s="2">
        <v>2312.509</v>
      </c>
    </row>
    <row r="2978" spans="3:6" x14ac:dyDescent="0.25">
      <c r="C2978" s="2" t="s">
        <v>10131</v>
      </c>
      <c r="D2978" s="2" t="s">
        <v>59</v>
      </c>
      <c r="E2978" s="2">
        <v>149</v>
      </c>
      <c r="F2978" s="2">
        <v>2831.82</v>
      </c>
    </row>
    <row r="2979" spans="3:6" x14ac:dyDescent="0.25">
      <c r="C2979" s="2" t="s">
        <v>10132</v>
      </c>
      <c r="D2979" s="2" t="s">
        <v>59</v>
      </c>
      <c r="E2979" s="2">
        <v>102</v>
      </c>
      <c r="F2979" s="2">
        <v>1991.13</v>
      </c>
    </row>
    <row r="2980" spans="3:6" x14ac:dyDescent="0.25">
      <c r="C2980" s="2" t="s">
        <v>10133</v>
      </c>
      <c r="D2980" s="2" t="s">
        <v>59</v>
      </c>
      <c r="E2980" s="2">
        <v>102</v>
      </c>
      <c r="F2980" s="2">
        <v>1958.51</v>
      </c>
    </row>
    <row r="2981" spans="3:6" x14ac:dyDescent="0.25">
      <c r="C2981" s="2" t="s">
        <v>10134</v>
      </c>
      <c r="D2981" s="2" t="s">
        <v>59</v>
      </c>
      <c r="E2981" s="2">
        <v>102</v>
      </c>
      <c r="F2981" s="2">
        <v>2031.339</v>
      </c>
    </row>
    <row r="2983" spans="1:7" x14ac:dyDescent="0.25">
      <c r="A2983" s="1">
        <v>46168</v>
      </c>
      <c r="B2983" s="2" t="s">
        <v>1012</v>
      </c>
      <c r="C2983" s="2" t="s">
        <v>10135</v>
      </c>
      <c r="D2983" s="2" t="s">
        <v>73</v>
      </c>
      <c r="E2983" s="2">
        <v>92</v>
      </c>
      <c r="F2983" s="2">
        <v>1798.809</v>
      </c>
      <c r="G2983" s="1">
        <v>46168</v>
      </c>
    </row>
    <row r="2984" spans="3:6" x14ac:dyDescent="0.25">
      <c r="C2984" s="2" t="s">
        <v>10136</v>
      </c>
      <c r="D2984" s="2" t="s">
        <v>73</v>
      </c>
      <c r="E2984" s="2">
        <v>88</v>
      </c>
      <c r="F2984" s="2">
        <v>1815.9</v>
      </c>
    </row>
    <row r="2985" spans="3:6" x14ac:dyDescent="0.25">
      <c r="C2985" s="2" t="s">
        <v>10137</v>
      </c>
      <c r="D2985" s="2" t="s">
        <v>73</v>
      </c>
      <c r="E2985" s="2">
        <v>43</v>
      </c>
      <c r="F2985" s="2">
        <v>788.069</v>
      </c>
    </row>
    <row r="2986" spans="3:6" x14ac:dyDescent="0.25">
      <c r="C2986" s="2" t="s">
        <v>10138</v>
      </c>
      <c r="D2986" s="2" t="s">
        <v>73</v>
      </c>
      <c r="E2986" s="2">
        <v>57</v>
      </c>
      <c r="F2986" s="2">
        <v>988.64</v>
      </c>
    </row>
    <row r="2987" spans="3:6" x14ac:dyDescent="0.25">
      <c r="C2987" s="2" t="s">
        <v>10139</v>
      </c>
      <c r="D2987" s="2" t="s">
        <v>73</v>
      </c>
      <c r="E2987" s="2">
        <v>6</v>
      </c>
      <c r="F2987" s="2">
        <v>104.31</v>
      </c>
    </row>
    <row r="2988" spans="3:6" x14ac:dyDescent="0.25">
      <c r="C2988" s="2" t="s">
        <v>10140</v>
      </c>
      <c r="D2988" s="2" t="s">
        <v>73</v>
      </c>
      <c r="E2988" s="2">
        <v>16</v>
      </c>
      <c r="F2988" s="2">
        <v>285.279</v>
      </c>
    </row>
    <row r="2989" spans="3:6" x14ac:dyDescent="0.25">
      <c r="C2989" s="2" t="s">
        <v>10141</v>
      </c>
      <c r="D2989" s="2" t="s">
        <v>73</v>
      </c>
      <c r="E2989" s="2">
        <v>112</v>
      </c>
      <c r="F2989" s="2">
        <v>2225.71</v>
      </c>
    </row>
    <row r="2991" spans="1:7" x14ac:dyDescent="0.25">
      <c r="A2991" s="1">
        <v>46168</v>
      </c>
      <c r="B2991" s="2" t="s">
        <v>57</v>
      </c>
      <c r="C2991" s="2" t="s">
        <v>10142</v>
      </c>
      <c r="D2991" s="2" t="s">
        <v>59</v>
      </c>
      <c r="E2991" s="2">
        <v>163</v>
      </c>
      <c r="F2991" s="2">
        <v>3064.949</v>
      </c>
      <c r="G2991" s="1">
        <v>46168</v>
      </c>
    </row>
    <row r="2992" spans="3:6" x14ac:dyDescent="0.25">
      <c r="C2992" s="2" t="s">
        <v>10143</v>
      </c>
      <c r="D2992" s="2" t="s">
        <v>59</v>
      </c>
      <c r="E2992" s="2">
        <v>161</v>
      </c>
      <c r="F2992" s="2">
        <v>2831.539</v>
      </c>
    </row>
    <row r="2993" spans="3:6" x14ac:dyDescent="0.25">
      <c r="C2993" s="2" t="s">
        <v>10144</v>
      </c>
      <c r="D2993" s="2" t="s">
        <v>59</v>
      </c>
      <c r="E2993" s="2">
        <v>268</v>
      </c>
      <c r="F2993" s="2">
        <v>5063.979</v>
      </c>
    </row>
    <row r="2994" spans="3:6" x14ac:dyDescent="0.25">
      <c r="C2994" s="2" t="s">
        <v>10145</v>
      </c>
      <c r="D2994" s="2" t="s">
        <v>59</v>
      </c>
      <c r="E2994" s="2">
        <v>105</v>
      </c>
      <c r="F2994" s="2">
        <v>1970.56</v>
      </c>
    </row>
    <row r="2995" spans="3:6" x14ac:dyDescent="0.25">
      <c r="C2995" s="2" t="s">
        <v>10146</v>
      </c>
      <c r="D2995" s="2" t="s">
        <v>59</v>
      </c>
      <c r="E2995" s="2">
        <v>105</v>
      </c>
      <c r="F2995" s="2">
        <v>2004.49</v>
      </c>
    </row>
    <row r="2996" spans="3:6" x14ac:dyDescent="0.25">
      <c r="C2996" s="2" t="s">
        <v>10147</v>
      </c>
      <c r="D2996" s="2" t="s">
        <v>59</v>
      </c>
      <c r="E2996" s="2">
        <v>163</v>
      </c>
      <c r="F2996" s="2">
        <v>3121.495</v>
      </c>
    </row>
    <row r="2997" spans="3:6" x14ac:dyDescent="0.25">
      <c r="C2997" s="2" t="s">
        <v>10148</v>
      </c>
      <c r="D2997" s="2" t="s">
        <v>59</v>
      </c>
      <c r="E2997" s="2">
        <v>105</v>
      </c>
      <c r="F2997" s="2">
        <v>2065.389</v>
      </c>
    </row>
    <row r="2999" spans="1:7" x14ac:dyDescent="0.25">
      <c r="A2999" s="1">
        <v>46168</v>
      </c>
      <c r="B2999" s="2" t="s">
        <v>7</v>
      </c>
      <c r="C2999" s="2" t="s">
        <v>10149</v>
      </c>
      <c r="D2999" s="2" t="s">
        <v>9</v>
      </c>
      <c r="E2999" s="2">
        <v>91</v>
      </c>
      <c r="F2999" s="2">
        <v>1800.78</v>
      </c>
      <c r="G2999" s="1">
        <v>46168</v>
      </c>
    </row>
    <row r="3000" spans="3:6" x14ac:dyDescent="0.25">
      <c r="C3000" s="2" t="s">
        <v>10150</v>
      </c>
      <c r="D3000" s="2" t="s">
        <v>9</v>
      </c>
      <c r="E3000" s="2">
        <v>91</v>
      </c>
      <c r="F3000" s="2">
        <v>1809.95</v>
      </c>
    </row>
    <row r="3002" spans="1:7" x14ac:dyDescent="0.25">
      <c r="A3002" s="1">
        <v>46168</v>
      </c>
      <c r="B3002" s="2" t="s">
        <v>358</v>
      </c>
      <c r="C3002" s="2" t="s">
        <v>10151</v>
      </c>
      <c r="D3002" s="2" t="s">
        <v>136</v>
      </c>
      <c r="E3002" s="2">
        <v>110</v>
      </c>
      <c r="F3002" s="2">
        <v>2231.119</v>
      </c>
      <c r="G3002" s="1">
        <v>46168</v>
      </c>
    </row>
    <row r="3003" spans="3:6" x14ac:dyDescent="0.25">
      <c r="C3003" s="2" t="s">
        <v>10152</v>
      </c>
      <c r="D3003" s="2" t="s">
        <v>136</v>
      </c>
      <c r="E3003" s="2">
        <v>29</v>
      </c>
      <c r="F3003" s="2">
        <v>536.81</v>
      </c>
    </row>
    <row r="3005" spans="1:7" x14ac:dyDescent="0.25">
      <c r="A3005" s="1">
        <v>46169</v>
      </c>
      <c r="B3005" s="2" t="s">
        <v>1958</v>
      </c>
      <c r="C3005" s="2" t="s">
        <v>10153</v>
      </c>
      <c r="D3005" s="2" t="s">
        <v>53</v>
      </c>
      <c r="E3005" s="2">
        <v>100</v>
      </c>
      <c r="F3005" s="2">
        <v>1768</v>
      </c>
      <c r="G3005" s="1">
        <v>46169</v>
      </c>
    </row>
    <row r="3007" spans="1:7" x14ac:dyDescent="0.25">
      <c r="A3007" s="1">
        <v>46169</v>
      </c>
      <c r="B3007" s="2" t="s">
        <v>3948</v>
      </c>
      <c r="C3007" s="2" t="s">
        <v>10154</v>
      </c>
      <c r="D3007" s="2" t="s">
        <v>178</v>
      </c>
      <c r="E3007" s="2">
        <v>123</v>
      </c>
      <c r="F3007" s="2">
        <v>2452.33</v>
      </c>
      <c r="G3007" s="1">
        <v>46170</v>
      </c>
    </row>
    <row r="3008" spans="3:6" x14ac:dyDescent="0.25">
      <c r="C3008" s="2" t="s">
        <v>10155</v>
      </c>
      <c r="D3008" s="2" t="s">
        <v>178</v>
      </c>
      <c r="E3008" s="2">
        <v>204</v>
      </c>
      <c r="F3008" s="2">
        <v>4063.88</v>
      </c>
    </row>
    <row r="3009" spans="3:6" x14ac:dyDescent="0.25">
      <c r="C3009" s="2" t="s">
        <v>10156</v>
      </c>
      <c r="D3009" s="2" t="s">
        <v>178</v>
      </c>
      <c r="E3009" s="2">
        <v>102</v>
      </c>
      <c r="F3009" s="2">
        <v>1873.02</v>
      </c>
    </row>
    <row r="3010" spans="3:6" x14ac:dyDescent="0.25">
      <c r="C3010" s="2" t="s">
        <v>10157</v>
      </c>
      <c r="D3010" s="2" t="s">
        <v>178</v>
      </c>
      <c r="E3010" s="2">
        <v>103</v>
      </c>
      <c r="F3010" s="2">
        <v>2128.82</v>
      </c>
    </row>
    <row r="3011" spans="3:6" x14ac:dyDescent="0.25">
      <c r="C3011" s="2" t="s">
        <v>10158</v>
      </c>
      <c r="D3011" s="2" t="s">
        <v>178</v>
      </c>
      <c r="E3011" s="2">
        <v>123</v>
      </c>
      <c r="F3011" s="2">
        <v>2524.49</v>
      </c>
    </row>
    <row r="3012" spans="3:6" x14ac:dyDescent="0.25">
      <c r="C3012" s="2" t="s">
        <v>10159</v>
      </c>
      <c r="D3012" s="2" t="s">
        <v>178</v>
      </c>
      <c r="E3012" s="2">
        <v>102</v>
      </c>
      <c r="F3012" s="2">
        <v>1960.88</v>
      </c>
    </row>
    <row r="3013" spans="3:6" x14ac:dyDescent="0.25">
      <c r="C3013" s="2" t="s">
        <v>10160</v>
      </c>
      <c r="D3013" s="2" t="s">
        <v>178</v>
      </c>
      <c r="E3013" s="2">
        <v>142</v>
      </c>
      <c r="F3013" s="2">
        <v>2977.7</v>
      </c>
    </row>
    <row r="3014" spans="3:6" x14ac:dyDescent="0.25">
      <c r="C3014" s="2" t="s">
        <v>10161</v>
      </c>
      <c r="D3014" s="2" t="s">
        <v>178</v>
      </c>
      <c r="E3014" s="2">
        <v>141</v>
      </c>
      <c r="F3014" s="2">
        <v>2985.149</v>
      </c>
    </row>
    <row r="3015" spans="3:6" x14ac:dyDescent="0.25">
      <c r="C3015" s="2" t="s">
        <v>10162</v>
      </c>
      <c r="D3015" s="2" t="s">
        <v>178</v>
      </c>
      <c r="E3015" s="2">
        <v>30</v>
      </c>
      <c r="F3015" s="2">
        <v>128.31</v>
      </c>
    </row>
    <row r="3016" spans="3:6" x14ac:dyDescent="0.25">
      <c r="C3016" s="2" t="s">
        <v>10163</v>
      </c>
      <c r="D3016" s="2" t="s">
        <v>178</v>
      </c>
      <c r="E3016" s="2">
        <v>30</v>
      </c>
      <c r="F3016" s="2">
        <v>128.31</v>
      </c>
    </row>
    <row r="3017" spans="3:6" x14ac:dyDescent="0.25">
      <c r="C3017" s="2" t="s">
        <v>10164</v>
      </c>
      <c r="D3017" s="2" t="s">
        <v>178</v>
      </c>
      <c r="E3017" s="2">
        <v>141</v>
      </c>
      <c r="F3017" s="2">
        <v>2863.02</v>
      </c>
    </row>
    <row r="3018" spans="3:6" x14ac:dyDescent="0.25">
      <c r="C3018" s="2" t="s">
        <v>10165</v>
      </c>
      <c r="D3018" s="2" t="s">
        <v>178</v>
      </c>
      <c r="E3018" s="2">
        <v>141</v>
      </c>
      <c r="F3018" s="2">
        <v>2893.079</v>
      </c>
    </row>
    <row r="3019" spans="3:6" x14ac:dyDescent="0.25">
      <c r="C3019" s="2" t="s">
        <v>10166</v>
      </c>
      <c r="D3019" s="2" t="s">
        <v>178</v>
      </c>
      <c r="E3019" s="2">
        <v>143</v>
      </c>
      <c r="F3019" s="2">
        <v>2692.28</v>
      </c>
    </row>
    <row r="3020" spans="3:6" x14ac:dyDescent="0.25">
      <c r="C3020" s="2" t="s">
        <v>10167</v>
      </c>
      <c r="D3020" s="2" t="s">
        <v>178</v>
      </c>
      <c r="E3020" s="2">
        <v>123</v>
      </c>
      <c r="F3020" s="2">
        <v>2461.59</v>
      </c>
    </row>
    <row r="3021" spans="3:6" x14ac:dyDescent="0.25">
      <c r="C3021" s="2" t="s">
        <v>10168</v>
      </c>
      <c r="D3021" s="2" t="s">
        <v>178</v>
      </c>
      <c r="E3021" s="2">
        <v>259</v>
      </c>
      <c r="F3021" s="2">
        <v>5032.49</v>
      </c>
    </row>
    <row r="3022" spans="3:6" x14ac:dyDescent="0.25">
      <c r="C3022" s="2" t="s">
        <v>10169</v>
      </c>
      <c r="D3022" s="2" t="s">
        <v>178</v>
      </c>
      <c r="E3022" s="2">
        <v>141</v>
      </c>
      <c r="F3022" s="2">
        <v>2993.869</v>
      </c>
    </row>
    <row r="3023" spans="3:6" x14ac:dyDescent="0.25">
      <c r="C3023" s="2" t="s">
        <v>10170</v>
      </c>
      <c r="D3023" s="2" t="s">
        <v>178</v>
      </c>
      <c r="E3023" s="2">
        <v>141</v>
      </c>
      <c r="F3023" s="2">
        <v>2891.03</v>
      </c>
    </row>
    <row r="3024" spans="3:6" x14ac:dyDescent="0.25">
      <c r="C3024" s="2" t="s">
        <v>10171</v>
      </c>
      <c r="D3024" s="2" t="s">
        <v>178</v>
      </c>
      <c r="E3024" s="2">
        <v>102</v>
      </c>
      <c r="F3024" s="2">
        <v>2047.18</v>
      </c>
    </row>
    <row r="3025" spans="3:6" x14ac:dyDescent="0.25">
      <c r="C3025" s="2" t="s">
        <v>10172</v>
      </c>
      <c r="D3025" s="2" t="s">
        <v>178</v>
      </c>
      <c r="E3025" s="2">
        <v>141</v>
      </c>
      <c r="F3025" s="2">
        <v>2951.37</v>
      </c>
    </row>
    <row r="3026" spans="3:6" x14ac:dyDescent="0.25">
      <c r="C3026" s="2" t="s">
        <v>10173</v>
      </c>
      <c r="D3026" s="2" t="s">
        <v>178</v>
      </c>
      <c r="E3026" s="2">
        <v>141</v>
      </c>
      <c r="F3026" s="2">
        <v>2867.06</v>
      </c>
    </row>
    <row r="3027" spans="3:6" x14ac:dyDescent="0.25">
      <c r="C3027" s="2" t="s">
        <v>10174</v>
      </c>
      <c r="D3027" s="2" t="s">
        <v>178</v>
      </c>
      <c r="E3027" s="2">
        <v>141</v>
      </c>
      <c r="F3027" s="2">
        <v>3112.729</v>
      </c>
    </row>
    <row r="3028" spans="3:6" x14ac:dyDescent="0.25">
      <c r="C3028" s="2" t="s">
        <v>10175</v>
      </c>
      <c r="D3028" s="2" t="s">
        <v>178</v>
      </c>
      <c r="E3028" s="2">
        <v>141</v>
      </c>
      <c r="F3028" s="2">
        <v>2699.789</v>
      </c>
    </row>
    <row r="3029" spans="3:6" x14ac:dyDescent="0.25">
      <c r="C3029" s="2" t="s">
        <v>10176</v>
      </c>
      <c r="D3029" s="2" t="s">
        <v>178</v>
      </c>
      <c r="E3029" s="2">
        <v>102</v>
      </c>
      <c r="F3029" s="2">
        <v>1805.429</v>
      </c>
    </row>
    <row r="3030" spans="3:6" x14ac:dyDescent="0.25">
      <c r="C3030" s="2" t="s">
        <v>10177</v>
      </c>
      <c r="D3030" s="2" t="s">
        <v>178</v>
      </c>
      <c r="E3030" s="2">
        <v>100</v>
      </c>
      <c r="F3030" s="2">
        <v>1648.569</v>
      </c>
    </row>
    <row r="3031" spans="3:6" x14ac:dyDescent="0.25">
      <c r="C3031" s="2" t="s">
        <v>10178</v>
      </c>
      <c r="D3031" s="2" t="s">
        <v>178</v>
      </c>
      <c r="E3031" s="2">
        <v>41</v>
      </c>
      <c r="F3031" s="2">
        <v>714.849</v>
      </c>
    </row>
    <row r="3032" spans="3:6" x14ac:dyDescent="0.25">
      <c r="C3032" s="2" t="s">
        <v>10179</v>
      </c>
      <c r="D3032" s="2" t="s">
        <v>178</v>
      </c>
      <c r="E3032" s="2">
        <v>5</v>
      </c>
      <c r="F3032" s="2">
        <v>68.9</v>
      </c>
    </row>
    <row r="3033" spans="3:6" x14ac:dyDescent="0.25">
      <c r="C3033" s="2" t="s">
        <v>10180</v>
      </c>
      <c r="D3033" s="2" t="s">
        <v>178</v>
      </c>
      <c r="E3033" s="2">
        <v>17</v>
      </c>
      <c r="F3033" s="2">
        <v>263.1</v>
      </c>
    </row>
    <row r="3034" spans="3:6" x14ac:dyDescent="0.25">
      <c r="C3034" s="2" t="s">
        <v>10181</v>
      </c>
      <c r="D3034" s="2" t="s">
        <v>178</v>
      </c>
      <c r="E3034" s="2">
        <v>54</v>
      </c>
      <c r="F3034" s="2">
        <v>1055.139</v>
      </c>
    </row>
    <row r="3035" spans="3:6" x14ac:dyDescent="0.25">
      <c r="C3035" s="2" t="s">
        <v>10182</v>
      </c>
      <c r="D3035" s="2" t="s">
        <v>178</v>
      </c>
      <c r="E3035" s="2">
        <v>141</v>
      </c>
      <c r="F3035" s="2">
        <v>2872.75</v>
      </c>
    </row>
    <row r="3036" spans="3:6" x14ac:dyDescent="0.25">
      <c r="C3036" s="2" t="s">
        <v>10183</v>
      </c>
      <c r="D3036" s="2" t="s">
        <v>178</v>
      </c>
      <c r="E3036" s="2">
        <v>29</v>
      </c>
      <c r="F3036" s="2">
        <v>604.3</v>
      </c>
    </row>
    <row r="3037" spans="3:6" x14ac:dyDescent="0.25">
      <c r="C3037" s="2" t="s">
        <v>10184</v>
      </c>
      <c r="D3037" s="2" t="s">
        <v>178</v>
      </c>
      <c r="E3037" s="2">
        <v>112</v>
      </c>
      <c r="F3037" s="2">
        <v>2333.51</v>
      </c>
    </row>
    <row r="3038" spans="3:6" x14ac:dyDescent="0.25">
      <c r="C3038" s="2" t="s">
        <v>10185</v>
      </c>
      <c r="D3038" s="2" t="s">
        <v>178</v>
      </c>
      <c r="E3038" s="2">
        <v>68</v>
      </c>
      <c r="F3038" s="2">
        <v>1371.69</v>
      </c>
    </row>
    <row r="3039" spans="3:6" x14ac:dyDescent="0.25">
      <c r="C3039" s="2" t="s">
        <v>10186</v>
      </c>
      <c r="D3039" s="2" t="s">
        <v>178</v>
      </c>
      <c r="E3039" s="2">
        <v>33</v>
      </c>
      <c r="F3039" s="2">
        <v>632.84</v>
      </c>
    </row>
    <row r="3040" spans="3:6" x14ac:dyDescent="0.25">
      <c r="C3040" s="2" t="s">
        <v>10187</v>
      </c>
      <c r="D3040" s="2" t="s">
        <v>178</v>
      </c>
      <c r="E3040" s="2">
        <v>40</v>
      </c>
      <c r="F3040" s="2">
        <v>774.88</v>
      </c>
    </row>
    <row r="3041" spans="3:6" x14ac:dyDescent="0.25">
      <c r="C3041" s="2" t="s">
        <v>10188</v>
      </c>
      <c r="D3041" s="2" t="s">
        <v>178</v>
      </c>
      <c r="E3041" s="2">
        <v>20</v>
      </c>
      <c r="F3041" s="2">
        <v>374.677</v>
      </c>
    </row>
    <row r="3042" spans="3:6" x14ac:dyDescent="0.25">
      <c r="C3042" s="2" t="s">
        <v>10189</v>
      </c>
      <c r="D3042" s="2" t="s">
        <v>178</v>
      </c>
      <c r="E3042" s="2">
        <v>12</v>
      </c>
      <c r="F3042" s="2">
        <v>257.92</v>
      </c>
    </row>
    <row r="3043" spans="3:6" x14ac:dyDescent="0.25">
      <c r="C3043" s="2" t="s">
        <v>10190</v>
      </c>
      <c r="D3043" s="2" t="s">
        <v>178</v>
      </c>
      <c r="E3043" s="2">
        <v>68</v>
      </c>
      <c r="F3043" s="2">
        <v>1349.869</v>
      </c>
    </row>
    <row r="3044" spans="3:6" x14ac:dyDescent="0.25">
      <c r="C3044" s="2" t="s">
        <v>10191</v>
      </c>
      <c r="D3044" s="2" t="s">
        <v>178</v>
      </c>
      <c r="E3044" s="2">
        <v>41</v>
      </c>
      <c r="F3044" s="2">
        <v>849.31</v>
      </c>
    </row>
    <row r="3045" spans="3:6" x14ac:dyDescent="0.25">
      <c r="C3045" s="2" t="s">
        <v>10192</v>
      </c>
      <c r="D3045" s="2" t="s">
        <v>178</v>
      </c>
      <c r="E3045" s="2">
        <v>40</v>
      </c>
      <c r="F3045" s="2">
        <v>821.26</v>
      </c>
    </row>
    <row r="3046" spans="3:6" x14ac:dyDescent="0.25">
      <c r="C3046" s="2" t="s">
        <v>10193</v>
      </c>
      <c r="D3046" s="2" t="s">
        <v>178</v>
      </c>
      <c r="E3046" s="2">
        <v>40</v>
      </c>
      <c r="F3046" s="2">
        <v>812.199</v>
      </c>
    </row>
    <row r="3047" spans="3:6" x14ac:dyDescent="0.25">
      <c r="C3047" s="2" t="s">
        <v>10194</v>
      </c>
      <c r="D3047" s="2" t="s">
        <v>178</v>
      </c>
      <c r="E3047" s="2">
        <v>61</v>
      </c>
      <c r="F3047" s="2">
        <v>1245.21</v>
      </c>
    </row>
    <row r="3049" spans="1:7" x14ac:dyDescent="0.25">
      <c r="A3049" s="1">
        <v>46169</v>
      </c>
      <c r="B3049" s="2" t="s">
        <v>229</v>
      </c>
      <c r="C3049" s="2" t="s">
        <v>10195</v>
      </c>
      <c r="D3049" s="2" t="s">
        <v>292</v>
      </c>
      <c r="E3049" s="2">
        <v>79</v>
      </c>
      <c r="F3049" s="2">
        <v>1659.86</v>
      </c>
      <c r="G3049" s="1">
        <v>46168</v>
      </c>
    </row>
    <row r="3050" spans="3:6" x14ac:dyDescent="0.25">
      <c r="C3050" s="2" t="s">
        <v>10196</v>
      </c>
      <c r="D3050" s="2" t="s">
        <v>292</v>
      </c>
      <c r="E3050" s="2">
        <v>8</v>
      </c>
      <c r="F3050" s="2">
        <v>142.36</v>
      </c>
    </row>
    <row r="3051" spans="3:6" x14ac:dyDescent="0.25">
      <c r="C3051" s="2" t="s">
        <v>10197</v>
      </c>
      <c r="D3051" s="2" t="s">
        <v>292</v>
      </c>
      <c r="E3051" s="2">
        <v>20</v>
      </c>
      <c r="F3051" s="2">
        <v>348.816</v>
      </c>
    </row>
    <row r="3052" spans="3:6" x14ac:dyDescent="0.25">
      <c r="C3052" s="2" t="s">
        <v>10198</v>
      </c>
      <c r="D3052" s="2" t="s">
        <v>292</v>
      </c>
      <c r="E3052" s="2">
        <v>16</v>
      </c>
      <c r="F3052" s="2">
        <v>307.5</v>
      </c>
    </row>
    <row r="3053" spans="3:6" x14ac:dyDescent="0.25">
      <c r="C3053" s="2" t="s">
        <v>10199</v>
      </c>
      <c r="D3053" s="2" t="s">
        <v>292</v>
      </c>
      <c r="E3053" s="2">
        <v>99</v>
      </c>
      <c r="F3053" s="2">
        <v>1736.587</v>
      </c>
    </row>
    <row r="3054" spans="3:6" x14ac:dyDescent="0.25">
      <c r="C3054" s="2" t="s">
        <v>10200</v>
      </c>
      <c r="D3054" s="2" t="s">
        <v>292</v>
      </c>
      <c r="E3054" s="2">
        <v>141</v>
      </c>
      <c r="F3054" s="2">
        <v>2056.098</v>
      </c>
    </row>
    <row r="3055" spans="3:6" x14ac:dyDescent="0.25">
      <c r="C3055" s="2" t="s">
        <v>10201</v>
      </c>
      <c r="D3055" s="2" t="s">
        <v>292</v>
      </c>
      <c r="E3055" s="2">
        <v>123</v>
      </c>
      <c r="F3055" s="2">
        <v>2488.63</v>
      </c>
    </row>
    <row r="3056" spans="3:6" x14ac:dyDescent="0.25">
      <c r="C3056" s="2" t="s">
        <v>10202</v>
      </c>
      <c r="D3056" s="2" t="s">
        <v>292</v>
      </c>
      <c r="E3056" s="2">
        <v>141</v>
      </c>
      <c r="F3056" s="2">
        <v>2961.43</v>
      </c>
    </row>
    <row r="3057" spans="3:6" x14ac:dyDescent="0.25">
      <c r="C3057" s="2" t="s">
        <v>10203</v>
      </c>
      <c r="D3057" s="2" t="s">
        <v>292</v>
      </c>
      <c r="E3057" s="2">
        <v>77</v>
      </c>
      <c r="F3057" s="2">
        <v>1570.18</v>
      </c>
    </row>
    <row r="3058" spans="3:6" x14ac:dyDescent="0.25">
      <c r="C3058" s="2" t="s">
        <v>10204</v>
      </c>
      <c r="D3058" s="2" t="s">
        <v>292</v>
      </c>
      <c r="E3058" s="2">
        <v>64</v>
      </c>
      <c r="F3058" s="2">
        <v>1348.729</v>
      </c>
    </row>
    <row r="3059" spans="3:6" x14ac:dyDescent="0.25">
      <c r="C3059" s="2" t="s">
        <v>10205</v>
      </c>
      <c r="D3059" s="2" t="s">
        <v>292</v>
      </c>
      <c r="E3059" s="2">
        <v>50</v>
      </c>
      <c r="F3059" s="2">
        <v>266.775</v>
      </c>
    </row>
    <row r="3060" spans="3:6" x14ac:dyDescent="0.25">
      <c r="C3060" s="2" t="s">
        <v>10206</v>
      </c>
      <c r="D3060" s="2" t="s">
        <v>292</v>
      </c>
      <c r="E3060" s="2">
        <v>83</v>
      </c>
      <c r="F3060" s="2">
        <v>1731.91</v>
      </c>
    </row>
    <row r="3061" spans="3:6" x14ac:dyDescent="0.25">
      <c r="C3061" s="2" t="s">
        <v>10207</v>
      </c>
      <c r="D3061" s="2" t="s">
        <v>292</v>
      </c>
      <c r="E3061" s="2">
        <v>54</v>
      </c>
      <c r="F3061" s="2">
        <v>853.303</v>
      </c>
    </row>
    <row r="3062" spans="3:6" x14ac:dyDescent="0.25">
      <c r="C3062" s="2" t="s">
        <v>10208</v>
      </c>
      <c r="D3062" s="2" t="s">
        <v>292</v>
      </c>
      <c r="E3062" s="2">
        <v>100</v>
      </c>
      <c r="F3062" s="2">
        <v>2065.91</v>
      </c>
    </row>
    <row r="3063" spans="3:6" x14ac:dyDescent="0.25">
      <c r="C3063" s="2" t="s">
        <v>10209</v>
      </c>
      <c r="D3063" s="2" t="s">
        <v>292</v>
      </c>
      <c r="E3063" s="2">
        <v>41</v>
      </c>
      <c r="F3063" s="2">
        <v>834.6</v>
      </c>
    </row>
    <row r="3064" spans="3:6" x14ac:dyDescent="0.25">
      <c r="C3064" s="2" t="s">
        <v>10210</v>
      </c>
      <c r="D3064" s="2" t="s">
        <v>292</v>
      </c>
      <c r="E3064" s="2">
        <v>101</v>
      </c>
      <c r="F3064" s="2">
        <v>2032.49</v>
      </c>
    </row>
    <row r="3065" spans="3:6" x14ac:dyDescent="0.25">
      <c r="C3065" s="2" t="s">
        <v>10211</v>
      </c>
      <c r="D3065" s="2" t="s">
        <v>292</v>
      </c>
      <c r="E3065" s="2">
        <v>10</v>
      </c>
      <c r="F3065" s="2">
        <v>163.25</v>
      </c>
    </row>
    <row r="3066" spans="3:6" x14ac:dyDescent="0.25">
      <c r="C3066" s="2" t="s">
        <v>10212</v>
      </c>
      <c r="D3066" s="2" t="s">
        <v>292</v>
      </c>
      <c r="E3066" s="2">
        <v>30</v>
      </c>
      <c r="F3066" s="2">
        <v>564.269</v>
      </c>
    </row>
    <row r="3067" spans="3:6" x14ac:dyDescent="0.25">
      <c r="C3067" s="2" t="s">
        <v>10213</v>
      </c>
      <c r="D3067" s="2" t="s">
        <v>292</v>
      </c>
      <c r="E3067" s="2">
        <v>74</v>
      </c>
      <c r="F3067" s="2">
        <v>1531.86</v>
      </c>
    </row>
    <row r="3068" spans="3:6" x14ac:dyDescent="0.25">
      <c r="C3068" s="2" t="s">
        <v>10214</v>
      </c>
      <c r="D3068" s="2" t="s">
        <v>292</v>
      </c>
      <c r="E3068" s="2">
        <v>67</v>
      </c>
      <c r="F3068" s="2">
        <v>1352.946</v>
      </c>
    </row>
    <row r="3069" spans="3:6" x14ac:dyDescent="0.25">
      <c r="C3069" s="2" t="s">
        <v>10215</v>
      </c>
      <c r="D3069" s="2" t="s">
        <v>292</v>
      </c>
      <c r="E3069" s="2">
        <v>60</v>
      </c>
      <c r="F3069" s="2">
        <v>311.58</v>
      </c>
    </row>
    <row r="3070" spans="3:6" x14ac:dyDescent="0.25">
      <c r="C3070" s="2" t="s">
        <v>10216</v>
      </c>
      <c r="D3070" s="2" t="s">
        <v>292</v>
      </c>
      <c r="E3070" s="2">
        <v>59</v>
      </c>
      <c r="F3070" s="2">
        <v>1188.63</v>
      </c>
    </row>
    <row r="3071" spans="3:6" x14ac:dyDescent="0.25">
      <c r="C3071" s="2" t="s">
        <v>10217</v>
      </c>
      <c r="D3071" s="2" t="s">
        <v>292</v>
      </c>
      <c r="E3071" s="2">
        <v>82</v>
      </c>
      <c r="F3071" s="2">
        <v>1661.33</v>
      </c>
    </row>
    <row r="3072" spans="3:6" x14ac:dyDescent="0.25">
      <c r="C3072" s="2" t="s">
        <v>10218</v>
      </c>
      <c r="D3072" s="2" t="s">
        <v>292</v>
      </c>
      <c r="E3072" s="2">
        <v>141</v>
      </c>
      <c r="F3072" s="2">
        <v>3004.925</v>
      </c>
    </row>
    <row r="3073" spans="3:6" x14ac:dyDescent="0.25">
      <c r="C3073" s="2" t="s">
        <v>10219</v>
      </c>
      <c r="D3073" s="2" t="s">
        <v>292</v>
      </c>
      <c r="E3073" s="2">
        <v>141</v>
      </c>
      <c r="F3073" s="2">
        <v>2851.57</v>
      </c>
    </row>
    <row r="3074" spans="3:6" x14ac:dyDescent="0.25">
      <c r="C3074" s="2" t="s">
        <v>10220</v>
      </c>
      <c r="D3074" s="2" t="s">
        <v>292</v>
      </c>
      <c r="E3074" s="2">
        <v>45</v>
      </c>
      <c r="F3074" s="2">
        <v>230.12</v>
      </c>
    </row>
    <row r="3075" spans="3:6" x14ac:dyDescent="0.25">
      <c r="C3075" s="2" t="s">
        <v>10221</v>
      </c>
      <c r="D3075" s="2" t="s">
        <v>292</v>
      </c>
      <c r="E3075" s="2">
        <v>141</v>
      </c>
      <c r="F3075" s="2">
        <v>2909.96</v>
      </c>
    </row>
    <row r="3076" spans="3:6" x14ac:dyDescent="0.25">
      <c r="C3076" s="2" t="s">
        <v>10222</v>
      </c>
      <c r="D3076" s="2" t="s">
        <v>292</v>
      </c>
      <c r="E3076" s="2">
        <v>141</v>
      </c>
      <c r="F3076" s="2">
        <v>2976.46</v>
      </c>
    </row>
    <row r="3077" spans="3:6" x14ac:dyDescent="0.25">
      <c r="C3077" s="2" t="s">
        <v>10223</v>
      </c>
      <c r="D3077" s="2" t="s">
        <v>292</v>
      </c>
      <c r="E3077" s="2">
        <v>131</v>
      </c>
      <c r="F3077" s="2">
        <v>2830.139</v>
      </c>
    </row>
    <row r="3078" spans="3:6" x14ac:dyDescent="0.25">
      <c r="C3078" s="2" t="s">
        <v>10224</v>
      </c>
      <c r="D3078" s="2" t="s">
        <v>292</v>
      </c>
      <c r="E3078" s="2">
        <v>10</v>
      </c>
      <c r="F3078" s="2">
        <v>185.089</v>
      </c>
    </row>
    <row r="3079" spans="3:6" x14ac:dyDescent="0.25">
      <c r="C3079" s="2" t="s">
        <v>10225</v>
      </c>
      <c r="D3079" s="2" t="s">
        <v>292</v>
      </c>
      <c r="E3079" s="2">
        <v>45</v>
      </c>
      <c r="F3079" s="2">
        <v>240.2</v>
      </c>
    </row>
    <row r="3080" spans="3:6" x14ac:dyDescent="0.25">
      <c r="C3080" s="2" t="s">
        <v>10226</v>
      </c>
      <c r="D3080" s="2" t="s">
        <v>292</v>
      </c>
      <c r="E3080" s="2">
        <v>134</v>
      </c>
      <c r="F3080" s="2">
        <v>2834.249</v>
      </c>
    </row>
    <row r="3081" spans="3:6" x14ac:dyDescent="0.25">
      <c r="C3081" s="2" t="s">
        <v>10227</v>
      </c>
      <c r="D3081" s="2" t="s">
        <v>292</v>
      </c>
      <c r="E3081" s="2">
        <v>100</v>
      </c>
      <c r="F3081" s="2">
        <v>2008.85</v>
      </c>
    </row>
    <row r="3082" spans="3:6" x14ac:dyDescent="0.25">
      <c r="C3082" s="2" t="s">
        <v>10228</v>
      </c>
      <c r="D3082" s="2" t="s">
        <v>292</v>
      </c>
      <c r="E3082" s="2">
        <v>81</v>
      </c>
      <c r="F3082" s="2">
        <v>1303.5</v>
      </c>
    </row>
    <row r="3083" spans="3:6" x14ac:dyDescent="0.25">
      <c r="C3083" s="2" t="s">
        <v>10229</v>
      </c>
      <c r="D3083" s="2" t="s">
        <v>292</v>
      </c>
      <c r="E3083" s="2">
        <v>31</v>
      </c>
      <c r="F3083" s="2">
        <v>561.82</v>
      </c>
    </row>
    <row r="3084" spans="3:6" x14ac:dyDescent="0.25">
      <c r="C3084" s="2" t="s">
        <v>10230</v>
      </c>
      <c r="D3084" s="2" t="s">
        <v>292</v>
      </c>
      <c r="E3084" s="2">
        <v>69</v>
      </c>
      <c r="F3084" s="2">
        <v>1410.12</v>
      </c>
    </row>
    <row r="3085" spans="3:6" x14ac:dyDescent="0.25">
      <c r="C3085" s="2" t="s">
        <v>10231</v>
      </c>
      <c r="D3085" s="2" t="s">
        <v>292</v>
      </c>
      <c r="E3085" s="2">
        <v>100</v>
      </c>
      <c r="F3085" s="2">
        <v>2128.4</v>
      </c>
    </row>
    <row r="3086" spans="3:6" x14ac:dyDescent="0.25">
      <c r="C3086" s="2" t="s">
        <v>10232</v>
      </c>
      <c r="D3086" s="2" t="s">
        <v>292</v>
      </c>
      <c r="E3086" s="2">
        <v>82</v>
      </c>
      <c r="F3086" s="2">
        <v>1682.895</v>
      </c>
    </row>
    <row r="3087" spans="3:6" x14ac:dyDescent="0.25">
      <c r="C3087" s="2" t="s">
        <v>10233</v>
      </c>
      <c r="D3087" s="2" t="s">
        <v>292</v>
      </c>
      <c r="E3087" s="2">
        <v>18</v>
      </c>
      <c r="F3087" s="2">
        <v>374.9</v>
      </c>
    </row>
    <row r="3088" spans="3:6" x14ac:dyDescent="0.25">
      <c r="C3088" s="2" t="s">
        <v>10234</v>
      </c>
      <c r="D3088" s="2" t="s">
        <v>292</v>
      </c>
      <c r="E3088" s="2">
        <v>65</v>
      </c>
      <c r="F3088" s="2">
        <v>1411.68</v>
      </c>
    </row>
    <row r="3089" spans="3:6" x14ac:dyDescent="0.25">
      <c r="C3089" s="2" t="s">
        <v>10235</v>
      </c>
      <c r="D3089" s="2" t="s">
        <v>292</v>
      </c>
      <c r="E3089" s="2">
        <v>10</v>
      </c>
      <c r="F3089" s="2">
        <v>229.35</v>
      </c>
    </row>
    <row r="3090" spans="3:6" x14ac:dyDescent="0.25">
      <c r="C3090" s="2" t="s">
        <v>10236</v>
      </c>
      <c r="D3090" s="2" t="s">
        <v>292</v>
      </c>
      <c r="E3090" s="2">
        <v>141</v>
      </c>
      <c r="F3090" s="2">
        <v>2861.97</v>
      </c>
    </row>
    <row r="3091" spans="3:6" x14ac:dyDescent="0.25">
      <c r="C3091" s="2" t="s">
        <v>10237</v>
      </c>
      <c r="D3091" s="2" t="s">
        <v>292</v>
      </c>
      <c r="E3091" s="2">
        <v>141</v>
      </c>
      <c r="F3091" s="2">
        <v>2841.349</v>
      </c>
    </row>
    <row r="3092" spans="3:6" x14ac:dyDescent="0.25">
      <c r="C3092" s="2" t="s">
        <v>10238</v>
      </c>
      <c r="D3092" s="2" t="s">
        <v>292</v>
      </c>
      <c r="E3092" s="2">
        <v>102</v>
      </c>
      <c r="F3092" s="2">
        <v>2091.959</v>
      </c>
    </row>
    <row r="3093" spans="3:6" x14ac:dyDescent="0.25">
      <c r="C3093" s="2" t="s">
        <v>10239</v>
      </c>
      <c r="D3093" s="2" t="s">
        <v>292</v>
      </c>
      <c r="E3093" s="2">
        <v>102</v>
      </c>
      <c r="F3093" s="2">
        <v>2109.829</v>
      </c>
    </row>
    <row r="3095" spans="1:7" x14ac:dyDescent="0.25">
      <c r="A3095" s="1">
        <v>46169</v>
      </c>
      <c r="B3095" s="2" t="s">
        <v>7</v>
      </c>
      <c r="C3095" s="2" t="s">
        <v>10240</v>
      </c>
      <c r="D3095" s="2" t="s">
        <v>9</v>
      </c>
      <c r="E3095" s="2">
        <v>99</v>
      </c>
      <c r="F3095" s="2">
        <v>2071.49</v>
      </c>
      <c r="G3095" s="1">
        <v>46170</v>
      </c>
    </row>
    <row r="3096" spans="3:6" x14ac:dyDescent="0.25">
      <c r="C3096" s="2" t="s">
        <v>10241</v>
      </c>
      <c r="D3096" s="2" t="s">
        <v>9</v>
      </c>
      <c r="E3096" s="2">
        <v>99</v>
      </c>
      <c r="F3096" s="2">
        <v>2041.03</v>
      </c>
    </row>
    <row r="3098" spans="1:7" x14ac:dyDescent="0.25">
      <c r="A3098" s="1">
        <v>46169</v>
      </c>
      <c r="B3098" s="2" t="s">
        <v>378</v>
      </c>
      <c r="C3098" s="2" t="s">
        <v>10242</v>
      </c>
      <c r="D3098" s="2" t="s">
        <v>42</v>
      </c>
      <c r="E3098" s="2">
        <v>18</v>
      </c>
      <c r="F3098" s="2">
        <v>332.83</v>
      </c>
      <c r="G3098" s="1">
        <v>46169</v>
      </c>
    </row>
    <row r="3099" spans="3:6" x14ac:dyDescent="0.25">
      <c r="C3099" s="2" t="s">
        <v>10243</v>
      </c>
      <c r="D3099" s="2" t="s">
        <v>42</v>
      </c>
      <c r="E3099" s="2">
        <v>100</v>
      </c>
      <c r="F3099" s="2">
        <v>1970.74</v>
      </c>
    </row>
    <row r="3100" spans="3:6" x14ac:dyDescent="0.25">
      <c r="C3100" s="2" t="s">
        <v>10244</v>
      </c>
      <c r="D3100" s="2" t="s">
        <v>42</v>
      </c>
      <c r="E3100" s="2">
        <v>33</v>
      </c>
      <c r="F3100" s="2">
        <v>658.895</v>
      </c>
    </row>
    <row r="3101" spans="3:6" x14ac:dyDescent="0.25">
      <c r="C3101" s="2" t="s">
        <v>10245</v>
      </c>
      <c r="D3101" s="2" t="s">
        <v>42</v>
      </c>
      <c r="E3101" s="2">
        <v>5</v>
      </c>
      <c r="F3101" s="2">
        <v>74.96</v>
      </c>
    </row>
    <row r="3102" spans="3:6" x14ac:dyDescent="0.25">
      <c r="C3102" s="2" t="s">
        <v>10246</v>
      </c>
      <c r="D3102" s="2" t="s">
        <v>36</v>
      </c>
      <c r="E3102" s="2">
        <v>60</v>
      </c>
      <c r="F3102" s="2">
        <v>1079.15</v>
      </c>
    </row>
    <row r="3103" spans="3:6" x14ac:dyDescent="0.25">
      <c r="C3103" s="2" t="s">
        <v>10247</v>
      </c>
      <c r="D3103" s="2" t="s">
        <v>26</v>
      </c>
      <c r="E3103" s="2">
        <v>156</v>
      </c>
      <c r="F3103" s="2">
        <v>3075.45</v>
      </c>
    </row>
    <row r="3104" spans="3:6" x14ac:dyDescent="0.25">
      <c r="C3104" s="2" t="s">
        <v>10248</v>
      </c>
      <c r="D3104" s="2" t="s">
        <v>30</v>
      </c>
      <c r="E3104" s="2">
        <v>105</v>
      </c>
      <c r="F3104" s="2">
        <v>2066.589</v>
      </c>
    </row>
    <row r="3105" spans="3:6" x14ac:dyDescent="0.25">
      <c r="C3105" s="2" t="s">
        <v>10249</v>
      </c>
      <c r="D3105" s="2" t="s">
        <v>36</v>
      </c>
      <c r="E3105" s="2">
        <v>45</v>
      </c>
      <c r="F3105" s="2">
        <v>895.2</v>
      </c>
    </row>
    <row r="3106" spans="3:6" x14ac:dyDescent="0.25">
      <c r="C3106" s="2" t="s">
        <v>10250</v>
      </c>
      <c r="D3106" s="2" t="s">
        <v>15</v>
      </c>
      <c r="E3106" s="2">
        <v>105</v>
      </c>
      <c r="F3106" s="2">
        <v>1763.439</v>
      </c>
    </row>
    <row r="3107" spans="3:6" x14ac:dyDescent="0.25">
      <c r="C3107" s="2" t="s">
        <v>10251</v>
      </c>
      <c r="D3107" s="2" t="s">
        <v>30</v>
      </c>
      <c r="E3107" s="2">
        <v>105</v>
      </c>
      <c r="F3107" s="2">
        <v>2121.55</v>
      </c>
    </row>
    <row r="3108" spans="3:6" x14ac:dyDescent="0.25">
      <c r="C3108" s="2" t="s">
        <v>10252</v>
      </c>
      <c r="D3108" s="2" t="s">
        <v>30</v>
      </c>
      <c r="E3108" s="2">
        <v>60</v>
      </c>
      <c r="F3108" s="2">
        <v>1242.42</v>
      </c>
    </row>
    <row r="3109" spans="3:6" x14ac:dyDescent="0.25">
      <c r="C3109" s="2" t="s">
        <v>10253</v>
      </c>
      <c r="D3109" s="2" t="s">
        <v>30</v>
      </c>
      <c r="E3109" s="2">
        <v>96</v>
      </c>
      <c r="F3109" s="2">
        <v>1745.02</v>
      </c>
    </row>
    <row r="3110" spans="3:6" x14ac:dyDescent="0.25">
      <c r="C3110" s="2" t="s">
        <v>10254</v>
      </c>
      <c r="D3110" s="2" t="s">
        <v>42</v>
      </c>
      <c r="E3110" s="2">
        <v>100</v>
      </c>
      <c r="F3110" s="2">
        <v>2008.915</v>
      </c>
    </row>
    <row r="3111" spans="3:6" x14ac:dyDescent="0.25">
      <c r="C3111" s="2" t="s">
        <v>10255</v>
      </c>
      <c r="D3111" s="2" t="s">
        <v>136</v>
      </c>
      <c r="E3111" s="2">
        <v>69</v>
      </c>
      <c r="F3111" s="2">
        <v>1200.07</v>
      </c>
    </row>
    <row r="3112" spans="3:6" x14ac:dyDescent="0.25">
      <c r="C3112" s="2" t="s">
        <v>10256</v>
      </c>
      <c r="D3112" s="2" t="s">
        <v>136</v>
      </c>
      <c r="E3112" s="2">
        <v>36</v>
      </c>
      <c r="F3112" s="2">
        <v>639.76</v>
      </c>
    </row>
    <row r="3113" spans="3:6" x14ac:dyDescent="0.25">
      <c r="C3113" s="2" t="s">
        <v>10257</v>
      </c>
      <c r="D3113" s="2" t="s">
        <v>26</v>
      </c>
      <c r="E3113" s="2">
        <v>156</v>
      </c>
      <c r="F3113" s="2">
        <v>3128.832</v>
      </c>
    </row>
    <row r="3114" spans="3:6" x14ac:dyDescent="0.25">
      <c r="C3114" s="2" t="s">
        <v>10258</v>
      </c>
      <c r="D3114" s="2" t="s">
        <v>26</v>
      </c>
      <c r="E3114" s="2">
        <v>156</v>
      </c>
      <c r="F3114" s="2">
        <v>2941.199</v>
      </c>
    </row>
    <row r="3115" spans="3:6" x14ac:dyDescent="0.25">
      <c r="C3115" s="2" t="s">
        <v>10259</v>
      </c>
      <c r="D3115" s="2" t="s">
        <v>26</v>
      </c>
      <c r="E3115" s="2">
        <v>156</v>
      </c>
      <c r="F3115" s="2">
        <v>3044.575</v>
      </c>
    </row>
    <row r="3116" spans="3:6" x14ac:dyDescent="0.25">
      <c r="C3116" s="2" t="s">
        <v>10260</v>
      </c>
      <c r="D3116" s="2" t="s">
        <v>30</v>
      </c>
      <c r="E3116" s="2">
        <v>163</v>
      </c>
      <c r="F3116" s="2">
        <v>3192.09</v>
      </c>
    </row>
    <row r="3117" spans="3:6" x14ac:dyDescent="0.25">
      <c r="C3117" s="2" t="s">
        <v>10261</v>
      </c>
      <c r="D3117" s="2" t="s">
        <v>136</v>
      </c>
      <c r="E3117" s="2">
        <v>106</v>
      </c>
      <c r="F3117" s="2">
        <v>1922.868</v>
      </c>
    </row>
    <row r="3118" spans="3:6" x14ac:dyDescent="0.25">
      <c r="C3118" s="2" t="s">
        <v>10262</v>
      </c>
      <c r="D3118" s="2" t="s">
        <v>42</v>
      </c>
      <c r="E3118" s="2">
        <v>36</v>
      </c>
      <c r="F3118" s="2">
        <v>703.465</v>
      </c>
    </row>
    <row r="3119" spans="3:6" x14ac:dyDescent="0.25">
      <c r="C3119" s="2" t="s">
        <v>10263</v>
      </c>
      <c r="D3119" s="2" t="s">
        <v>42</v>
      </c>
      <c r="E3119" s="2">
        <v>20</v>
      </c>
      <c r="F3119" s="2">
        <v>371.759</v>
      </c>
    </row>
    <row r="3120" spans="3:6" x14ac:dyDescent="0.25">
      <c r="C3120" s="2" t="s">
        <v>10264</v>
      </c>
      <c r="D3120" s="2" t="s">
        <v>30</v>
      </c>
      <c r="E3120" s="2">
        <v>163</v>
      </c>
      <c r="F3120" s="2">
        <v>3128.729</v>
      </c>
    </row>
    <row r="3121" spans="3:6" x14ac:dyDescent="0.25">
      <c r="C3121" s="2" t="s">
        <v>10265</v>
      </c>
      <c r="D3121" s="2" t="s">
        <v>30</v>
      </c>
      <c r="E3121" s="2">
        <v>163</v>
      </c>
      <c r="F3121" s="2">
        <v>2999.599</v>
      </c>
    </row>
    <row r="3122" spans="3:6" x14ac:dyDescent="0.25">
      <c r="C3122" s="2" t="s">
        <v>10266</v>
      </c>
      <c r="D3122" s="2" t="s">
        <v>30</v>
      </c>
      <c r="E3122" s="2">
        <v>163</v>
      </c>
      <c r="F3122" s="2">
        <v>3195.739</v>
      </c>
    </row>
    <row r="3123" spans="3:6" x14ac:dyDescent="0.25">
      <c r="C3123" s="2" t="s">
        <v>10267</v>
      </c>
      <c r="D3123" s="2" t="s">
        <v>30</v>
      </c>
      <c r="E3123" s="2">
        <v>134</v>
      </c>
      <c r="F3123" s="2">
        <v>2670.96</v>
      </c>
    </row>
    <row r="3124" spans="3:6" x14ac:dyDescent="0.25">
      <c r="C3124" s="2" t="s">
        <v>10268</v>
      </c>
      <c r="D3124" s="2" t="s">
        <v>30</v>
      </c>
      <c r="E3124" s="2">
        <v>134</v>
      </c>
      <c r="F3124" s="2">
        <v>2710.059</v>
      </c>
    </row>
    <row r="3125" spans="3:6" x14ac:dyDescent="0.25">
      <c r="C3125" s="2" t="s">
        <v>10269</v>
      </c>
      <c r="D3125" s="2" t="s">
        <v>30</v>
      </c>
      <c r="E3125" s="2">
        <v>134</v>
      </c>
      <c r="F3125" s="2">
        <v>2615.359</v>
      </c>
    </row>
    <row r="3126" spans="3:6" x14ac:dyDescent="0.25">
      <c r="C3126" s="2" t="s">
        <v>10270</v>
      </c>
      <c r="D3126" s="2" t="s">
        <v>30</v>
      </c>
      <c r="E3126" s="2">
        <v>134</v>
      </c>
      <c r="F3126" s="2">
        <v>2756.21</v>
      </c>
    </row>
    <row r="3127" spans="3:6" x14ac:dyDescent="0.25">
      <c r="C3127" s="2" t="s">
        <v>10271</v>
      </c>
      <c r="D3127" s="2" t="s">
        <v>30</v>
      </c>
      <c r="E3127" s="2">
        <v>134</v>
      </c>
      <c r="F3127" s="2">
        <v>2584.269</v>
      </c>
    </row>
    <row r="3128" spans="3:6" x14ac:dyDescent="0.25">
      <c r="C3128" s="2" t="s">
        <v>10272</v>
      </c>
      <c r="D3128" s="2" t="s">
        <v>30</v>
      </c>
      <c r="E3128" s="2">
        <v>134</v>
      </c>
      <c r="F3128" s="2">
        <v>2522.91</v>
      </c>
    </row>
    <row r="3129" spans="3:6" x14ac:dyDescent="0.25">
      <c r="C3129" s="2" t="s">
        <v>10273</v>
      </c>
      <c r="D3129" s="2" t="s">
        <v>30</v>
      </c>
      <c r="E3129" s="2">
        <v>163</v>
      </c>
      <c r="F3129" s="2">
        <v>3199.12</v>
      </c>
    </row>
    <row r="3130" spans="3:6" x14ac:dyDescent="0.25">
      <c r="C3130" s="2" t="s">
        <v>10274</v>
      </c>
      <c r="D3130" s="2" t="s">
        <v>30</v>
      </c>
      <c r="E3130" s="2">
        <v>163</v>
      </c>
      <c r="F3130" s="2">
        <v>3182.699</v>
      </c>
    </row>
    <row r="3131" spans="3:6" x14ac:dyDescent="0.25">
      <c r="C3131" s="2" t="s">
        <v>10275</v>
      </c>
      <c r="D3131" s="2" t="s">
        <v>30</v>
      </c>
      <c r="E3131" s="2">
        <v>163</v>
      </c>
      <c r="F3131" s="2">
        <v>3234.67</v>
      </c>
    </row>
    <row r="3132" spans="3:6" x14ac:dyDescent="0.25">
      <c r="C3132" s="2" t="s">
        <v>10276</v>
      </c>
      <c r="D3132" s="2" t="s">
        <v>30</v>
      </c>
      <c r="E3132" s="2">
        <v>163</v>
      </c>
      <c r="F3132" s="2">
        <v>2902.318</v>
      </c>
    </row>
    <row r="3133" spans="3:6" x14ac:dyDescent="0.25">
      <c r="C3133" s="2" t="s">
        <v>10277</v>
      </c>
      <c r="D3133" s="2" t="s">
        <v>30</v>
      </c>
      <c r="E3133" s="2">
        <v>163</v>
      </c>
      <c r="F3133" s="2">
        <v>3111.2</v>
      </c>
    </row>
    <row r="3134" spans="3:6" x14ac:dyDescent="0.25">
      <c r="C3134" s="2" t="s">
        <v>10278</v>
      </c>
      <c r="D3134" s="2" t="s">
        <v>26</v>
      </c>
      <c r="E3134" s="2">
        <v>156</v>
      </c>
      <c r="F3134" s="2">
        <v>2973.319</v>
      </c>
    </row>
    <row r="3135" spans="3:6" x14ac:dyDescent="0.25">
      <c r="C3135" s="2" t="s">
        <v>10279</v>
      </c>
      <c r="D3135" s="2" t="s">
        <v>15</v>
      </c>
      <c r="E3135" s="2">
        <v>103</v>
      </c>
      <c r="F3135" s="2">
        <v>1892</v>
      </c>
    </row>
    <row r="3137" spans="1:7" x14ac:dyDescent="0.25">
      <c r="A3137" s="1">
        <v>46169</v>
      </c>
      <c r="B3137" s="2" t="s">
        <v>427</v>
      </c>
      <c r="C3137" s="2" t="s">
        <v>10280</v>
      </c>
      <c r="D3137" s="2" t="s">
        <v>59</v>
      </c>
      <c r="E3137" s="2">
        <v>149</v>
      </c>
      <c r="F3137" s="2">
        <v>2909.039</v>
      </c>
      <c r="G3137" s="1">
        <v>46260</v>
      </c>
    </row>
    <row r="3138" spans="3:6" x14ac:dyDescent="0.25">
      <c r="C3138" s="2" t="s">
        <v>10281</v>
      </c>
      <c r="D3138" s="2" t="s">
        <v>59</v>
      </c>
      <c r="E3138" s="2">
        <v>150</v>
      </c>
      <c r="F3138" s="2">
        <v>2760.138</v>
      </c>
    </row>
    <row r="3139" spans="3:6" x14ac:dyDescent="0.25">
      <c r="C3139" s="2" t="s">
        <v>10282</v>
      </c>
      <c r="D3139" s="2" t="s">
        <v>59</v>
      </c>
      <c r="E3139" s="2">
        <v>142</v>
      </c>
      <c r="F3139" s="2">
        <v>3052.31</v>
      </c>
    </row>
    <row r="3140" spans="3:6" x14ac:dyDescent="0.25">
      <c r="C3140" s="2" t="s">
        <v>10283</v>
      </c>
      <c r="D3140" s="2" t="s">
        <v>59</v>
      </c>
      <c r="E3140" s="2">
        <v>142</v>
      </c>
      <c r="F3140" s="2">
        <v>3022.85</v>
      </c>
    </row>
    <row r="3141" spans="3:6" x14ac:dyDescent="0.25">
      <c r="C3141" s="2" t="s">
        <v>10284</v>
      </c>
      <c r="D3141" s="2" t="s">
        <v>59</v>
      </c>
      <c r="E3141" s="2">
        <v>142</v>
      </c>
      <c r="F3141" s="2">
        <v>3068.049</v>
      </c>
    </row>
    <row r="3142" spans="3:6" x14ac:dyDescent="0.25">
      <c r="C3142" s="2" t="s">
        <v>10285</v>
      </c>
      <c r="D3142" s="2" t="s">
        <v>59</v>
      </c>
      <c r="E3142" s="2">
        <v>142</v>
      </c>
      <c r="F3142" s="2">
        <v>2946.27</v>
      </c>
    </row>
    <row r="3143" spans="3:6" x14ac:dyDescent="0.25">
      <c r="C3143" s="2" t="s">
        <v>10286</v>
      </c>
      <c r="D3143" s="2" t="s">
        <v>59</v>
      </c>
      <c r="E3143" s="2">
        <v>149</v>
      </c>
      <c r="F3143" s="2">
        <v>2852.38</v>
      </c>
    </row>
    <row r="3144" spans="3:6" x14ac:dyDescent="0.25">
      <c r="C3144" s="2" t="s">
        <v>10287</v>
      </c>
      <c r="D3144" s="2" t="s">
        <v>59</v>
      </c>
      <c r="E3144" s="2">
        <v>149</v>
      </c>
      <c r="F3144" s="2">
        <v>2921.48</v>
      </c>
    </row>
    <row r="3146" spans="1:7" x14ac:dyDescent="0.25">
      <c r="A3146" s="1">
        <v>46170</v>
      </c>
      <c r="B3146" s="2" t="s">
        <v>10288</v>
      </c>
      <c r="C3146" s="2" t="s">
        <v>10289</v>
      </c>
      <c r="D3146" s="2" t="s">
        <v>15</v>
      </c>
      <c r="E3146" s="2">
        <v>120</v>
      </c>
      <c r="F3146" s="2">
        <v>1797</v>
      </c>
      <c r="G3146" s="1">
        <v>46168</v>
      </c>
    </row>
    <row r="3148" spans="1:7" x14ac:dyDescent="0.25">
      <c r="A3148" s="1">
        <v>46170</v>
      </c>
      <c r="B3148" s="2" t="s">
        <v>1400</v>
      </c>
      <c r="C3148" s="2" t="s">
        <v>10290</v>
      </c>
      <c r="D3148" s="2" t="s">
        <v>82</v>
      </c>
      <c r="E3148" s="2">
        <v>141</v>
      </c>
      <c r="F3148" s="2">
        <v>2875.5</v>
      </c>
      <c r="G3148" s="1">
        <v>46169</v>
      </c>
    </row>
    <row r="3149" spans="3:6" x14ac:dyDescent="0.25">
      <c r="C3149" s="2" t="s">
        <v>10291</v>
      </c>
      <c r="D3149" s="2" t="s">
        <v>82</v>
      </c>
      <c r="E3149" s="2">
        <v>101</v>
      </c>
      <c r="F3149" s="2">
        <v>2023.86</v>
      </c>
    </row>
    <row r="3150" spans="3:6" x14ac:dyDescent="0.25">
      <c r="C3150" s="2" t="s">
        <v>10292</v>
      </c>
      <c r="D3150" s="2" t="s">
        <v>82</v>
      </c>
      <c r="E3150" s="2">
        <v>73</v>
      </c>
      <c r="F3150" s="2">
        <v>1446.4</v>
      </c>
    </row>
    <row r="3151" spans="3:6" x14ac:dyDescent="0.25">
      <c r="C3151" s="2" t="s">
        <v>10293</v>
      </c>
      <c r="D3151" s="2" t="s">
        <v>82</v>
      </c>
      <c r="E3151" s="2">
        <v>28</v>
      </c>
      <c r="F3151" s="2">
        <v>553.09</v>
      </c>
    </row>
    <row r="3152" spans="3:6" x14ac:dyDescent="0.25">
      <c r="C3152" s="2" t="s">
        <v>10294</v>
      </c>
      <c r="D3152" s="2" t="s">
        <v>82</v>
      </c>
      <c r="E3152" s="2">
        <v>101</v>
      </c>
      <c r="F3152" s="2">
        <v>2194.43</v>
      </c>
    </row>
    <row r="3153" spans="3:6" x14ac:dyDescent="0.25">
      <c r="C3153" s="2" t="s">
        <v>10295</v>
      </c>
      <c r="D3153" s="2" t="s">
        <v>82</v>
      </c>
      <c r="E3153" s="2">
        <v>91</v>
      </c>
      <c r="F3153" s="2">
        <v>1787.78</v>
      </c>
    </row>
    <row r="3154" spans="3:6" x14ac:dyDescent="0.25">
      <c r="C3154" s="2" t="s">
        <v>10296</v>
      </c>
      <c r="D3154" s="2" t="s">
        <v>82</v>
      </c>
      <c r="E3154" s="2">
        <v>10</v>
      </c>
      <c r="F3154" s="2">
        <v>198.12</v>
      </c>
    </row>
    <row r="3155" spans="3:6" x14ac:dyDescent="0.25">
      <c r="C3155" s="2" t="s">
        <v>10297</v>
      </c>
      <c r="D3155" s="2" t="s">
        <v>82</v>
      </c>
      <c r="E3155" s="2">
        <v>74</v>
      </c>
      <c r="F3155" s="2">
        <v>1522.63</v>
      </c>
    </row>
    <row r="3156" spans="3:6" x14ac:dyDescent="0.25">
      <c r="C3156" s="2" t="s">
        <v>10298</v>
      </c>
      <c r="D3156" s="2" t="s">
        <v>82</v>
      </c>
      <c r="E3156" s="2">
        <v>27</v>
      </c>
      <c r="F3156" s="2">
        <v>533.03</v>
      </c>
    </row>
    <row r="3157" spans="3:6" x14ac:dyDescent="0.25">
      <c r="C3157" s="2" t="s">
        <v>10299</v>
      </c>
      <c r="D3157" s="2" t="s">
        <v>82</v>
      </c>
      <c r="E3157" s="2">
        <v>121</v>
      </c>
      <c r="F3157" s="2">
        <v>2436.649</v>
      </c>
    </row>
    <row r="3158" spans="3:6" x14ac:dyDescent="0.25">
      <c r="C3158" s="2" t="s">
        <v>10300</v>
      </c>
      <c r="D3158" s="2" t="s">
        <v>82</v>
      </c>
      <c r="E3158" s="2">
        <v>121</v>
      </c>
      <c r="F3158" s="2">
        <v>2492.1</v>
      </c>
    </row>
    <row r="3159" spans="3:6" x14ac:dyDescent="0.25">
      <c r="C3159" s="2" t="s">
        <v>10301</v>
      </c>
      <c r="D3159" s="2" t="s">
        <v>82</v>
      </c>
      <c r="E3159" s="2">
        <v>141</v>
      </c>
      <c r="F3159" s="2">
        <v>2928.47</v>
      </c>
    </row>
    <row r="3160" spans="3:6" x14ac:dyDescent="0.25">
      <c r="C3160" s="2" t="s">
        <v>10302</v>
      </c>
      <c r="D3160" s="2" t="s">
        <v>82</v>
      </c>
      <c r="E3160" s="2">
        <v>141</v>
      </c>
      <c r="F3160" s="2">
        <v>2879.83</v>
      </c>
    </row>
    <row r="3161" spans="3:6" x14ac:dyDescent="0.25">
      <c r="C3161" s="2" t="s">
        <v>10303</v>
      </c>
      <c r="D3161" s="2" t="s">
        <v>82</v>
      </c>
      <c r="E3161" s="2">
        <v>141</v>
      </c>
      <c r="F3161" s="2">
        <v>2810.7</v>
      </c>
    </row>
    <row r="3162" spans="3:6" x14ac:dyDescent="0.25">
      <c r="C3162" s="2" t="s">
        <v>10304</v>
      </c>
      <c r="D3162" s="2" t="s">
        <v>82</v>
      </c>
      <c r="E3162" s="2">
        <v>141</v>
      </c>
      <c r="F3162" s="2">
        <v>2846.53</v>
      </c>
    </row>
    <row r="3163" spans="3:6" x14ac:dyDescent="0.25">
      <c r="C3163" s="2" t="s">
        <v>10305</v>
      </c>
      <c r="D3163" s="2" t="s">
        <v>82</v>
      </c>
      <c r="E3163" s="2">
        <v>141</v>
      </c>
      <c r="F3163" s="2">
        <v>2853.99</v>
      </c>
    </row>
    <row r="3164" spans="3:6" x14ac:dyDescent="0.25">
      <c r="C3164" s="2" t="s">
        <v>10306</v>
      </c>
      <c r="D3164" s="2" t="s">
        <v>82</v>
      </c>
      <c r="E3164" s="2">
        <v>141</v>
      </c>
      <c r="F3164" s="2">
        <v>2818.319</v>
      </c>
    </row>
    <row r="3165" spans="3:6" x14ac:dyDescent="0.25">
      <c r="C3165" s="2" t="s">
        <v>10307</v>
      </c>
      <c r="D3165" s="2" t="s">
        <v>82</v>
      </c>
      <c r="E3165" s="2">
        <v>142</v>
      </c>
      <c r="F3165" s="2">
        <v>2836.64</v>
      </c>
    </row>
    <row r="3166" spans="3:6" x14ac:dyDescent="0.25">
      <c r="C3166" s="2" t="s">
        <v>10308</v>
      </c>
      <c r="D3166" s="2" t="s">
        <v>82</v>
      </c>
      <c r="E3166" s="2">
        <v>141</v>
      </c>
      <c r="F3166" s="2">
        <v>2829.07</v>
      </c>
    </row>
    <row r="3168" spans="1:7" x14ac:dyDescent="0.25">
      <c r="A3168" s="1">
        <v>46170</v>
      </c>
      <c r="B3168" s="2" t="s">
        <v>433</v>
      </c>
      <c r="C3168" s="2" t="s">
        <v>10309</v>
      </c>
      <c r="D3168" s="2" t="s">
        <v>73</v>
      </c>
      <c r="E3168" s="2">
        <v>88</v>
      </c>
      <c r="F3168" s="2">
        <v>1759.769</v>
      </c>
      <c r="G3168" s="1">
        <v>46169</v>
      </c>
    </row>
    <row r="3169" spans="3:6" x14ac:dyDescent="0.25">
      <c r="C3169" s="2" t="s">
        <v>10310</v>
      </c>
      <c r="D3169" s="2" t="s">
        <v>73</v>
      </c>
      <c r="E3169" s="2">
        <v>90</v>
      </c>
      <c r="F3169" s="2">
        <v>1822.54</v>
      </c>
    </row>
    <row r="3170" spans="3:6" x14ac:dyDescent="0.25">
      <c r="C3170" s="2" t="s">
        <v>10311</v>
      </c>
      <c r="D3170" s="2" t="s">
        <v>73</v>
      </c>
      <c r="E3170" s="2">
        <v>16</v>
      </c>
      <c r="F3170" s="2">
        <v>341.649</v>
      </c>
    </row>
    <row r="3171" spans="3:6" x14ac:dyDescent="0.25">
      <c r="C3171" s="2" t="s">
        <v>10312</v>
      </c>
      <c r="D3171" s="2" t="s">
        <v>73</v>
      </c>
      <c r="E3171" s="2">
        <v>80</v>
      </c>
      <c r="F3171" s="2">
        <v>1440.43</v>
      </c>
    </row>
    <row r="3172" spans="3:6" x14ac:dyDescent="0.25">
      <c r="C3172" s="2" t="s">
        <v>10313</v>
      </c>
      <c r="D3172" s="2" t="s">
        <v>73</v>
      </c>
      <c r="E3172" s="2">
        <v>40</v>
      </c>
      <c r="F3172" s="2">
        <v>712.89</v>
      </c>
    </row>
    <row r="3173" spans="3:6" x14ac:dyDescent="0.25">
      <c r="C3173" s="2" t="s">
        <v>10314</v>
      </c>
      <c r="D3173" s="2" t="s">
        <v>73</v>
      </c>
      <c r="E3173" s="2">
        <v>88</v>
      </c>
      <c r="F3173" s="2">
        <v>1709.04</v>
      </c>
    </row>
    <row r="3174" spans="3:6" x14ac:dyDescent="0.25">
      <c r="C3174" s="2" t="s">
        <v>10315</v>
      </c>
      <c r="D3174" s="2" t="s">
        <v>73</v>
      </c>
      <c r="E3174" s="2">
        <v>12</v>
      </c>
      <c r="F3174" s="2">
        <v>223.75</v>
      </c>
    </row>
    <row r="3176" spans="1:7" x14ac:dyDescent="0.25">
      <c r="A3176" s="1">
        <v>46170</v>
      </c>
      <c r="B3176" s="2" t="s">
        <v>10316</v>
      </c>
      <c r="C3176" s="2" t="s">
        <v>10317</v>
      </c>
      <c r="D3176" s="2" t="s">
        <v>15</v>
      </c>
      <c r="E3176" s="2">
        <v>87</v>
      </c>
      <c r="F3176" s="2">
        <v>1696.469</v>
      </c>
      <c r="G3176" s="1">
        <v>46169</v>
      </c>
    </row>
    <row r="3177" spans="3:6" x14ac:dyDescent="0.25">
      <c r="C3177" s="2" t="s">
        <v>10318</v>
      </c>
      <c r="D3177" s="2" t="s">
        <v>15</v>
      </c>
      <c r="E3177" s="2">
        <v>88</v>
      </c>
      <c r="F3177" s="2">
        <v>1683.29</v>
      </c>
    </row>
    <row r="3179" spans="1:7" x14ac:dyDescent="0.25">
      <c r="A3179" s="1">
        <v>46170</v>
      </c>
      <c r="B3179" s="2" t="s">
        <v>7</v>
      </c>
      <c r="C3179" s="2" t="s">
        <v>10319</v>
      </c>
      <c r="D3179" s="2" t="s">
        <v>9</v>
      </c>
      <c r="E3179" s="2">
        <v>99</v>
      </c>
      <c r="F3179" s="2">
        <v>1739.846</v>
      </c>
      <c r="G3179" s="1">
        <v>46169</v>
      </c>
    </row>
    <row r="3180" spans="3:6" x14ac:dyDescent="0.25">
      <c r="C3180" s="2" t="s">
        <v>10320</v>
      </c>
      <c r="D3180" s="2" t="s">
        <v>9</v>
      </c>
      <c r="E3180" s="2">
        <v>99</v>
      </c>
      <c r="F3180" s="2">
        <v>1987.579</v>
      </c>
    </row>
    <row r="3182" spans="1:7" x14ac:dyDescent="0.25">
      <c r="A3182" s="1">
        <v>46170</v>
      </c>
      <c r="B3182" s="2" t="s">
        <v>8809</v>
      </c>
      <c r="C3182" s="2" t="s">
        <v>10321</v>
      </c>
      <c r="D3182" s="2" t="s">
        <v>292</v>
      </c>
      <c r="E3182" s="2">
        <v>100</v>
      </c>
      <c r="F3182" s="2">
        <v>2120.47</v>
      </c>
      <c r="G3182" s="1">
        <v>46170</v>
      </c>
    </row>
    <row r="3183" spans="3:6" x14ac:dyDescent="0.25">
      <c r="C3183" s="2" t="s">
        <v>10322</v>
      </c>
      <c r="D3183" s="2" t="s">
        <v>4096</v>
      </c>
      <c r="E3183" s="2">
        <v>50</v>
      </c>
      <c r="F3183" s="2">
        <v>972.47</v>
      </c>
    </row>
    <row r="3184" spans="3:6" x14ac:dyDescent="0.25">
      <c r="C3184" s="2" t="s">
        <v>10323</v>
      </c>
      <c r="D3184" s="2" t="s">
        <v>4096</v>
      </c>
      <c r="E3184" s="2">
        <v>50</v>
      </c>
      <c r="F3184" s="2">
        <v>986.93</v>
      </c>
    </row>
    <row r="3186" spans="1:7" x14ac:dyDescent="0.25">
      <c r="A3186" s="1">
        <v>46170</v>
      </c>
      <c r="B3186" s="2" t="s">
        <v>2428</v>
      </c>
      <c r="C3186" s="2" t="s">
        <v>10324</v>
      </c>
      <c r="D3186" s="2" t="s">
        <v>59</v>
      </c>
      <c r="E3186" s="2">
        <v>152</v>
      </c>
      <c r="F3186" s="2">
        <v>3177.1</v>
      </c>
      <c r="G3186" s="1">
        <v>46169</v>
      </c>
    </row>
    <row r="3187" spans="3:6" x14ac:dyDescent="0.25">
      <c r="C3187" s="2" t="s">
        <v>10325</v>
      </c>
      <c r="D3187" s="2" t="s">
        <v>59</v>
      </c>
      <c r="E3187" s="2">
        <v>105</v>
      </c>
      <c r="F3187" s="2">
        <v>2022.88</v>
      </c>
    </row>
    <row r="3188" spans="3:6" x14ac:dyDescent="0.25">
      <c r="C3188" s="2" t="s">
        <v>10326</v>
      </c>
      <c r="D3188" s="2" t="s">
        <v>59</v>
      </c>
      <c r="E3188" s="2">
        <v>210</v>
      </c>
      <c r="F3188" s="2">
        <v>4176.85</v>
      </c>
    </row>
    <row r="3189" spans="3:6" x14ac:dyDescent="0.25">
      <c r="C3189" s="2" t="s">
        <v>10327</v>
      </c>
      <c r="D3189" s="2" t="s">
        <v>59</v>
      </c>
      <c r="E3189" s="2">
        <v>163</v>
      </c>
      <c r="F3189" s="2">
        <v>3034.016</v>
      </c>
    </row>
    <row r="3190" spans="3:6" x14ac:dyDescent="0.25">
      <c r="C3190" s="2" t="s">
        <v>10328</v>
      </c>
      <c r="D3190" s="2" t="s">
        <v>59</v>
      </c>
      <c r="E3190" s="2">
        <v>105</v>
      </c>
      <c r="F3190" s="2">
        <v>2067.55</v>
      </c>
    </row>
    <row r="3191" spans="3:6" x14ac:dyDescent="0.25">
      <c r="C3191" s="2" t="s">
        <v>10329</v>
      </c>
      <c r="D3191" s="2" t="s">
        <v>59</v>
      </c>
      <c r="E3191" s="2">
        <v>252</v>
      </c>
      <c r="F3191" s="2">
        <v>5616.4</v>
      </c>
    </row>
    <row r="3192" spans="3:6" x14ac:dyDescent="0.25">
      <c r="C3192" s="2" t="s">
        <v>10330</v>
      </c>
      <c r="D3192" s="2" t="s">
        <v>59</v>
      </c>
      <c r="E3192" s="2">
        <v>311</v>
      </c>
      <c r="F3192" s="2">
        <v>5125.605</v>
      </c>
    </row>
    <row r="3193" spans="3:6" x14ac:dyDescent="0.25">
      <c r="C3193" s="2" t="s">
        <v>10331</v>
      </c>
      <c r="D3193" s="2" t="s">
        <v>59</v>
      </c>
      <c r="E3193" s="2">
        <v>105</v>
      </c>
      <c r="F3193" s="2">
        <v>2074.65</v>
      </c>
    </row>
    <row r="3194" spans="3:6" x14ac:dyDescent="0.25">
      <c r="C3194" s="2" t="s">
        <v>10129</v>
      </c>
      <c r="D3194" s="2" t="s">
        <v>59</v>
      </c>
      <c r="E3194" s="2">
        <v>224</v>
      </c>
      <c r="F3194" s="2">
        <v>5264</v>
      </c>
    </row>
    <row r="3195" spans="3:6" x14ac:dyDescent="0.25">
      <c r="C3195" s="2" t="s">
        <v>10125</v>
      </c>
      <c r="D3195" s="2" t="s">
        <v>59</v>
      </c>
      <c r="E3195" s="2">
        <v>158</v>
      </c>
      <c r="F3195" s="2">
        <v>3336</v>
      </c>
    </row>
    <row r="3196" spans="3:6" x14ac:dyDescent="0.25">
      <c r="C3196" s="2" t="s">
        <v>9826</v>
      </c>
      <c r="D3196" s="2" t="s">
        <v>59</v>
      </c>
      <c r="E3196" s="2">
        <v>226</v>
      </c>
      <c r="F3196" s="2">
        <v>4984</v>
      </c>
    </row>
    <row r="3198" spans="1:7" x14ac:dyDescent="0.25">
      <c r="A3198" s="1">
        <v>46171</v>
      </c>
      <c r="B3198" s="2" t="s">
        <v>229</v>
      </c>
      <c r="C3198" s="2" t="s">
        <v>10332</v>
      </c>
      <c r="D3198" s="2" t="s">
        <v>82</v>
      </c>
      <c r="E3198" s="2">
        <v>50</v>
      </c>
      <c r="F3198" s="2">
        <v>993.94</v>
      </c>
      <c r="G3198" s="1">
        <v>46170</v>
      </c>
    </row>
    <row r="3199" spans="3:6" x14ac:dyDescent="0.25">
      <c r="C3199" s="2" t="s">
        <v>10333</v>
      </c>
      <c r="D3199" s="2" t="s">
        <v>82</v>
      </c>
      <c r="E3199" s="2">
        <v>18</v>
      </c>
      <c r="F3199" s="2">
        <v>345.15</v>
      </c>
    </row>
    <row r="3200" spans="3:6" x14ac:dyDescent="0.25">
      <c r="C3200" s="2" t="s">
        <v>10334</v>
      </c>
      <c r="D3200" s="2" t="s">
        <v>82</v>
      </c>
      <c r="E3200" s="2">
        <v>21</v>
      </c>
      <c r="F3200" s="2">
        <v>388.699</v>
      </c>
    </row>
    <row r="3201" spans="3:6" x14ac:dyDescent="0.25">
      <c r="C3201" s="2" t="s">
        <v>10335</v>
      </c>
      <c r="D3201" s="2" t="s">
        <v>82</v>
      </c>
      <c r="E3201" s="2">
        <v>33</v>
      </c>
      <c r="F3201" s="2">
        <v>635.56</v>
      </c>
    </row>
    <row r="3202" spans="3:6" x14ac:dyDescent="0.25">
      <c r="C3202" s="2" t="s">
        <v>10336</v>
      </c>
      <c r="D3202" s="2" t="s">
        <v>82</v>
      </c>
      <c r="E3202" s="2">
        <v>10</v>
      </c>
      <c r="F3202" s="2">
        <v>201.02</v>
      </c>
    </row>
    <row r="3203" spans="3:6" x14ac:dyDescent="0.25">
      <c r="C3203" s="2" t="s">
        <v>10337</v>
      </c>
      <c r="D3203" s="2" t="s">
        <v>82</v>
      </c>
      <c r="E3203" s="2">
        <v>49</v>
      </c>
      <c r="F3203" s="2">
        <v>892.953</v>
      </c>
    </row>
    <row r="3204" spans="3:6" x14ac:dyDescent="0.25">
      <c r="C3204" s="2" t="s">
        <v>10338</v>
      </c>
      <c r="D3204" s="2" t="s">
        <v>82</v>
      </c>
      <c r="E3204" s="2">
        <v>12</v>
      </c>
      <c r="F3204" s="2">
        <v>211.6</v>
      </c>
    </row>
    <row r="3205" spans="3:6" x14ac:dyDescent="0.25">
      <c r="C3205" s="2" t="s">
        <v>10339</v>
      </c>
      <c r="D3205" s="2" t="s">
        <v>82</v>
      </c>
      <c r="E3205" s="2">
        <v>25</v>
      </c>
      <c r="F3205" s="2">
        <v>474.17</v>
      </c>
    </row>
    <row r="3206" spans="3:6" x14ac:dyDescent="0.25">
      <c r="C3206" s="2" t="s">
        <v>10340</v>
      </c>
      <c r="D3206" s="2" t="s">
        <v>82</v>
      </c>
      <c r="E3206" s="2">
        <v>27</v>
      </c>
      <c r="F3206" s="2">
        <v>503.26</v>
      </c>
    </row>
    <row r="3207" spans="3:6" x14ac:dyDescent="0.25">
      <c r="C3207" s="2" t="s">
        <v>10341</v>
      </c>
      <c r="D3207" s="2" t="s">
        <v>82</v>
      </c>
      <c r="E3207" s="2">
        <v>112</v>
      </c>
      <c r="F3207" s="2">
        <v>2140.426</v>
      </c>
    </row>
    <row r="3208" spans="3:6" x14ac:dyDescent="0.25">
      <c r="C3208" s="2" t="s">
        <v>10342</v>
      </c>
      <c r="D3208" s="2" t="s">
        <v>82</v>
      </c>
      <c r="E3208" s="2">
        <v>9</v>
      </c>
      <c r="F3208" s="2">
        <v>184.01</v>
      </c>
    </row>
    <row r="3209" spans="3:6" x14ac:dyDescent="0.25">
      <c r="C3209" s="2" t="s">
        <v>10343</v>
      </c>
      <c r="D3209" s="2" t="s">
        <v>82</v>
      </c>
      <c r="E3209" s="2">
        <v>8</v>
      </c>
      <c r="F3209" s="2">
        <v>106.799</v>
      </c>
    </row>
    <row r="3210" spans="3:6" x14ac:dyDescent="0.25">
      <c r="C3210" s="2" t="s">
        <v>10344</v>
      </c>
      <c r="D3210" s="2" t="s">
        <v>82</v>
      </c>
      <c r="E3210" s="2">
        <v>65</v>
      </c>
      <c r="F3210" s="2">
        <v>1335.14</v>
      </c>
    </row>
    <row r="3211" spans="3:6" x14ac:dyDescent="0.25">
      <c r="C3211" s="2" t="s">
        <v>10345</v>
      </c>
      <c r="D3211" s="2" t="s">
        <v>82</v>
      </c>
      <c r="E3211" s="2">
        <v>48</v>
      </c>
      <c r="F3211" s="2">
        <v>976.85</v>
      </c>
    </row>
    <row r="3212" spans="3:6" x14ac:dyDescent="0.25">
      <c r="C3212" s="2" t="s">
        <v>10346</v>
      </c>
      <c r="D3212" s="2" t="s">
        <v>82</v>
      </c>
      <c r="E3212" s="2">
        <v>141</v>
      </c>
      <c r="F3212" s="2">
        <v>2857.13</v>
      </c>
    </row>
    <row r="3213" spans="3:6" x14ac:dyDescent="0.25">
      <c r="C3213" s="2" t="s">
        <v>10347</v>
      </c>
      <c r="D3213" s="2" t="s">
        <v>82</v>
      </c>
      <c r="E3213" s="2">
        <v>141</v>
      </c>
      <c r="F3213" s="2">
        <v>2918.829</v>
      </c>
    </row>
    <row r="3214" spans="3:6" x14ac:dyDescent="0.25">
      <c r="C3214" s="2" t="s">
        <v>10348</v>
      </c>
      <c r="D3214" s="2" t="s">
        <v>82</v>
      </c>
      <c r="E3214" s="2">
        <v>141</v>
      </c>
      <c r="F3214" s="2">
        <v>2800.29</v>
      </c>
    </row>
    <row r="3215" spans="3:6" x14ac:dyDescent="0.25">
      <c r="C3215" s="2" t="s">
        <v>10349</v>
      </c>
      <c r="D3215" s="2" t="s">
        <v>82</v>
      </c>
      <c r="E3215" s="2">
        <v>141</v>
      </c>
      <c r="F3215" s="2">
        <v>2782.29</v>
      </c>
    </row>
    <row r="3216" spans="3:6" x14ac:dyDescent="0.25">
      <c r="C3216" s="2" t="s">
        <v>10350</v>
      </c>
      <c r="D3216" s="2" t="s">
        <v>82</v>
      </c>
      <c r="E3216" s="2">
        <v>115</v>
      </c>
      <c r="F3216" s="2">
        <v>2209.229</v>
      </c>
    </row>
    <row r="3217" spans="3:6" x14ac:dyDescent="0.25">
      <c r="C3217" s="2" t="s">
        <v>10351</v>
      </c>
      <c r="D3217" s="2" t="s">
        <v>82</v>
      </c>
      <c r="E3217" s="2">
        <v>26</v>
      </c>
      <c r="F3217" s="2">
        <v>534.9</v>
      </c>
    </row>
    <row r="3218" spans="3:6" x14ac:dyDescent="0.25">
      <c r="C3218" s="2" t="s">
        <v>10352</v>
      </c>
      <c r="D3218" s="2" t="s">
        <v>82</v>
      </c>
      <c r="E3218" s="2">
        <v>64</v>
      </c>
      <c r="F3218" s="2">
        <v>1220.92</v>
      </c>
    </row>
    <row r="3219" spans="3:6" x14ac:dyDescent="0.25">
      <c r="C3219" s="2" t="s">
        <v>10353</v>
      </c>
      <c r="D3219" s="2" t="s">
        <v>82</v>
      </c>
      <c r="E3219" s="2">
        <v>31</v>
      </c>
      <c r="F3219" s="2">
        <v>561.52</v>
      </c>
    </row>
    <row r="3220" spans="3:6" x14ac:dyDescent="0.25">
      <c r="C3220" s="2" t="s">
        <v>10354</v>
      </c>
      <c r="D3220" s="2" t="s">
        <v>82</v>
      </c>
      <c r="E3220" s="2">
        <v>46</v>
      </c>
      <c r="F3220" s="2">
        <v>859.269</v>
      </c>
    </row>
    <row r="3221" spans="3:6" x14ac:dyDescent="0.25">
      <c r="C3221" s="2" t="s">
        <v>10355</v>
      </c>
      <c r="D3221" s="2" t="s">
        <v>82</v>
      </c>
      <c r="E3221" s="2">
        <v>65</v>
      </c>
      <c r="F3221" s="2">
        <v>1323.9</v>
      </c>
    </row>
    <row r="3222" spans="3:6" x14ac:dyDescent="0.25">
      <c r="C3222" s="2" t="s">
        <v>10356</v>
      </c>
      <c r="D3222" s="2" t="s">
        <v>82</v>
      </c>
      <c r="E3222" s="2">
        <v>37</v>
      </c>
      <c r="F3222" s="2">
        <v>700.36</v>
      </c>
    </row>
    <row r="3223" spans="3:6" x14ac:dyDescent="0.25">
      <c r="C3223" s="2" t="s">
        <v>10357</v>
      </c>
      <c r="D3223" s="2" t="s">
        <v>82</v>
      </c>
      <c r="E3223" s="2">
        <v>102</v>
      </c>
      <c r="F3223" s="2">
        <v>2130.119</v>
      </c>
    </row>
    <row r="3224" spans="3:6" x14ac:dyDescent="0.25">
      <c r="C3224" s="2" t="s">
        <v>10358</v>
      </c>
      <c r="D3224" s="2" t="s">
        <v>82</v>
      </c>
      <c r="E3224" s="2">
        <v>10</v>
      </c>
      <c r="F3224" s="2">
        <v>193.97</v>
      </c>
    </row>
    <row r="3225" spans="3:6" x14ac:dyDescent="0.25">
      <c r="C3225" s="2" t="s">
        <v>10359</v>
      </c>
      <c r="D3225" s="2" t="s">
        <v>82</v>
      </c>
      <c r="E3225" s="2">
        <v>20</v>
      </c>
      <c r="F3225" s="2">
        <v>399.22</v>
      </c>
    </row>
    <row r="3226" spans="3:6" x14ac:dyDescent="0.25">
      <c r="C3226" s="2" t="s">
        <v>10360</v>
      </c>
      <c r="D3226" s="2" t="s">
        <v>82</v>
      </c>
      <c r="E3226" s="2">
        <v>60</v>
      </c>
      <c r="F3226" s="2">
        <v>1222.12</v>
      </c>
    </row>
    <row r="3227" spans="3:6" x14ac:dyDescent="0.25">
      <c r="C3227" s="2" t="s">
        <v>10361</v>
      </c>
      <c r="D3227" s="2" t="s">
        <v>82</v>
      </c>
      <c r="E3227" s="2">
        <v>12</v>
      </c>
      <c r="F3227" s="2">
        <v>239.72</v>
      </c>
    </row>
    <row r="3228" spans="3:6" x14ac:dyDescent="0.25">
      <c r="C3228" s="2" t="s">
        <v>10362</v>
      </c>
      <c r="D3228" s="2" t="s">
        <v>82</v>
      </c>
      <c r="E3228" s="2">
        <v>88</v>
      </c>
      <c r="F3228" s="2">
        <v>1774.11</v>
      </c>
    </row>
    <row r="3229" spans="3:6" x14ac:dyDescent="0.25">
      <c r="C3229" s="2" t="s">
        <v>10363</v>
      </c>
      <c r="D3229" s="2" t="s">
        <v>82</v>
      </c>
      <c r="E3229" s="2">
        <v>14</v>
      </c>
      <c r="F3229" s="2">
        <v>277.2</v>
      </c>
    </row>
    <row r="3230" spans="3:6" x14ac:dyDescent="0.25">
      <c r="C3230" s="2" t="s">
        <v>10364</v>
      </c>
      <c r="D3230" s="2" t="s">
        <v>82</v>
      </c>
      <c r="E3230" s="2">
        <v>75</v>
      </c>
      <c r="F3230" s="2">
        <v>1539.98</v>
      </c>
    </row>
    <row r="3231" spans="3:6" x14ac:dyDescent="0.25">
      <c r="C3231" s="2" t="s">
        <v>10365</v>
      </c>
      <c r="D3231" s="2" t="s">
        <v>82</v>
      </c>
      <c r="E3231" s="2">
        <v>60</v>
      </c>
      <c r="F3231" s="2">
        <v>258.378</v>
      </c>
    </row>
    <row r="3232" spans="3:6" x14ac:dyDescent="0.25">
      <c r="C3232" s="2" t="s">
        <v>10366</v>
      </c>
      <c r="D3232" s="2" t="s">
        <v>82</v>
      </c>
      <c r="E3232" s="2">
        <v>60</v>
      </c>
      <c r="F3232" s="2">
        <v>269.869</v>
      </c>
    </row>
    <row r="3233" spans="3:6" x14ac:dyDescent="0.25">
      <c r="C3233" s="2" t="s">
        <v>10367</v>
      </c>
      <c r="D3233" s="2" t="s">
        <v>82</v>
      </c>
      <c r="E3233" s="2">
        <v>40</v>
      </c>
      <c r="F3233" s="2">
        <v>174.13</v>
      </c>
    </row>
    <row r="3234" spans="3:6" x14ac:dyDescent="0.25">
      <c r="C3234" s="2" t="s">
        <v>10368</v>
      </c>
      <c r="D3234" s="2" t="s">
        <v>82</v>
      </c>
      <c r="E3234" s="2">
        <v>121</v>
      </c>
      <c r="F3234" s="2">
        <v>2506.51</v>
      </c>
    </row>
    <row r="3235" spans="3:6" x14ac:dyDescent="0.25">
      <c r="C3235" s="2" t="s">
        <v>10369</v>
      </c>
      <c r="D3235" s="2" t="s">
        <v>82</v>
      </c>
      <c r="E3235" s="2">
        <v>13</v>
      </c>
      <c r="F3235" s="2">
        <v>272.43</v>
      </c>
    </row>
    <row r="3236" spans="3:6" x14ac:dyDescent="0.25">
      <c r="C3236" s="2" t="s">
        <v>10370</v>
      </c>
      <c r="D3236" s="2" t="s">
        <v>82</v>
      </c>
      <c r="E3236" s="2">
        <v>142</v>
      </c>
      <c r="F3236" s="2">
        <v>2784.42</v>
      </c>
    </row>
    <row r="3237" spans="3:6" x14ac:dyDescent="0.25">
      <c r="C3237" s="2" t="s">
        <v>10371</v>
      </c>
      <c r="D3237" s="2" t="s">
        <v>82</v>
      </c>
      <c r="E3237" s="2">
        <v>120</v>
      </c>
      <c r="F3237" s="2">
        <v>2438.348</v>
      </c>
    </row>
    <row r="3238" spans="3:6" x14ac:dyDescent="0.25">
      <c r="C3238" s="2" t="s">
        <v>10372</v>
      </c>
      <c r="D3238" s="2" t="s">
        <v>82</v>
      </c>
      <c r="E3238" s="2">
        <v>21</v>
      </c>
      <c r="F3238" s="2">
        <v>438.28</v>
      </c>
    </row>
    <row r="3239" spans="3:6" x14ac:dyDescent="0.25">
      <c r="C3239" s="2" t="s">
        <v>10373</v>
      </c>
      <c r="D3239" s="2" t="s">
        <v>82</v>
      </c>
      <c r="E3239" s="2">
        <v>30</v>
      </c>
      <c r="F3239" s="2">
        <v>574.86</v>
      </c>
    </row>
    <row r="3240" spans="3:6" x14ac:dyDescent="0.25">
      <c r="C3240" s="2" t="s">
        <v>10374</v>
      </c>
      <c r="D3240" s="2" t="s">
        <v>82</v>
      </c>
      <c r="E3240" s="2">
        <v>35</v>
      </c>
      <c r="F3240" s="2">
        <v>730</v>
      </c>
    </row>
    <row r="3241" spans="3:6" x14ac:dyDescent="0.25">
      <c r="C3241" s="2" t="s">
        <v>10375</v>
      </c>
      <c r="D3241" s="2" t="s">
        <v>82</v>
      </c>
      <c r="E3241" s="2">
        <v>45</v>
      </c>
      <c r="F3241" s="2">
        <v>898.4</v>
      </c>
    </row>
    <row r="3242" spans="3:6" x14ac:dyDescent="0.25">
      <c r="C3242" s="2" t="s">
        <v>10376</v>
      </c>
      <c r="D3242" s="2" t="s">
        <v>82</v>
      </c>
      <c r="E3242" s="2">
        <v>31</v>
      </c>
      <c r="F3242" s="2">
        <v>627.4</v>
      </c>
    </row>
    <row r="3243" spans="3:6" x14ac:dyDescent="0.25">
      <c r="C3243" s="2" t="s">
        <v>10377</v>
      </c>
      <c r="D3243" s="2" t="s">
        <v>82</v>
      </c>
      <c r="E3243" s="2">
        <v>141</v>
      </c>
      <c r="F3243" s="2">
        <v>2841.25</v>
      </c>
    </row>
    <row r="3244" spans="3:6" x14ac:dyDescent="0.25">
      <c r="C3244" s="2" t="s">
        <v>10378</v>
      </c>
      <c r="D3244" s="2" t="s">
        <v>82</v>
      </c>
      <c r="E3244" s="2">
        <v>70</v>
      </c>
      <c r="F3244" s="2">
        <v>1458.87</v>
      </c>
    </row>
    <row r="3245" spans="3:6" x14ac:dyDescent="0.25">
      <c r="C3245" s="2" t="s">
        <v>10379</v>
      </c>
      <c r="D3245" s="2" t="s">
        <v>82</v>
      </c>
      <c r="E3245" s="2">
        <v>71</v>
      </c>
      <c r="F3245" s="2">
        <v>1432.69</v>
      </c>
    </row>
    <row r="3246" spans="3:6" x14ac:dyDescent="0.25">
      <c r="C3246" s="2" t="s">
        <v>10380</v>
      </c>
      <c r="D3246" s="2" t="s">
        <v>82</v>
      </c>
      <c r="E3246" s="2">
        <v>44</v>
      </c>
      <c r="F3246" s="2">
        <v>848.82</v>
      </c>
    </row>
    <row r="3247" spans="3:6" x14ac:dyDescent="0.25">
      <c r="C3247" s="2" t="s">
        <v>10381</v>
      </c>
      <c r="D3247" s="2" t="s">
        <v>82</v>
      </c>
      <c r="E3247" s="2">
        <v>58</v>
      </c>
      <c r="F3247" s="2">
        <v>1177.47</v>
      </c>
    </row>
    <row r="3248" spans="3:6" x14ac:dyDescent="0.25">
      <c r="C3248" s="2" t="s">
        <v>10382</v>
      </c>
      <c r="D3248" s="2" t="s">
        <v>82</v>
      </c>
      <c r="E3248" s="2">
        <v>39</v>
      </c>
      <c r="F3248" s="2">
        <v>740.399</v>
      </c>
    </row>
    <row r="3249" spans="3:6" x14ac:dyDescent="0.25">
      <c r="C3249" s="2" t="s">
        <v>10383</v>
      </c>
      <c r="D3249" s="2" t="s">
        <v>82</v>
      </c>
      <c r="E3249" s="2">
        <v>82</v>
      </c>
      <c r="F3249" s="2">
        <v>1577.48</v>
      </c>
    </row>
    <row r="3250" spans="3:6" x14ac:dyDescent="0.25">
      <c r="C3250" s="2" t="s">
        <v>10384</v>
      </c>
      <c r="D3250" s="2" t="s">
        <v>82</v>
      </c>
      <c r="E3250" s="2">
        <v>20</v>
      </c>
      <c r="F3250" s="2">
        <v>418.64</v>
      </c>
    </row>
    <row r="3252" spans="1:7" x14ac:dyDescent="0.25">
      <c r="A3252" s="1">
        <v>46171</v>
      </c>
      <c r="B3252" s="2" t="s">
        <v>897</v>
      </c>
      <c r="C3252" s="2" t="s">
        <v>10385</v>
      </c>
      <c r="D3252" s="2" t="s">
        <v>292</v>
      </c>
      <c r="E3252" s="2">
        <v>102</v>
      </c>
      <c r="F3252" s="2">
        <v>2169.53</v>
      </c>
      <c r="G3252" s="1">
        <v>46170</v>
      </c>
    </row>
    <row r="3253" spans="3:6" x14ac:dyDescent="0.25">
      <c r="C3253" s="2" t="s">
        <v>10386</v>
      </c>
      <c r="D3253" s="2" t="s">
        <v>292</v>
      </c>
      <c r="E3253" s="2">
        <v>102</v>
      </c>
      <c r="F3253" s="2">
        <v>2060.18</v>
      </c>
    </row>
    <row r="3254" spans="3:6" x14ac:dyDescent="0.25">
      <c r="C3254" s="2" t="s">
        <v>10387</v>
      </c>
      <c r="D3254" s="2" t="s">
        <v>292</v>
      </c>
      <c r="E3254" s="2">
        <v>102</v>
      </c>
      <c r="F3254" s="2">
        <v>2042.719</v>
      </c>
    </row>
    <row r="3255" spans="3:6" x14ac:dyDescent="0.25">
      <c r="C3255" s="2" t="s">
        <v>10388</v>
      </c>
      <c r="D3255" s="2" t="s">
        <v>292</v>
      </c>
      <c r="E3255" s="2">
        <v>141</v>
      </c>
      <c r="F3255" s="2">
        <v>2871.45</v>
      </c>
    </row>
    <row r="3256" spans="3:6" x14ac:dyDescent="0.25">
      <c r="C3256" s="2" t="s">
        <v>10389</v>
      </c>
      <c r="D3256" s="2" t="s">
        <v>292</v>
      </c>
      <c r="E3256" s="2">
        <v>141</v>
      </c>
      <c r="F3256" s="2">
        <v>2860.65</v>
      </c>
    </row>
    <row r="3257" spans="3:6" x14ac:dyDescent="0.25">
      <c r="C3257" s="2" t="s">
        <v>10390</v>
      </c>
      <c r="D3257" s="2" t="s">
        <v>292</v>
      </c>
      <c r="E3257" s="2">
        <v>102</v>
      </c>
      <c r="F3257" s="2">
        <v>1980.759</v>
      </c>
    </row>
    <row r="3258" spans="3:6" x14ac:dyDescent="0.25">
      <c r="C3258" s="2" t="s">
        <v>10391</v>
      </c>
      <c r="D3258" s="2" t="s">
        <v>292</v>
      </c>
      <c r="E3258" s="2">
        <v>102</v>
      </c>
      <c r="F3258" s="2">
        <v>1992.93</v>
      </c>
    </row>
    <row r="3259" spans="3:6" x14ac:dyDescent="0.25">
      <c r="C3259" s="2" t="s">
        <v>10392</v>
      </c>
      <c r="D3259" s="2" t="s">
        <v>292</v>
      </c>
      <c r="E3259" s="2">
        <v>34</v>
      </c>
      <c r="F3259" s="2">
        <v>717.85</v>
      </c>
    </row>
    <row r="3260" spans="3:6" x14ac:dyDescent="0.25">
      <c r="C3260" s="2" t="s">
        <v>10393</v>
      </c>
      <c r="D3260" s="2" t="s">
        <v>292</v>
      </c>
      <c r="E3260" s="2">
        <v>82</v>
      </c>
      <c r="F3260" s="2">
        <v>1682.53</v>
      </c>
    </row>
    <row r="3261" spans="3:6" x14ac:dyDescent="0.25">
      <c r="C3261" s="2" t="s">
        <v>10394</v>
      </c>
      <c r="D3261" s="2" t="s">
        <v>292</v>
      </c>
      <c r="E3261" s="2">
        <v>29</v>
      </c>
      <c r="F3261" s="2">
        <v>578.84</v>
      </c>
    </row>
    <row r="3262" spans="3:6" x14ac:dyDescent="0.25">
      <c r="C3262" s="2" t="s">
        <v>10395</v>
      </c>
      <c r="D3262" s="2" t="s">
        <v>292</v>
      </c>
      <c r="E3262" s="2">
        <v>34</v>
      </c>
      <c r="F3262" s="2">
        <v>706.82</v>
      </c>
    </row>
    <row r="3263" spans="3:6" x14ac:dyDescent="0.25">
      <c r="C3263" s="2" t="s">
        <v>10396</v>
      </c>
      <c r="D3263" s="2" t="s">
        <v>292</v>
      </c>
      <c r="E3263" s="2">
        <v>24</v>
      </c>
      <c r="F3263" s="2">
        <v>470.112</v>
      </c>
    </row>
    <row r="3264" spans="3:6" x14ac:dyDescent="0.25">
      <c r="C3264" s="2" t="s">
        <v>10397</v>
      </c>
      <c r="D3264" s="2" t="s">
        <v>292</v>
      </c>
      <c r="E3264" s="2">
        <v>9</v>
      </c>
      <c r="F3264" s="2">
        <v>145.38</v>
      </c>
    </row>
    <row r="3265" spans="3:6" x14ac:dyDescent="0.25">
      <c r="C3265" s="2" t="s">
        <v>10398</v>
      </c>
      <c r="D3265" s="2" t="s">
        <v>292</v>
      </c>
      <c r="E3265" s="2">
        <v>27</v>
      </c>
      <c r="F3265" s="2">
        <v>537.44</v>
      </c>
    </row>
    <row r="3266" spans="3:6" x14ac:dyDescent="0.25">
      <c r="C3266" s="2" t="s">
        <v>10399</v>
      </c>
      <c r="D3266" s="2" t="s">
        <v>292</v>
      </c>
      <c r="E3266" s="2">
        <v>9</v>
      </c>
      <c r="F3266" s="2">
        <v>123.22</v>
      </c>
    </row>
    <row r="3267" spans="3:6" x14ac:dyDescent="0.25">
      <c r="C3267" s="2" t="s">
        <v>10400</v>
      </c>
      <c r="D3267" s="2" t="s">
        <v>292</v>
      </c>
      <c r="E3267" s="2">
        <v>11</v>
      </c>
      <c r="F3267" s="2">
        <v>203.94</v>
      </c>
    </row>
    <row r="3268" spans="3:6" x14ac:dyDescent="0.25">
      <c r="C3268" s="2" t="s">
        <v>10401</v>
      </c>
      <c r="D3268" s="2" t="s">
        <v>292</v>
      </c>
      <c r="E3268" s="2">
        <v>90</v>
      </c>
      <c r="F3268" s="2">
        <v>1831.307</v>
      </c>
    </row>
    <row r="3269" spans="3:6" x14ac:dyDescent="0.25">
      <c r="C3269" s="2" t="s">
        <v>10402</v>
      </c>
      <c r="D3269" s="2" t="s">
        <v>292</v>
      </c>
      <c r="E3269" s="2">
        <v>91</v>
      </c>
      <c r="F3269" s="2">
        <v>1450.256</v>
      </c>
    </row>
    <row r="3270" spans="3:6" x14ac:dyDescent="0.25">
      <c r="C3270" s="2" t="s">
        <v>10403</v>
      </c>
      <c r="D3270" s="2" t="s">
        <v>292</v>
      </c>
      <c r="E3270" s="2">
        <v>123</v>
      </c>
      <c r="F3270" s="2">
        <v>2494.375</v>
      </c>
    </row>
    <row r="3271" spans="3:6" x14ac:dyDescent="0.25">
      <c r="C3271" s="2" t="s">
        <v>10404</v>
      </c>
      <c r="D3271" s="2" t="s">
        <v>292</v>
      </c>
      <c r="E3271" s="2">
        <v>66</v>
      </c>
      <c r="F3271" s="2">
        <v>1283.19</v>
      </c>
    </row>
    <row r="3272" spans="3:6" x14ac:dyDescent="0.25">
      <c r="C3272" s="2" t="s">
        <v>10405</v>
      </c>
      <c r="D3272" s="2" t="s">
        <v>292</v>
      </c>
      <c r="E3272" s="2">
        <v>55</v>
      </c>
      <c r="F3272" s="2">
        <v>1089.401</v>
      </c>
    </row>
    <row r="3273" spans="3:6" x14ac:dyDescent="0.25">
      <c r="C3273" s="2" t="s">
        <v>10406</v>
      </c>
      <c r="D3273" s="2" t="s">
        <v>292</v>
      </c>
      <c r="E3273" s="2">
        <v>107</v>
      </c>
      <c r="F3273" s="2">
        <v>2099.169</v>
      </c>
    </row>
    <row r="3274" spans="3:6" x14ac:dyDescent="0.25">
      <c r="C3274" s="2" t="s">
        <v>10407</v>
      </c>
      <c r="D3274" s="2" t="s">
        <v>292</v>
      </c>
      <c r="E3274" s="2">
        <v>107</v>
      </c>
      <c r="F3274" s="2">
        <v>2193.47</v>
      </c>
    </row>
    <row r="3275" spans="3:6" x14ac:dyDescent="0.25">
      <c r="C3275" s="2" t="s">
        <v>10408</v>
      </c>
      <c r="D3275" s="2" t="s">
        <v>292</v>
      </c>
      <c r="E3275" s="2">
        <v>104</v>
      </c>
      <c r="F3275" s="2">
        <v>2116.789</v>
      </c>
    </row>
    <row r="3276" spans="3:6" x14ac:dyDescent="0.25">
      <c r="C3276" s="2" t="s">
        <v>10409</v>
      </c>
      <c r="D3276" s="2" t="s">
        <v>292</v>
      </c>
      <c r="E3276" s="2">
        <v>59</v>
      </c>
      <c r="F3276" s="2">
        <v>1242.42</v>
      </c>
    </row>
    <row r="3277" spans="3:6" x14ac:dyDescent="0.25">
      <c r="C3277" s="2" t="s">
        <v>10410</v>
      </c>
      <c r="D3277" s="2" t="s">
        <v>292</v>
      </c>
      <c r="E3277" s="2">
        <v>128</v>
      </c>
      <c r="F3277" s="2">
        <v>1902.9</v>
      </c>
    </row>
    <row r="3278" spans="3:6" x14ac:dyDescent="0.25">
      <c r="C3278" s="2" t="s">
        <v>10411</v>
      </c>
      <c r="D3278" s="2" t="s">
        <v>292</v>
      </c>
      <c r="E3278" s="2">
        <v>47</v>
      </c>
      <c r="F3278" s="2">
        <v>936.51</v>
      </c>
    </row>
    <row r="3279" spans="3:6" x14ac:dyDescent="0.25">
      <c r="C3279" s="2" t="s">
        <v>10412</v>
      </c>
      <c r="D3279" s="2" t="s">
        <v>292</v>
      </c>
      <c r="E3279" s="2">
        <v>141</v>
      </c>
      <c r="F3279" s="2">
        <v>2878.5</v>
      </c>
    </row>
    <row r="3280" spans="3:6" x14ac:dyDescent="0.25">
      <c r="C3280" s="2" t="s">
        <v>10413</v>
      </c>
      <c r="D3280" s="2" t="s">
        <v>292</v>
      </c>
      <c r="E3280" s="2">
        <v>141</v>
      </c>
      <c r="F3280" s="2">
        <v>2732.17</v>
      </c>
    </row>
    <row r="3281" spans="3:6" x14ac:dyDescent="0.25">
      <c r="C3281" s="2" t="s">
        <v>10414</v>
      </c>
      <c r="D3281" s="2" t="s">
        <v>292</v>
      </c>
      <c r="E3281" s="2">
        <v>141</v>
      </c>
      <c r="F3281" s="2">
        <v>2947.11</v>
      </c>
    </row>
    <row r="3282" spans="3:6" x14ac:dyDescent="0.25">
      <c r="C3282" s="2" t="s">
        <v>10415</v>
      </c>
      <c r="D3282" s="2" t="s">
        <v>292</v>
      </c>
      <c r="E3282" s="2">
        <v>141</v>
      </c>
      <c r="F3282" s="2">
        <v>2779.75</v>
      </c>
    </row>
    <row r="3283" spans="3:6" x14ac:dyDescent="0.25">
      <c r="C3283" s="2" t="s">
        <v>10416</v>
      </c>
      <c r="D3283" s="2" t="s">
        <v>292</v>
      </c>
      <c r="E3283" s="2">
        <v>45</v>
      </c>
      <c r="F3283" s="2">
        <v>228.99</v>
      </c>
    </row>
    <row r="3284" spans="3:6" x14ac:dyDescent="0.25">
      <c r="C3284" s="2" t="s">
        <v>10417</v>
      </c>
      <c r="D3284" s="2" t="s">
        <v>292</v>
      </c>
      <c r="E3284" s="2">
        <v>64</v>
      </c>
      <c r="F3284" s="2">
        <v>1309.95</v>
      </c>
    </row>
    <row r="3285" spans="3:6" x14ac:dyDescent="0.25">
      <c r="C3285" s="2" t="s">
        <v>10418</v>
      </c>
      <c r="D3285" s="2" t="s">
        <v>292</v>
      </c>
      <c r="E3285" s="2">
        <v>66</v>
      </c>
      <c r="F3285" s="2">
        <v>1360.06</v>
      </c>
    </row>
    <row r="3286" spans="3:6" x14ac:dyDescent="0.25">
      <c r="C3286" s="2" t="s">
        <v>10419</v>
      </c>
      <c r="D3286" s="2" t="s">
        <v>292</v>
      </c>
      <c r="E3286" s="2">
        <v>89</v>
      </c>
      <c r="F3286" s="2">
        <v>1783.71</v>
      </c>
    </row>
    <row r="3287" spans="3:6" x14ac:dyDescent="0.25">
      <c r="C3287" s="2" t="s">
        <v>10420</v>
      </c>
      <c r="D3287" s="2" t="s">
        <v>292</v>
      </c>
      <c r="E3287" s="2">
        <v>65</v>
      </c>
      <c r="F3287" s="2">
        <v>1369.66</v>
      </c>
    </row>
    <row r="3288" spans="3:6" x14ac:dyDescent="0.25">
      <c r="C3288" s="2" t="s">
        <v>10421</v>
      </c>
      <c r="D3288" s="2" t="s">
        <v>292</v>
      </c>
      <c r="E3288" s="2">
        <v>10</v>
      </c>
      <c r="F3288" s="2">
        <v>201.36</v>
      </c>
    </row>
    <row r="3289" spans="3:6" x14ac:dyDescent="0.25">
      <c r="C3289" s="2" t="s">
        <v>10422</v>
      </c>
      <c r="D3289" s="2" t="s">
        <v>292</v>
      </c>
      <c r="E3289" s="2">
        <v>130</v>
      </c>
      <c r="F3289" s="2">
        <v>1497.068</v>
      </c>
    </row>
    <row r="3290" spans="3:6" x14ac:dyDescent="0.25">
      <c r="C3290" s="2" t="s">
        <v>10423</v>
      </c>
      <c r="D3290" s="2" t="s">
        <v>292</v>
      </c>
      <c r="E3290" s="2">
        <v>57</v>
      </c>
      <c r="F3290" s="2">
        <v>1142.367</v>
      </c>
    </row>
    <row r="3291" spans="3:6" x14ac:dyDescent="0.25">
      <c r="C3291" s="2" t="s">
        <v>10424</v>
      </c>
      <c r="D3291" s="2" t="s">
        <v>292</v>
      </c>
      <c r="E3291" s="2">
        <v>50</v>
      </c>
      <c r="F3291" s="2">
        <v>258.92</v>
      </c>
    </row>
    <row r="3292" spans="3:6" x14ac:dyDescent="0.25">
      <c r="C3292" s="2" t="s">
        <v>10425</v>
      </c>
      <c r="D3292" s="2" t="s">
        <v>292</v>
      </c>
      <c r="E3292" s="2">
        <v>45</v>
      </c>
      <c r="F3292" s="2">
        <v>233.77</v>
      </c>
    </row>
    <row r="3293" spans="3:6" x14ac:dyDescent="0.25">
      <c r="C3293" s="2" t="s">
        <v>10426</v>
      </c>
      <c r="D3293" s="2" t="s">
        <v>292</v>
      </c>
      <c r="E3293" s="2">
        <v>94</v>
      </c>
      <c r="F3293" s="2">
        <v>1862.329</v>
      </c>
    </row>
    <row r="3294" spans="3:6" x14ac:dyDescent="0.25">
      <c r="C3294" s="2" t="s">
        <v>10427</v>
      </c>
      <c r="D3294" s="2" t="s">
        <v>292</v>
      </c>
      <c r="E3294" s="2">
        <v>60</v>
      </c>
      <c r="F3294" s="2">
        <v>315.48</v>
      </c>
    </row>
    <row r="3295" spans="3:6" x14ac:dyDescent="0.25">
      <c r="C3295" s="2" t="s">
        <v>10428</v>
      </c>
      <c r="D3295" s="2" t="s">
        <v>292</v>
      </c>
      <c r="E3295" s="2">
        <v>10</v>
      </c>
      <c r="F3295" s="2">
        <v>148.11</v>
      </c>
    </row>
    <row r="3296" spans="3:6" x14ac:dyDescent="0.25">
      <c r="C3296" s="2" t="s">
        <v>10429</v>
      </c>
      <c r="D3296" s="2" t="s">
        <v>292</v>
      </c>
      <c r="E3296" s="2">
        <v>11</v>
      </c>
      <c r="F3296" s="2">
        <v>210.88</v>
      </c>
    </row>
    <row r="3297" spans="3:6" x14ac:dyDescent="0.25">
      <c r="C3297" s="2" t="s">
        <v>10430</v>
      </c>
      <c r="D3297" s="2" t="s">
        <v>292</v>
      </c>
      <c r="E3297" s="2">
        <v>59</v>
      </c>
      <c r="F3297" s="2">
        <v>1040.749</v>
      </c>
    </row>
    <row r="3298" spans="3:6" x14ac:dyDescent="0.25">
      <c r="C3298" s="2" t="s">
        <v>10431</v>
      </c>
      <c r="D3298" s="2" t="s">
        <v>292</v>
      </c>
      <c r="E3298" s="2">
        <v>43</v>
      </c>
      <c r="F3298" s="2">
        <v>729.214</v>
      </c>
    </row>
    <row r="3299" spans="3:6" x14ac:dyDescent="0.25">
      <c r="C3299" s="2" t="s">
        <v>10432</v>
      </c>
      <c r="D3299" s="2" t="s">
        <v>292</v>
      </c>
      <c r="E3299" s="2">
        <v>32</v>
      </c>
      <c r="F3299" s="2">
        <v>693.45</v>
      </c>
    </row>
    <row r="3300" spans="3:6" x14ac:dyDescent="0.25">
      <c r="C3300" s="2" t="s">
        <v>10433</v>
      </c>
      <c r="D3300" s="2" t="s">
        <v>292</v>
      </c>
      <c r="E3300" s="2">
        <v>8</v>
      </c>
      <c r="F3300" s="2">
        <v>155.31</v>
      </c>
    </row>
    <row r="3302" spans="1:7" x14ac:dyDescent="0.25">
      <c r="A3302" s="1">
        <v>46171</v>
      </c>
      <c r="B3302" s="2" t="s">
        <v>290</v>
      </c>
      <c r="C3302" s="2" t="s">
        <v>10434</v>
      </c>
      <c r="D3302" s="2" t="s">
        <v>178</v>
      </c>
      <c r="E3302" s="2">
        <v>141</v>
      </c>
      <c r="F3302" s="2">
        <v>2775.549</v>
      </c>
      <c r="G3302" s="1">
        <v>46170</v>
      </c>
    </row>
    <row r="3303" spans="3:6" x14ac:dyDescent="0.25">
      <c r="C3303" s="2" t="s">
        <v>10435</v>
      </c>
      <c r="D3303" s="2" t="s">
        <v>178</v>
      </c>
      <c r="E3303" s="2">
        <v>94</v>
      </c>
      <c r="F3303" s="2">
        <v>1785.48</v>
      </c>
    </row>
    <row r="3304" spans="3:6" x14ac:dyDescent="0.25">
      <c r="C3304" s="2" t="s">
        <v>10436</v>
      </c>
      <c r="D3304" s="2" t="s">
        <v>178</v>
      </c>
      <c r="E3304" s="2">
        <v>47</v>
      </c>
      <c r="F3304" s="2">
        <v>910.06</v>
      </c>
    </row>
    <row r="3305" spans="3:6" x14ac:dyDescent="0.25">
      <c r="C3305" s="2" t="s">
        <v>10437</v>
      </c>
      <c r="D3305" s="2" t="s">
        <v>178</v>
      </c>
      <c r="E3305" s="2">
        <v>100</v>
      </c>
      <c r="F3305" s="2">
        <v>2100.82</v>
      </c>
    </row>
    <row r="3306" spans="3:6" x14ac:dyDescent="0.25">
      <c r="C3306" s="2" t="s">
        <v>10438</v>
      </c>
      <c r="D3306" s="2" t="s">
        <v>178</v>
      </c>
      <c r="E3306" s="2">
        <v>41</v>
      </c>
      <c r="F3306" s="2">
        <v>731.489</v>
      </c>
    </row>
    <row r="3307" spans="3:6" x14ac:dyDescent="0.25">
      <c r="C3307" s="2" t="s">
        <v>10439</v>
      </c>
      <c r="D3307" s="2" t="s">
        <v>178</v>
      </c>
      <c r="E3307" s="2">
        <v>102</v>
      </c>
      <c r="F3307" s="2">
        <v>2110.06</v>
      </c>
    </row>
    <row r="3308" spans="3:6" x14ac:dyDescent="0.25">
      <c r="C3308" s="2" t="s">
        <v>10440</v>
      </c>
      <c r="D3308" s="2" t="s">
        <v>178</v>
      </c>
      <c r="E3308" s="2">
        <v>124</v>
      </c>
      <c r="F3308" s="2">
        <v>2465.96</v>
      </c>
    </row>
    <row r="3309" spans="3:6" x14ac:dyDescent="0.25">
      <c r="C3309" s="2" t="s">
        <v>10441</v>
      </c>
      <c r="D3309" s="2" t="s">
        <v>178</v>
      </c>
      <c r="E3309" s="2">
        <v>102</v>
      </c>
      <c r="F3309" s="2">
        <v>2060.49</v>
      </c>
    </row>
    <row r="3310" spans="3:6" x14ac:dyDescent="0.25">
      <c r="C3310" s="2" t="s">
        <v>10442</v>
      </c>
      <c r="D3310" s="2" t="s">
        <v>178</v>
      </c>
      <c r="E3310" s="2">
        <v>102</v>
      </c>
      <c r="F3310" s="2">
        <v>2060.97</v>
      </c>
    </row>
    <row r="3311" spans="3:6" x14ac:dyDescent="0.25">
      <c r="C3311" s="2" t="s">
        <v>10443</v>
      </c>
      <c r="D3311" s="2" t="s">
        <v>178</v>
      </c>
      <c r="E3311" s="2">
        <v>102</v>
      </c>
      <c r="F3311" s="2">
        <v>1933.85</v>
      </c>
    </row>
    <row r="3312" spans="3:6" x14ac:dyDescent="0.25">
      <c r="C3312" s="2" t="s">
        <v>10444</v>
      </c>
      <c r="D3312" s="2" t="s">
        <v>178</v>
      </c>
      <c r="E3312" s="2">
        <v>30</v>
      </c>
      <c r="F3312" s="2">
        <v>129.79</v>
      </c>
    </row>
    <row r="3313" spans="3:6" x14ac:dyDescent="0.25">
      <c r="C3313" s="2" t="s">
        <v>10445</v>
      </c>
      <c r="D3313" s="2" t="s">
        <v>178</v>
      </c>
      <c r="E3313" s="2">
        <v>141</v>
      </c>
      <c r="F3313" s="2">
        <v>2994.22</v>
      </c>
    </row>
    <row r="3314" spans="3:6" x14ac:dyDescent="0.25">
      <c r="C3314" s="2" t="s">
        <v>10446</v>
      </c>
      <c r="D3314" s="2" t="s">
        <v>178</v>
      </c>
      <c r="E3314" s="2">
        <v>135</v>
      </c>
      <c r="F3314" s="2">
        <v>2747.75</v>
      </c>
    </row>
    <row r="3315" spans="3:6" x14ac:dyDescent="0.25">
      <c r="C3315" s="2" t="s">
        <v>10447</v>
      </c>
      <c r="D3315" s="2" t="s">
        <v>178</v>
      </c>
      <c r="E3315" s="2">
        <v>141</v>
      </c>
      <c r="F3315" s="2">
        <v>2846.64</v>
      </c>
    </row>
    <row r="3316" spans="3:6" x14ac:dyDescent="0.25">
      <c r="C3316" s="2" t="s">
        <v>10448</v>
      </c>
      <c r="D3316" s="2" t="s">
        <v>178</v>
      </c>
      <c r="E3316" s="2">
        <v>30</v>
      </c>
      <c r="F3316" s="2">
        <v>130.97</v>
      </c>
    </row>
    <row r="3317" spans="3:6" x14ac:dyDescent="0.25">
      <c r="C3317" s="2" t="s">
        <v>10449</v>
      </c>
      <c r="D3317" s="2" t="s">
        <v>178</v>
      </c>
      <c r="E3317" s="2">
        <v>123</v>
      </c>
      <c r="F3317" s="2">
        <v>2534.06</v>
      </c>
    </row>
    <row r="3318" spans="3:6" x14ac:dyDescent="0.25">
      <c r="C3318" s="2" t="s">
        <v>10450</v>
      </c>
      <c r="D3318" s="2" t="s">
        <v>178</v>
      </c>
      <c r="E3318" s="2">
        <v>102</v>
      </c>
      <c r="F3318" s="2">
        <v>1993.829</v>
      </c>
    </row>
    <row r="3319" spans="3:6" x14ac:dyDescent="0.25">
      <c r="C3319" s="2" t="s">
        <v>10451</v>
      </c>
      <c r="D3319" s="2" t="s">
        <v>178</v>
      </c>
      <c r="E3319" s="2">
        <v>141</v>
      </c>
      <c r="F3319" s="2">
        <v>3006.55</v>
      </c>
    </row>
    <row r="3320" spans="3:6" x14ac:dyDescent="0.25">
      <c r="C3320" s="2" t="s">
        <v>10452</v>
      </c>
      <c r="D3320" s="2" t="s">
        <v>178</v>
      </c>
      <c r="E3320" s="2">
        <v>141</v>
      </c>
      <c r="F3320" s="2">
        <v>2729.079</v>
      </c>
    </row>
    <row r="3321" spans="3:6" x14ac:dyDescent="0.25">
      <c r="C3321" s="2" t="s">
        <v>10453</v>
      </c>
      <c r="D3321" s="2" t="s">
        <v>178</v>
      </c>
      <c r="E3321" s="2">
        <v>123</v>
      </c>
      <c r="F3321" s="2">
        <v>2402.42</v>
      </c>
    </row>
    <row r="3322" spans="3:6" x14ac:dyDescent="0.25">
      <c r="C3322" s="2" t="s">
        <v>10454</v>
      </c>
      <c r="D3322" s="2" t="s">
        <v>178</v>
      </c>
      <c r="E3322" s="2">
        <v>124</v>
      </c>
      <c r="F3322" s="2">
        <v>2385.94</v>
      </c>
    </row>
    <row r="3323" spans="3:6" x14ac:dyDescent="0.25">
      <c r="C3323" s="2" t="s">
        <v>10455</v>
      </c>
      <c r="D3323" s="2" t="s">
        <v>178</v>
      </c>
      <c r="E3323" s="2">
        <v>67</v>
      </c>
      <c r="F3323" s="2">
        <v>1340.36</v>
      </c>
    </row>
    <row r="3324" spans="3:6" x14ac:dyDescent="0.25">
      <c r="C3324" s="2" t="s">
        <v>10456</v>
      </c>
      <c r="D3324" s="2" t="s">
        <v>178</v>
      </c>
      <c r="E3324" s="2">
        <v>48</v>
      </c>
      <c r="F3324" s="2">
        <v>959.57</v>
      </c>
    </row>
    <row r="3325" spans="3:6" x14ac:dyDescent="0.25">
      <c r="C3325" s="2" t="s">
        <v>10457</v>
      </c>
      <c r="D3325" s="2" t="s">
        <v>178</v>
      </c>
      <c r="E3325" s="2">
        <v>26</v>
      </c>
      <c r="F3325" s="2">
        <v>515.88</v>
      </c>
    </row>
    <row r="3326" spans="3:6" x14ac:dyDescent="0.25">
      <c r="C3326" s="2" t="s">
        <v>10458</v>
      </c>
      <c r="D3326" s="2" t="s">
        <v>178</v>
      </c>
      <c r="E3326" s="2">
        <v>141</v>
      </c>
      <c r="F3326" s="2">
        <v>2958.949</v>
      </c>
    </row>
    <row r="3327" spans="3:6" x14ac:dyDescent="0.25">
      <c r="C3327" s="2" t="s">
        <v>10459</v>
      </c>
      <c r="D3327" s="2" t="s">
        <v>178</v>
      </c>
      <c r="E3327" s="2">
        <v>141</v>
      </c>
      <c r="F3327" s="2">
        <v>2802.09</v>
      </c>
    </row>
    <row r="3328" spans="3:6" x14ac:dyDescent="0.25">
      <c r="C3328" s="2" t="s">
        <v>10460</v>
      </c>
      <c r="D3328" s="2" t="s">
        <v>178</v>
      </c>
      <c r="E3328" s="2">
        <v>102</v>
      </c>
      <c r="F3328" s="2">
        <v>2100.64</v>
      </c>
    </row>
    <row r="3329" spans="3:6" x14ac:dyDescent="0.25">
      <c r="C3329" s="2" t="s">
        <v>10461</v>
      </c>
      <c r="D3329" s="2" t="s">
        <v>178</v>
      </c>
      <c r="E3329" s="2">
        <v>141</v>
      </c>
      <c r="F3329" s="2">
        <v>2874.04</v>
      </c>
    </row>
    <row r="3330" spans="3:6" x14ac:dyDescent="0.25">
      <c r="C3330" s="2" t="s">
        <v>10462</v>
      </c>
      <c r="D3330" s="2" t="s">
        <v>178</v>
      </c>
      <c r="E3330" s="2">
        <v>141</v>
      </c>
      <c r="F3330" s="2">
        <v>3037.95</v>
      </c>
    </row>
    <row r="3331" spans="3:6" x14ac:dyDescent="0.25">
      <c r="C3331" s="2" t="s">
        <v>10463</v>
      </c>
      <c r="D3331" s="2" t="s">
        <v>178</v>
      </c>
      <c r="E3331" s="2">
        <v>59</v>
      </c>
      <c r="F3331" s="2">
        <v>1054.719</v>
      </c>
    </row>
    <row r="3332" spans="3:6" x14ac:dyDescent="0.25">
      <c r="C3332" s="2" t="s">
        <v>10464</v>
      </c>
      <c r="D3332" s="2" t="s">
        <v>178</v>
      </c>
      <c r="E3332" s="2">
        <v>41</v>
      </c>
      <c r="F3332" s="2">
        <v>768.69</v>
      </c>
    </row>
    <row r="3333" spans="3:6" x14ac:dyDescent="0.25">
      <c r="C3333" s="2" t="s">
        <v>10465</v>
      </c>
      <c r="D3333" s="2" t="s">
        <v>178</v>
      </c>
      <c r="E3333" s="2">
        <v>41</v>
      </c>
      <c r="F3333" s="2">
        <v>828.41</v>
      </c>
    </row>
    <row r="3334" spans="3:6" x14ac:dyDescent="0.25">
      <c r="C3334" s="2" t="s">
        <v>10466</v>
      </c>
      <c r="D3334" s="2" t="s">
        <v>178</v>
      </c>
      <c r="E3334" s="2">
        <v>141</v>
      </c>
      <c r="F3334" s="2">
        <v>2922.62</v>
      </c>
    </row>
    <row r="3335" spans="3:6" x14ac:dyDescent="0.25">
      <c r="C3335" s="2" t="s">
        <v>10467</v>
      </c>
      <c r="D3335" s="2" t="s">
        <v>178</v>
      </c>
      <c r="E3335" s="2">
        <v>102</v>
      </c>
      <c r="F3335" s="2">
        <v>2234.41</v>
      </c>
    </row>
    <row r="3336" spans="3:6" x14ac:dyDescent="0.25">
      <c r="C3336" s="2" t="s">
        <v>10468</v>
      </c>
      <c r="D3336" s="2" t="s">
        <v>178</v>
      </c>
      <c r="E3336" s="2">
        <v>13</v>
      </c>
      <c r="F3336" s="2">
        <v>79.03</v>
      </c>
    </row>
    <row r="3337" spans="3:6" x14ac:dyDescent="0.25">
      <c r="C3337" s="2" t="s">
        <v>10469</v>
      </c>
      <c r="D3337" s="2" t="s">
        <v>178</v>
      </c>
      <c r="E3337" s="2">
        <v>25</v>
      </c>
      <c r="F3337" s="2">
        <v>440.06</v>
      </c>
    </row>
    <row r="3338" spans="3:6" x14ac:dyDescent="0.25">
      <c r="C3338" s="2" t="s">
        <v>10470</v>
      </c>
      <c r="D3338" s="2" t="s">
        <v>178</v>
      </c>
      <c r="E3338" s="2">
        <v>37</v>
      </c>
      <c r="F3338" s="2">
        <v>710.199</v>
      </c>
    </row>
    <row r="3339" spans="3:6" x14ac:dyDescent="0.25">
      <c r="C3339" s="2" t="s">
        <v>10471</v>
      </c>
      <c r="D3339" s="2" t="s">
        <v>178</v>
      </c>
      <c r="E3339" s="2">
        <v>46</v>
      </c>
      <c r="F3339" s="2">
        <v>857.649</v>
      </c>
    </row>
    <row r="3340" spans="3:6" x14ac:dyDescent="0.25">
      <c r="C3340" s="2" t="s">
        <v>10472</v>
      </c>
      <c r="D3340" s="2" t="s">
        <v>178</v>
      </c>
      <c r="E3340" s="2">
        <v>95</v>
      </c>
      <c r="F3340" s="2">
        <v>1926.27</v>
      </c>
    </row>
    <row r="3341" spans="3:6" x14ac:dyDescent="0.25">
      <c r="C3341" s="2" t="s">
        <v>10473</v>
      </c>
      <c r="D3341" s="2" t="s">
        <v>178</v>
      </c>
      <c r="E3341" s="2">
        <v>84</v>
      </c>
      <c r="F3341" s="2">
        <v>1783.04</v>
      </c>
    </row>
    <row r="3342" spans="3:6" x14ac:dyDescent="0.25">
      <c r="C3342" s="2" t="s">
        <v>10474</v>
      </c>
      <c r="D3342" s="2" t="s">
        <v>178</v>
      </c>
      <c r="E3342" s="2">
        <v>57</v>
      </c>
      <c r="F3342" s="2">
        <v>1188.57</v>
      </c>
    </row>
    <row r="3343" spans="3:6" x14ac:dyDescent="0.25">
      <c r="C3343" s="2" t="s">
        <v>10475</v>
      </c>
      <c r="D3343" s="2" t="s">
        <v>178</v>
      </c>
      <c r="E3343" s="2">
        <v>6</v>
      </c>
      <c r="F3343" s="2">
        <v>119.82</v>
      </c>
    </row>
    <row r="3344" spans="3:6" x14ac:dyDescent="0.25">
      <c r="C3344" s="2" t="s">
        <v>10476</v>
      </c>
      <c r="D3344" s="2" t="s">
        <v>178</v>
      </c>
      <c r="E3344" s="2">
        <v>43</v>
      </c>
      <c r="F3344" s="2">
        <v>757.09</v>
      </c>
    </row>
    <row r="3345" spans="3:5" x14ac:dyDescent="0.25">
      <c r="C3345" s="2" t="s">
        <v>10477</v>
      </c>
      <c r="D3345" s="2" t="s">
        <v>178</v>
      </c>
      <c r="E3345" s="2">
        <v>93</v>
      </c>
    </row>
    <row r="3347" spans="1:7" x14ac:dyDescent="0.25">
      <c r="A3347" s="1">
        <v>46171</v>
      </c>
      <c r="B3347" s="2" t="s">
        <v>989</v>
      </c>
      <c r="C3347" s="2" t="s">
        <v>10478</v>
      </c>
      <c r="D3347" s="2" t="s">
        <v>9</v>
      </c>
      <c r="E3347" s="2">
        <v>156</v>
      </c>
      <c r="F3347" s="2">
        <v>3143.269</v>
      </c>
      <c r="G3347" s="1">
        <v>46170</v>
      </c>
    </row>
    <row r="3348" spans="3:6" x14ac:dyDescent="0.25">
      <c r="C3348" s="2" t="s">
        <v>10479</v>
      </c>
      <c r="D3348" s="2" t="s">
        <v>9</v>
      </c>
      <c r="E3348" s="2">
        <v>156</v>
      </c>
      <c r="F3348" s="2">
        <v>3198.21</v>
      </c>
    </row>
    <row r="3349" spans="3:6" x14ac:dyDescent="0.25">
      <c r="C3349" s="2" t="s">
        <v>10480</v>
      </c>
      <c r="D3349" s="2" t="s">
        <v>9</v>
      </c>
      <c r="E3349" s="2">
        <v>65</v>
      </c>
      <c r="F3349" s="2">
        <v>1360.95</v>
      </c>
    </row>
    <row r="3351" spans="1:7" x14ac:dyDescent="0.25">
      <c r="A3351" s="1">
        <v>46171</v>
      </c>
      <c r="B3351" s="2" t="s">
        <v>7</v>
      </c>
      <c r="C3351" s="2" t="s">
        <v>10481</v>
      </c>
      <c r="D3351" s="2" t="s">
        <v>9</v>
      </c>
      <c r="E3351" s="2">
        <v>99</v>
      </c>
      <c r="F3351" s="2">
        <v>1972.45</v>
      </c>
      <c r="G3351" s="1">
        <v>46171</v>
      </c>
    </row>
    <row r="3352" spans="3:6" x14ac:dyDescent="0.25">
      <c r="C3352" s="2" t="s">
        <v>10482</v>
      </c>
      <c r="D3352" s="2" t="s">
        <v>9</v>
      </c>
      <c r="E3352" s="2">
        <v>99</v>
      </c>
      <c r="F3352" s="2">
        <v>1874.578</v>
      </c>
    </row>
    <row r="3354" spans="1:7" x14ac:dyDescent="0.25">
      <c r="A3354" s="1">
        <v>46171</v>
      </c>
      <c r="B3354" s="2" t="s">
        <v>666</v>
      </c>
      <c r="C3354" s="2" t="s">
        <v>10483</v>
      </c>
      <c r="D3354" s="2" t="s">
        <v>59</v>
      </c>
      <c r="E3354" s="2">
        <v>149</v>
      </c>
      <c r="F3354" s="2">
        <v>2856.179</v>
      </c>
      <c r="G3354" s="1">
        <v>46170</v>
      </c>
    </row>
    <row r="3355" spans="3:6" x14ac:dyDescent="0.25">
      <c r="C3355" s="2" t="s">
        <v>10484</v>
      </c>
      <c r="D3355" s="2" t="s">
        <v>59</v>
      </c>
      <c r="E3355" s="2">
        <v>142</v>
      </c>
      <c r="F3355" s="2">
        <v>2980.399</v>
      </c>
    </row>
    <row r="3356" spans="3:6" x14ac:dyDescent="0.25">
      <c r="C3356" s="2" t="s">
        <v>10485</v>
      </c>
      <c r="D3356" s="2" t="s">
        <v>59</v>
      </c>
      <c r="E3356" s="2">
        <v>142</v>
      </c>
      <c r="F3356" s="2">
        <v>3026.979</v>
      </c>
    </row>
    <row r="3357" spans="3:6" x14ac:dyDescent="0.25">
      <c r="C3357" s="2" t="s">
        <v>10486</v>
      </c>
      <c r="D3357" s="2" t="s">
        <v>59</v>
      </c>
      <c r="E3357" s="2">
        <v>142</v>
      </c>
      <c r="F3357" s="2">
        <v>3075.39</v>
      </c>
    </row>
    <row r="3358" spans="3:6" x14ac:dyDescent="0.25">
      <c r="C3358" s="2" t="s">
        <v>10487</v>
      </c>
      <c r="D3358" s="2" t="s">
        <v>59</v>
      </c>
      <c r="E3358" s="2">
        <v>142</v>
      </c>
      <c r="F3358" s="2">
        <v>3097.119</v>
      </c>
    </row>
    <row r="3359" spans="3:6" x14ac:dyDescent="0.25">
      <c r="C3359" s="2" t="s">
        <v>10488</v>
      </c>
      <c r="D3359" s="2" t="s">
        <v>59</v>
      </c>
      <c r="E3359" s="2">
        <v>142</v>
      </c>
      <c r="F3359" s="2">
        <v>3032.1</v>
      </c>
    </row>
    <row r="3360" spans="3:6" x14ac:dyDescent="0.25">
      <c r="C3360" s="2" t="s">
        <v>10489</v>
      </c>
      <c r="D3360" s="2" t="s">
        <v>59</v>
      </c>
      <c r="E3360" s="2">
        <v>149</v>
      </c>
      <c r="F3360" s="2">
        <v>2835.069</v>
      </c>
    </row>
    <row r="3361" spans="3:6" x14ac:dyDescent="0.25">
      <c r="C3361" s="2" t="s">
        <v>10490</v>
      </c>
      <c r="D3361" s="2" t="s">
        <v>59</v>
      </c>
      <c r="E3361" s="2">
        <v>132</v>
      </c>
      <c r="F3361" s="2">
        <v>3290.31</v>
      </c>
    </row>
    <row r="3362" spans="3:6" x14ac:dyDescent="0.25">
      <c r="C3362" s="2" t="s">
        <v>10491</v>
      </c>
      <c r="D3362" s="2" t="s">
        <v>59</v>
      </c>
      <c r="E3362" s="2">
        <v>150</v>
      </c>
      <c r="F3362" s="2">
        <v>2728.569</v>
      </c>
    </row>
    <row r="3363" spans="3:6" x14ac:dyDescent="0.25">
      <c r="C3363" s="2" t="s">
        <v>10492</v>
      </c>
      <c r="D3363" s="2" t="s">
        <v>59</v>
      </c>
      <c r="E3363" s="2">
        <v>149</v>
      </c>
      <c r="F3363" s="2">
        <v>2836.81</v>
      </c>
    </row>
    <row r="3364" spans="3:6" x14ac:dyDescent="0.25">
      <c r="C3364" s="2" t="s">
        <v>10493</v>
      </c>
      <c r="D3364" s="2" t="s">
        <v>59</v>
      </c>
      <c r="E3364" s="2">
        <v>149</v>
      </c>
      <c r="F3364" s="2">
        <v>2867.62</v>
      </c>
    </row>
    <row r="3366" spans="1:7" x14ac:dyDescent="0.25">
      <c r="A3366" s="1">
        <v>46172</v>
      </c>
      <c r="B3366" s="2" t="s">
        <v>1012</v>
      </c>
      <c r="C3366" s="2" t="s">
        <v>10494</v>
      </c>
      <c r="D3366" s="2" t="s">
        <v>73</v>
      </c>
      <c r="E3366" s="2">
        <v>32</v>
      </c>
      <c r="F3366" s="2">
        <v>581.11</v>
      </c>
      <c r="G3366" s="1">
        <v>46171</v>
      </c>
    </row>
    <row r="3367" spans="3:6" x14ac:dyDescent="0.25">
      <c r="C3367" s="2" t="s">
        <v>10495</v>
      </c>
      <c r="D3367" s="2" t="s">
        <v>73</v>
      </c>
      <c r="E3367" s="2">
        <v>59</v>
      </c>
      <c r="F3367" s="2">
        <v>1152.98</v>
      </c>
    </row>
    <row r="3368" spans="3:6" x14ac:dyDescent="0.25">
      <c r="C3368" s="2" t="s">
        <v>10496</v>
      </c>
      <c r="D3368" s="2" t="s">
        <v>73</v>
      </c>
      <c r="E3368" s="2">
        <v>82</v>
      </c>
      <c r="F3368" s="2">
        <v>1603.11</v>
      </c>
    </row>
    <row r="3369" spans="3:6" x14ac:dyDescent="0.25">
      <c r="C3369" s="2" t="s">
        <v>10497</v>
      </c>
      <c r="D3369" s="2" t="s">
        <v>73</v>
      </c>
      <c r="E3369" s="2">
        <v>16</v>
      </c>
      <c r="F3369" s="2">
        <v>257.16</v>
      </c>
    </row>
    <row r="3370" spans="3:6" x14ac:dyDescent="0.25">
      <c r="C3370" s="2" t="s">
        <v>10498</v>
      </c>
      <c r="D3370" s="2" t="s">
        <v>73</v>
      </c>
      <c r="E3370" s="2">
        <v>89</v>
      </c>
      <c r="F3370" s="2">
        <v>1720.079</v>
      </c>
    </row>
    <row r="3371" spans="3:6" x14ac:dyDescent="0.25">
      <c r="C3371" s="2" t="s">
        <v>10499</v>
      </c>
      <c r="D3371" s="2" t="s">
        <v>73</v>
      </c>
      <c r="E3371" s="2">
        <v>93</v>
      </c>
      <c r="F3371" s="2">
        <v>1824.88</v>
      </c>
    </row>
    <row r="3372" spans="3:6" x14ac:dyDescent="0.25">
      <c r="C3372" s="2" t="s">
        <v>10500</v>
      </c>
      <c r="D3372" s="2" t="s">
        <v>73</v>
      </c>
      <c r="E3372" s="2">
        <v>65</v>
      </c>
      <c r="F3372" s="2">
        <v>1102.39</v>
      </c>
    </row>
    <row r="3373" spans="3:6" x14ac:dyDescent="0.25">
      <c r="C3373" s="2" t="s">
        <v>10501</v>
      </c>
      <c r="D3373" s="2" t="s">
        <v>73</v>
      </c>
      <c r="E3373" s="2">
        <v>69</v>
      </c>
      <c r="F3373" s="2">
        <v>1212.13</v>
      </c>
    </row>
    <row r="3374" spans="3:6" x14ac:dyDescent="0.25">
      <c r="C3374" s="2" t="s">
        <v>10502</v>
      </c>
      <c r="D3374" s="2" t="s">
        <v>73</v>
      </c>
      <c r="E3374" s="2">
        <v>8</v>
      </c>
      <c r="F3374" s="2">
        <v>158</v>
      </c>
    </row>
    <row r="3376" spans="1:7" x14ac:dyDescent="0.25">
      <c r="A3376" s="1">
        <v>46172</v>
      </c>
      <c r="B3376" s="2" t="s">
        <v>7</v>
      </c>
      <c r="C3376" s="2" t="s">
        <v>10503</v>
      </c>
      <c r="D3376" s="2" t="s">
        <v>9</v>
      </c>
      <c r="E3376" s="2">
        <v>99</v>
      </c>
      <c r="F3376" s="2">
        <v>1946.47</v>
      </c>
      <c r="G3376" s="1">
        <v>46171</v>
      </c>
    </row>
    <row r="3377" spans="3:6" x14ac:dyDescent="0.25">
      <c r="C3377" s="2" t="s">
        <v>10504</v>
      </c>
      <c r="D3377" s="2" t="s">
        <v>9</v>
      </c>
      <c r="E3377" s="2">
        <v>99</v>
      </c>
      <c r="F3377" s="2">
        <v>1650.59</v>
      </c>
    </row>
    <row r="3379" spans="1:7" x14ac:dyDescent="0.25">
      <c r="A3379" s="1">
        <v>46172</v>
      </c>
      <c r="B3379" s="2" t="s">
        <v>4335</v>
      </c>
      <c r="C3379" s="2" t="s">
        <v>10505</v>
      </c>
      <c r="D3379" s="2" t="s">
        <v>82</v>
      </c>
      <c r="E3379" s="2">
        <v>102</v>
      </c>
      <c r="F3379" s="2">
        <v>2093.58</v>
      </c>
      <c r="G3379" s="1">
        <v>46171</v>
      </c>
    </row>
    <row r="3380" spans="3:6" x14ac:dyDescent="0.25">
      <c r="C3380" s="2" t="s">
        <v>10506</v>
      </c>
      <c r="D3380" s="2" t="s">
        <v>82</v>
      </c>
      <c r="E3380" s="2">
        <v>74</v>
      </c>
      <c r="F3380" s="2">
        <v>1525.31</v>
      </c>
    </row>
    <row r="3381" spans="3:6" x14ac:dyDescent="0.25">
      <c r="C3381" s="2" t="s">
        <v>10507</v>
      </c>
      <c r="D3381" s="2" t="s">
        <v>82</v>
      </c>
      <c r="E3381" s="2">
        <v>28</v>
      </c>
      <c r="F3381" s="2">
        <v>559.46</v>
      </c>
    </row>
    <row r="3382" spans="3:6" x14ac:dyDescent="0.25">
      <c r="C3382" s="2" t="s">
        <v>10508</v>
      </c>
      <c r="D3382" s="2" t="s">
        <v>82</v>
      </c>
      <c r="E3382" s="2">
        <v>51</v>
      </c>
      <c r="F3382" s="2">
        <v>1015.6</v>
      </c>
    </row>
    <row r="3383" spans="3:6" x14ac:dyDescent="0.25">
      <c r="C3383" s="2" t="s">
        <v>10509</v>
      </c>
      <c r="D3383" s="2" t="s">
        <v>82</v>
      </c>
      <c r="E3383" s="2">
        <v>12</v>
      </c>
      <c r="F3383" s="2">
        <v>234.459</v>
      </c>
    </row>
    <row r="3384" spans="3:6" x14ac:dyDescent="0.25">
      <c r="C3384" s="2" t="s">
        <v>10510</v>
      </c>
      <c r="D3384" s="2" t="s">
        <v>82</v>
      </c>
      <c r="E3384" s="2">
        <v>24</v>
      </c>
      <c r="F3384" s="2">
        <v>504.02</v>
      </c>
    </row>
    <row r="3385" spans="3:6" x14ac:dyDescent="0.25">
      <c r="C3385" s="2" t="s">
        <v>10511</v>
      </c>
      <c r="D3385" s="2" t="s">
        <v>82</v>
      </c>
      <c r="E3385" s="2">
        <v>6</v>
      </c>
      <c r="F3385" s="2">
        <v>125.66</v>
      </c>
    </row>
    <row r="3386" spans="3:6" x14ac:dyDescent="0.25">
      <c r="C3386" s="2" t="s">
        <v>10512</v>
      </c>
      <c r="D3386" s="2" t="s">
        <v>82</v>
      </c>
      <c r="E3386" s="2">
        <v>9</v>
      </c>
      <c r="F3386" s="2">
        <v>174.97</v>
      </c>
    </row>
    <row r="3387" spans="3:6" x14ac:dyDescent="0.25">
      <c r="C3387" s="2" t="s">
        <v>10513</v>
      </c>
      <c r="D3387" s="2" t="s">
        <v>82</v>
      </c>
      <c r="E3387" s="2">
        <v>14</v>
      </c>
      <c r="F3387" s="2">
        <v>277.51</v>
      </c>
    </row>
    <row r="3388" spans="3:6" x14ac:dyDescent="0.25">
      <c r="C3388" s="2" t="s">
        <v>10514</v>
      </c>
      <c r="D3388" s="2" t="s">
        <v>82</v>
      </c>
      <c r="E3388" s="2">
        <v>74</v>
      </c>
      <c r="F3388" s="2">
        <v>1485.85</v>
      </c>
    </row>
    <row r="3389" spans="3:6" x14ac:dyDescent="0.25">
      <c r="C3389" s="2" t="s">
        <v>10515</v>
      </c>
      <c r="D3389" s="2" t="s">
        <v>82</v>
      </c>
      <c r="E3389" s="2">
        <v>14</v>
      </c>
      <c r="F3389" s="2">
        <v>295.3</v>
      </c>
    </row>
    <row r="3390" spans="3:6" x14ac:dyDescent="0.25">
      <c r="C3390" s="2" t="s">
        <v>10516</v>
      </c>
      <c r="D3390" s="2" t="s">
        <v>82</v>
      </c>
      <c r="E3390" s="2">
        <v>59</v>
      </c>
      <c r="F3390" s="2">
        <v>1247.17</v>
      </c>
    </row>
    <row r="3391" spans="3:6" x14ac:dyDescent="0.25">
      <c r="C3391" s="2" t="s">
        <v>10517</v>
      </c>
      <c r="D3391" s="2" t="s">
        <v>82</v>
      </c>
      <c r="E3391" s="2">
        <v>30</v>
      </c>
      <c r="F3391" s="2">
        <v>595.48</v>
      </c>
    </row>
    <row r="3392" spans="3:6" x14ac:dyDescent="0.25">
      <c r="C3392" s="2" t="s">
        <v>10518</v>
      </c>
      <c r="D3392" s="2" t="s">
        <v>82</v>
      </c>
      <c r="E3392" s="2">
        <v>38</v>
      </c>
      <c r="F3392" s="2">
        <v>730.54</v>
      </c>
    </row>
    <row r="3393" spans="3:6" x14ac:dyDescent="0.25">
      <c r="C3393" s="2" t="s">
        <v>10519</v>
      </c>
      <c r="D3393" s="2" t="s">
        <v>82</v>
      </c>
      <c r="E3393" s="2">
        <v>7</v>
      </c>
      <c r="F3393" s="2">
        <v>136.15</v>
      </c>
    </row>
    <row r="3394" spans="3:6" x14ac:dyDescent="0.25">
      <c r="C3394" s="2" t="s">
        <v>10520</v>
      </c>
      <c r="D3394" s="2" t="s">
        <v>82</v>
      </c>
      <c r="E3394" s="2">
        <v>27</v>
      </c>
      <c r="F3394" s="2">
        <v>519.02</v>
      </c>
    </row>
    <row r="3395" spans="3:6" x14ac:dyDescent="0.25">
      <c r="C3395" s="2" t="s">
        <v>10521</v>
      </c>
      <c r="D3395" s="2" t="s">
        <v>82</v>
      </c>
      <c r="E3395" s="2">
        <v>48</v>
      </c>
      <c r="F3395" s="2">
        <v>959.62</v>
      </c>
    </row>
    <row r="3396" spans="3:6" x14ac:dyDescent="0.25">
      <c r="C3396" s="2" t="s">
        <v>10522</v>
      </c>
      <c r="D3396" s="2" t="s">
        <v>82</v>
      </c>
      <c r="E3396" s="2">
        <v>15</v>
      </c>
      <c r="F3396" s="2">
        <v>263.91</v>
      </c>
    </row>
    <row r="3397" spans="3:6" x14ac:dyDescent="0.25">
      <c r="C3397" s="2" t="s">
        <v>10523</v>
      </c>
      <c r="D3397" s="2" t="s">
        <v>82</v>
      </c>
      <c r="E3397" s="2">
        <v>14</v>
      </c>
      <c r="F3397" s="2">
        <v>240.86</v>
      </c>
    </row>
    <row r="3398" spans="3:6" x14ac:dyDescent="0.25">
      <c r="C3398" s="2" t="s">
        <v>10524</v>
      </c>
      <c r="D3398" s="2" t="s">
        <v>82</v>
      </c>
      <c r="E3398" s="2">
        <v>10</v>
      </c>
      <c r="F3398" s="2">
        <v>182.91</v>
      </c>
    </row>
    <row r="3399" spans="3:6" x14ac:dyDescent="0.25">
      <c r="C3399" s="2" t="s">
        <v>10525</v>
      </c>
      <c r="D3399" s="2" t="s">
        <v>82</v>
      </c>
      <c r="E3399" s="2">
        <v>13</v>
      </c>
      <c r="F3399" s="2">
        <v>278.28</v>
      </c>
    </row>
    <row r="3400" spans="3:6" x14ac:dyDescent="0.25">
      <c r="C3400" s="2" t="s">
        <v>10526</v>
      </c>
      <c r="D3400" s="2" t="s">
        <v>82</v>
      </c>
      <c r="E3400" s="2">
        <v>31</v>
      </c>
      <c r="F3400" s="2">
        <v>456.384</v>
      </c>
    </row>
    <row r="3401" spans="3:6" x14ac:dyDescent="0.25">
      <c r="C3401" s="2" t="s">
        <v>10527</v>
      </c>
      <c r="D3401" s="2" t="s">
        <v>82</v>
      </c>
      <c r="E3401" s="2">
        <v>44</v>
      </c>
      <c r="F3401" s="2">
        <v>197.88</v>
      </c>
    </row>
    <row r="3402" spans="3:6" x14ac:dyDescent="0.25">
      <c r="C3402" s="2" t="s">
        <v>10528</v>
      </c>
      <c r="D3402" s="2" t="s">
        <v>82</v>
      </c>
      <c r="E3402" s="2">
        <v>8</v>
      </c>
      <c r="F3402" s="2">
        <v>118.35</v>
      </c>
    </row>
    <row r="3403" spans="3:6" x14ac:dyDescent="0.25">
      <c r="C3403" s="2" t="s">
        <v>10529</v>
      </c>
      <c r="D3403" s="2" t="s">
        <v>82</v>
      </c>
      <c r="E3403" s="2">
        <v>85</v>
      </c>
      <c r="F3403" s="2">
        <v>2564.959</v>
      </c>
    </row>
    <row r="3404" spans="3:6" x14ac:dyDescent="0.25">
      <c r="C3404" s="2" t="s">
        <v>10530</v>
      </c>
      <c r="D3404" s="2" t="s">
        <v>82</v>
      </c>
      <c r="E3404" s="2">
        <v>85</v>
      </c>
      <c r="F3404" s="2">
        <v>2573.209</v>
      </c>
    </row>
    <row r="3405" spans="3:6" x14ac:dyDescent="0.25">
      <c r="C3405" s="2" t="s">
        <v>10531</v>
      </c>
      <c r="D3405" s="2" t="s">
        <v>82</v>
      </c>
      <c r="E3405" s="2">
        <v>40</v>
      </c>
      <c r="F3405" s="2">
        <v>168.01</v>
      </c>
    </row>
    <row r="3406" spans="3:6" x14ac:dyDescent="0.25">
      <c r="C3406" s="2" t="s">
        <v>10532</v>
      </c>
      <c r="D3406" s="2" t="s">
        <v>82</v>
      </c>
      <c r="E3406" s="2">
        <v>30</v>
      </c>
      <c r="F3406" s="2">
        <v>129.4</v>
      </c>
    </row>
    <row r="3407" spans="3:6" x14ac:dyDescent="0.25">
      <c r="C3407" s="2" t="s">
        <v>10533</v>
      </c>
      <c r="D3407" s="2" t="s">
        <v>82</v>
      </c>
      <c r="E3407" s="2">
        <v>75</v>
      </c>
      <c r="F3407" s="2">
        <v>325.819</v>
      </c>
    </row>
    <row r="3408" spans="3:6" x14ac:dyDescent="0.25">
      <c r="C3408" s="2" t="s">
        <v>10534</v>
      </c>
      <c r="D3408" s="2" t="s">
        <v>82</v>
      </c>
      <c r="E3408" s="2">
        <v>72</v>
      </c>
      <c r="F3408" s="2">
        <v>1441.927</v>
      </c>
    </row>
    <row r="3409" spans="3:6" x14ac:dyDescent="0.25">
      <c r="C3409" s="2" t="s">
        <v>10535</v>
      </c>
      <c r="D3409" s="2" t="s">
        <v>82</v>
      </c>
      <c r="E3409" s="2">
        <v>7</v>
      </c>
      <c r="F3409" s="2">
        <v>140.17</v>
      </c>
    </row>
    <row r="3410" spans="3:6" x14ac:dyDescent="0.25">
      <c r="C3410" s="2" t="s">
        <v>10536</v>
      </c>
      <c r="D3410" s="2" t="s">
        <v>82</v>
      </c>
      <c r="E3410" s="2">
        <v>16</v>
      </c>
      <c r="F3410" s="2">
        <v>203.644</v>
      </c>
    </row>
    <row r="3411" spans="3:6" x14ac:dyDescent="0.25">
      <c r="C3411" s="2" t="s">
        <v>10537</v>
      </c>
      <c r="D3411" s="2" t="s">
        <v>82</v>
      </c>
      <c r="E3411" s="2">
        <v>18</v>
      </c>
      <c r="F3411" s="2">
        <v>359.96</v>
      </c>
    </row>
    <row r="3412" spans="3:6" x14ac:dyDescent="0.25">
      <c r="C3412" s="2" t="s">
        <v>10538</v>
      </c>
      <c r="D3412" s="2" t="s">
        <v>82</v>
      </c>
      <c r="E3412" s="2">
        <v>79</v>
      </c>
      <c r="F3412" s="2">
        <v>1612.76</v>
      </c>
    </row>
    <row r="3413" spans="3:6" x14ac:dyDescent="0.25">
      <c r="C3413" s="2" t="s">
        <v>10539</v>
      </c>
      <c r="D3413" s="2" t="s">
        <v>82</v>
      </c>
      <c r="E3413" s="2">
        <v>42</v>
      </c>
      <c r="F3413" s="2">
        <v>856.69</v>
      </c>
    </row>
    <row r="3414" spans="3:6" x14ac:dyDescent="0.25">
      <c r="C3414" s="2" t="s">
        <v>10540</v>
      </c>
      <c r="D3414" s="2" t="s">
        <v>82</v>
      </c>
      <c r="E3414" s="2">
        <v>66</v>
      </c>
      <c r="F3414" s="2">
        <v>1310.48</v>
      </c>
    </row>
    <row r="3415" spans="3:6" x14ac:dyDescent="0.25">
      <c r="C3415" s="2" t="s">
        <v>10541</v>
      </c>
      <c r="D3415" s="2" t="s">
        <v>82</v>
      </c>
      <c r="E3415" s="2">
        <v>55</v>
      </c>
      <c r="F3415" s="2">
        <v>1152.09</v>
      </c>
    </row>
    <row r="3416" spans="3:6" x14ac:dyDescent="0.25">
      <c r="C3416" s="2" t="s">
        <v>10542</v>
      </c>
      <c r="D3416" s="2" t="s">
        <v>82</v>
      </c>
      <c r="E3416" s="2">
        <v>37</v>
      </c>
      <c r="F3416" s="2">
        <v>721.83</v>
      </c>
    </row>
    <row r="3417" spans="3:6" x14ac:dyDescent="0.25">
      <c r="C3417" s="2" t="s">
        <v>10543</v>
      </c>
      <c r="D3417" s="2" t="s">
        <v>82</v>
      </c>
      <c r="E3417" s="2">
        <v>34</v>
      </c>
      <c r="F3417" s="2">
        <v>612.229</v>
      </c>
    </row>
    <row r="3418" spans="3:6" x14ac:dyDescent="0.25">
      <c r="C3418" s="2" t="s">
        <v>10544</v>
      </c>
      <c r="D3418" s="2" t="s">
        <v>82</v>
      </c>
      <c r="E3418" s="2">
        <v>50</v>
      </c>
      <c r="F3418" s="2">
        <v>1018.25</v>
      </c>
    </row>
    <row r="3419" spans="3:6" x14ac:dyDescent="0.25">
      <c r="C3419" s="2" t="s">
        <v>10545</v>
      </c>
      <c r="D3419" s="2" t="s">
        <v>82</v>
      </c>
      <c r="E3419" s="2">
        <v>141</v>
      </c>
      <c r="F3419" s="2">
        <v>2887.06</v>
      </c>
    </row>
    <row r="3420" spans="3:6" x14ac:dyDescent="0.25">
      <c r="C3420" s="2" t="s">
        <v>10546</v>
      </c>
      <c r="D3420" s="2" t="s">
        <v>82</v>
      </c>
      <c r="E3420" s="2">
        <v>105</v>
      </c>
      <c r="F3420" s="2">
        <v>2161.3</v>
      </c>
    </row>
    <row r="3421" spans="3:6" x14ac:dyDescent="0.25">
      <c r="C3421" s="2" t="s">
        <v>10547</v>
      </c>
      <c r="D3421" s="2" t="s">
        <v>82</v>
      </c>
      <c r="E3421" s="2">
        <v>36</v>
      </c>
      <c r="F3421" s="2">
        <v>771.149</v>
      </c>
    </row>
    <row r="3422" spans="3:6" x14ac:dyDescent="0.25">
      <c r="C3422" s="2" t="s">
        <v>10548</v>
      </c>
      <c r="D3422" s="2" t="s">
        <v>82</v>
      </c>
      <c r="E3422" s="2">
        <v>126</v>
      </c>
      <c r="F3422" s="2">
        <v>2604.11</v>
      </c>
    </row>
    <row r="3423" spans="3:6" x14ac:dyDescent="0.25">
      <c r="C3423" s="2" t="s">
        <v>10549</v>
      </c>
      <c r="D3423" s="2" t="s">
        <v>82</v>
      </c>
      <c r="E3423" s="2">
        <v>15</v>
      </c>
      <c r="F3423" s="2">
        <v>287.27</v>
      </c>
    </row>
    <row r="3424" spans="3:6" x14ac:dyDescent="0.25">
      <c r="C3424" s="2" t="s">
        <v>10550</v>
      </c>
      <c r="D3424" s="2" t="s">
        <v>82</v>
      </c>
      <c r="E3424" s="2">
        <v>141</v>
      </c>
      <c r="F3424" s="2">
        <v>2905.1</v>
      </c>
    </row>
    <row r="3425" spans="3:6" x14ac:dyDescent="0.25">
      <c r="C3425" s="2" t="s">
        <v>10551</v>
      </c>
      <c r="D3425" s="2" t="s">
        <v>82</v>
      </c>
      <c r="E3425" s="2">
        <v>141</v>
      </c>
      <c r="F3425" s="2">
        <v>2832.08</v>
      </c>
    </row>
    <row r="3426" spans="3:6" x14ac:dyDescent="0.25">
      <c r="C3426" s="2" t="s">
        <v>10552</v>
      </c>
      <c r="D3426" s="2" t="s">
        <v>82</v>
      </c>
      <c r="E3426" s="2">
        <v>141</v>
      </c>
      <c r="F3426" s="2">
        <v>2779.16</v>
      </c>
    </row>
    <row r="3427" spans="3:6" x14ac:dyDescent="0.25">
      <c r="C3427" s="2" t="s">
        <v>10553</v>
      </c>
      <c r="D3427" s="2" t="s">
        <v>82</v>
      </c>
      <c r="E3427" s="2">
        <v>83</v>
      </c>
      <c r="F3427" s="2">
        <v>1700.97</v>
      </c>
    </row>
    <row r="3428" spans="3:6" x14ac:dyDescent="0.25">
      <c r="C3428" s="2" t="s">
        <v>10554</v>
      </c>
      <c r="D3428" s="2" t="s">
        <v>82</v>
      </c>
      <c r="E3428" s="2">
        <v>32</v>
      </c>
      <c r="F3428" s="2">
        <v>701.5</v>
      </c>
    </row>
    <row r="3429" spans="3:6" x14ac:dyDescent="0.25">
      <c r="C3429" s="2" t="s">
        <v>10555</v>
      </c>
      <c r="D3429" s="2" t="s">
        <v>82</v>
      </c>
      <c r="E3429" s="2">
        <v>26</v>
      </c>
      <c r="F3429" s="2">
        <v>510.71</v>
      </c>
    </row>
    <row r="3430" spans="3:6" x14ac:dyDescent="0.25">
      <c r="C3430" s="2" t="s">
        <v>10556</v>
      </c>
      <c r="D3430" s="2" t="s">
        <v>82</v>
      </c>
      <c r="E3430" s="2">
        <v>32</v>
      </c>
      <c r="F3430" s="2">
        <v>630.16</v>
      </c>
    </row>
    <row r="3431" spans="3:6" x14ac:dyDescent="0.25">
      <c r="C3431" s="2" t="s">
        <v>10557</v>
      </c>
      <c r="D3431" s="2" t="s">
        <v>82</v>
      </c>
      <c r="E3431" s="2">
        <v>43</v>
      </c>
      <c r="F3431" s="2">
        <v>846.889</v>
      </c>
    </row>
    <row r="3432" spans="3:6" x14ac:dyDescent="0.25">
      <c r="C3432" s="2" t="s">
        <v>10558</v>
      </c>
      <c r="D3432" s="2" t="s">
        <v>82</v>
      </c>
      <c r="E3432" s="2">
        <v>46</v>
      </c>
      <c r="F3432" s="2">
        <v>923.42</v>
      </c>
    </row>
    <row r="3433" spans="3:6" x14ac:dyDescent="0.25">
      <c r="C3433" s="2" t="s">
        <v>10559</v>
      </c>
      <c r="D3433" s="2" t="s">
        <v>82</v>
      </c>
      <c r="E3433" s="2">
        <v>20</v>
      </c>
      <c r="F3433" s="2">
        <v>414.42</v>
      </c>
    </row>
    <row r="3434" spans="3:6" x14ac:dyDescent="0.25">
      <c r="C3434" s="2" t="s">
        <v>10560</v>
      </c>
      <c r="D3434" s="2" t="s">
        <v>82</v>
      </c>
      <c r="E3434" s="2">
        <v>34</v>
      </c>
      <c r="F3434" s="2">
        <v>610.03</v>
      </c>
    </row>
    <row r="3435" spans="3:6" x14ac:dyDescent="0.25">
      <c r="C3435" s="2" t="s">
        <v>10561</v>
      </c>
      <c r="D3435" s="2" t="s">
        <v>82</v>
      </c>
      <c r="E3435" s="2">
        <v>28</v>
      </c>
      <c r="F3435" s="2">
        <v>574.01</v>
      </c>
    </row>
    <row r="3436" spans="3:6" x14ac:dyDescent="0.25">
      <c r="C3436" s="2" t="s">
        <v>10562</v>
      </c>
      <c r="D3436" s="2" t="s">
        <v>82</v>
      </c>
      <c r="E3436" s="2">
        <v>24</v>
      </c>
      <c r="F3436" s="2">
        <v>481.24</v>
      </c>
    </row>
    <row r="3437" spans="3:6" x14ac:dyDescent="0.25">
      <c r="C3437" s="2" t="s">
        <v>10563</v>
      </c>
      <c r="D3437" s="2" t="s">
        <v>82</v>
      </c>
      <c r="E3437" s="2">
        <v>23</v>
      </c>
      <c r="F3437" s="2">
        <v>342.181</v>
      </c>
    </row>
    <row r="3438" spans="3:6" x14ac:dyDescent="0.25">
      <c r="C3438" s="2" t="s">
        <v>10564</v>
      </c>
      <c r="D3438" s="2" t="s">
        <v>82</v>
      </c>
      <c r="E3438" s="2">
        <v>20</v>
      </c>
      <c r="F3438" s="2">
        <v>376.74</v>
      </c>
    </row>
    <row r="3439" spans="3:6" x14ac:dyDescent="0.25">
      <c r="C3439" s="2" t="s">
        <v>10565</v>
      </c>
      <c r="D3439" s="2" t="s">
        <v>82</v>
      </c>
      <c r="E3439" s="2">
        <v>14</v>
      </c>
      <c r="F3439" s="2">
        <v>265.65</v>
      </c>
    </row>
    <row r="3440" spans="3:6" x14ac:dyDescent="0.25">
      <c r="C3440" s="2" t="s">
        <v>10566</v>
      </c>
      <c r="D3440" s="2" t="s">
        <v>82</v>
      </c>
      <c r="E3440" s="2">
        <v>31</v>
      </c>
      <c r="F3440" s="2">
        <v>589.19</v>
      </c>
    </row>
    <row r="3441" spans="3:6" x14ac:dyDescent="0.25">
      <c r="C3441" s="2" t="s">
        <v>10567</v>
      </c>
      <c r="D3441" s="2" t="s">
        <v>82</v>
      </c>
      <c r="E3441" s="2">
        <v>20</v>
      </c>
      <c r="F3441" s="2">
        <v>402.89</v>
      </c>
    </row>
    <row r="3442" spans="3:6" x14ac:dyDescent="0.25">
      <c r="C3442" s="2" t="s">
        <v>10568</v>
      </c>
      <c r="D3442" s="2" t="s">
        <v>82</v>
      </c>
      <c r="E3442" s="2">
        <v>24</v>
      </c>
      <c r="F3442" s="2">
        <v>471.53</v>
      </c>
    </row>
    <row r="3443" spans="3:6" x14ac:dyDescent="0.25">
      <c r="C3443" s="2" t="s">
        <v>10569</v>
      </c>
      <c r="D3443" s="2" t="s">
        <v>82</v>
      </c>
      <c r="E3443" s="2">
        <v>11</v>
      </c>
      <c r="F3443" s="2">
        <v>226.35</v>
      </c>
    </row>
    <row r="3444" spans="3:6" x14ac:dyDescent="0.25">
      <c r="C3444" s="2" t="s">
        <v>10570</v>
      </c>
      <c r="D3444" s="2" t="s">
        <v>82</v>
      </c>
      <c r="E3444" s="2">
        <v>16</v>
      </c>
      <c r="F3444" s="2">
        <v>319.83</v>
      </c>
    </row>
    <row r="3446" spans="1:7" x14ac:dyDescent="0.25">
      <c r="A3446" s="1">
        <v>46172</v>
      </c>
      <c r="B3446" s="2" t="s">
        <v>1626</v>
      </c>
      <c r="C3446" s="2" t="s">
        <v>10571</v>
      </c>
      <c r="D3446" s="2" t="s">
        <v>59</v>
      </c>
      <c r="E3446" s="2">
        <v>149</v>
      </c>
      <c r="F3446" s="2">
        <v>2840.26</v>
      </c>
      <c r="G3446" s="1">
        <v>46170</v>
      </c>
    </row>
    <row r="3447" spans="3:6" x14ac:dyDescent="0.25">
      <c r="C3447" s="2" t="s">
        <v>10572</v>
      </c>
      <c r="D3447" s="2" t="s">
        <v>59</v>
      </c>
      <c r="E3447" s="2">
        <v>143</v>
      </c>
      <c r="F3447" s="2">
        <v>2995.21</v>
      </c>
    </row>
    <row r="3448" spans="3:6" x14ac:dyDescent="0.25">
      <c r="C3448" s="2" t="s">
        <v>10573</v>
      </c>
      <c r="D3448" s="2" t="s">
        <v>59</v>
      </c>
      <c r="E3448" s="2">
        <v>338</v>
      </c>
      <c r="F3448" s="2">
        <v>6054.955</v>
      </c>
    </row>
    <row r="3450" spans="1:7" x14ac:dyDescent="0.25">
      <c r="A3450" s="1">
        <v>46172</v>
      </c>
      <c r="B3450" s="2" t="s">
        <v>2428</v>
      </c>
      <c r="C3450" s="2" t="s">
        <v>10574</v>
      </c>
      <c r="D3450" s="2" t="s">
        <v>59</v>
      </c>
      <c r="E3450" s="2">
        <v>105</v>
      </c>
      <c r="F3450" s="2">
        <v>2045.72</v>
      </c>
      <c r="G3450" s="1">
        <v>46171</v>
      </c>
    </row>
    <row r="3451" spans="3:6" x14ac:dyDescent="0.25">
      <c r="C3451" s="2" t="s">
        <v>3915</v>
      </c>
      <c r="D3451" s="2" t="s">
        <v>59</v>
      </c>
      <c r="E3451" s="2">
        <v>164</v>
      </c>
      <c r="F3451" s="2">
        <v>3792.13</v>
      </c>
    </row>
    <row r="3452" spans="3:6" x14ac:dyDescent="0.25">
      <c r="C3452" s="2" t="s">
        <v>10575</v>
      </c>
      <c r="D3452" s="2" t="s">
        <v>59</v>
      </c>
      <c r="E3452" s="2">
        <v>315</v>
      </c>
      <c r="F3452" s="2">
        <v>5073.014</v>
      </c>
    </row>
    <row r="3453" spans="3:6" x14ac:dyDescent="0.25">
      <c r="C3453" s="2" t="s">
        <v>10576</v>
      </c>
      <c r="D3453" s="2" t="s">
        <v>59</v>
      </c>
      <c r="E3453" s="2">
        <v>268</v>
      </c>
      <c r="F3453" s="2">
        <v>5166.88</v>
      </c>
    </row>
    <row r="3454" spans="3:6" x14ac:dyDescent="0.25">
      <c r="C3454" s="2" t="s">
        <v>10577</v>
      </c>
      <c r="D3454" s="2" t="s">
        <v>59</v>
      </c>
      <c r="E3454" s="2">
        <v>163</v>
      </c>
      <c r="F3454" s="2">
        <v>2994.989</v>
      </c>
    </row>
    <row r="3455" spans="3:6" x14ac:dyDescent="0.25">
      <c r="C3455" s="2" t="s">
        <v>10578</v>
      </c>
      <c r="D3455" s="2" t="s">
        <v>59</v>
      </c>
      <c r="E3455" s="2">
        <v>268</v>
      </c>
      <c r="F3455" s="2">
        <v>4977.37</v>
      </c>
    </row>
    <row r="3456" spans="3:6" x14ac:dyDescent="0.25">
      <c r="C3456" s="2" t="s">
        <v>10579</v>
      </c>
      <c r="D3456" s="2" t="s">
        <v>59</v>
      </c>
      <c r="E3456" s="2">
        <v>163</v>
      </c>
      <c r="F3456" s="2">
        <v>3065.907</v>
      </c>
    </row>
    <row r="3458" spans="1:7" x14ac:dyDescent="0.25">
      <c r="A3458" s="1">
        <v>46173</v>
      </c>
      <c r="B3458" s="2" t="s">
        <v>1009</v>
      </c>
      <c r="C3458" s="2" t="s">
        <v>10580</v>
      </c>
      <c r="D3458" s="2" t="s">
        <v>82</v>
      </c>
      <c r="E3458" s="2">
        <v>80</v>
      </c>
      <c r="F3458" s="2">
        <v>2382.002</v>
      </c>
      <c r="G3458" s="1">
        <v>46173</v>
      </c>
    </row>
    <row r="3459" spans="3:6" x14ac:dyDescent="0.25">
      <c r="C3459" s="2" t="s">
        <v>10581</v>
      </c>
      <c r="D3459" s="2" t="s">
        <v>82</v>
      </c>
      <c r="E3459" s="2">
        <v>82</v>
      </c>
      <c r="F3459" s="2">
        <v>2479.676</v>
      </c>
    </row>
    <row r="3460" spans="3:6" x14ac:dyDescent="0.25">
      <c r="C3460" s="2" t="s">
        <v>10582</v>
      </c>
      <c r="D3460" s="2" t="s">
        <v>82</v>
      </c>
      <c r="E3460" s="2">
        <v>121</v>
      </c>
      <c r="F3460" s="2">
        <v>2438.06</v>
      </c>
    </row>
    <row r="3461" spans="3:6" x14ac:dyDescent="0.25">
      <c r="C3461" s="2" t="s">
        <v>10583</v>
      </c>
      <c r="D3461" s="2" t="s">
        <v>82</v>
      </c>
      <c r="E3461" s="2">
        <v>17</v>
      </c>
      <c r="F3461" s="2">
        <v>138.386</v>
      </c>
    </row>
    <row r="3462" spans="3:6" x14ac:dyDescent="0.25">
      <c r="C3462" s="2" t="s">
        <v>10584</v>
      </c>
      <c r="D3462" s="2" t="s">
        <v>82</v>
      </c>
      <c r="E3462" s="2">
        <v>41</v>
      </c>
      <c r="F3462" s="2">
        <v>818.19</v>
      </c>
    </row>
    <row r="3463" spans="3:6" x14ac:dyDescent="0.25">
      <c r="C3463" s="2" t="s">
        <v>10585</v>
      </c>
      <c r="D3463" s="2" t="s">
        <v>82</v>
      </c>
      <c r="E3463" s="2">
        <v>59</v>
      </c>
      <c r="F3463" s="2">
        <v>1195.509</v>
      </c>
    </row>
    <row r="3464" spans="3:6" x14ac:dyDescent="0.25">
      <c r="C3464" s="2" t="s">
        <v>10586</v>
      </c>
      <c r="D3464" s="2" t="s">
        <v>82</v>
      </c>
      <c r="E3464" s="2">
        <v>46</v>
      </c>
      <c r="F3464" s="2">
        <v>896.14</v>
      </c>
    </row>
    <row r="3465" spans="3:6" x14ac:dyDescent="0.25">
      <c r="C3465" s="2" t="s">
        <v>10587</v>
      </c>
      <c r="D3465" s="2" t="s">
        <v>82</v>
      </c>
      <c r="E3465" s="2">
        <v>96</v>
      </c>
      <c r="F3465" s="2">
        <v>1907.69</v>
      </c>
    </row>
    <row r="3466" spans="3:6" x14ac:dyDescent="0.25">
      <c r="C3466" s="2" t="s">
        <v>10588</v>
      </c>
      <c r="D3466" s="2" t="s">
        <v>82</v>
      </c>
      <c r="E3466" s="2">
        <v>141</v>
      </c>
      <c r="F3466" s="2">
        <v>2850.2</v>
      </c>
    </row>
    <row r="3467" spans="3:6" x14ac:dyDescent="0.25">
      <c r="C3467" s="2" t="s">
        <v>10589</v>
      </c>
      <c r="D3467" s="2" t="s">
        <v>82</v>
      </c>
      <c r="E3467" s="2">
        <v>101</v>
      </c>
      <c r="F3467" s="2">
        <v>2093.439</v>
      </c>
    </row>
    <row r="3468" spans="3:6" x14ac:dyDescent="0.25">
      <c r="C3468" s="2" t="s">
        <v>10590</v>
      </c>
      <c r="D3468" s="2" t="s">
        <v>82</v>
      </c>
      <c r="E3468" s="2">
        <v>101</v>
      </c>
      <c r="F3468" s="2">
        <v>1987.808</v>
      </c>
    </row>
    <row r="3469" spans="3:6" x14ac:dyDescent="0.25">
      <c r="C3469" s="2" t="s">
        <v>10591</v>
      </c>
      <c r="D3469" s="2" t="s">
        <v>82</v>
      </c>
      <c r="E3469" s="2">
        <v>101</v>
      </c>
      <c r="F3469" s="2">
        <v>2052.749</v>
      </c>
    </row>
    <row r="3470" spans="3:6" x14ac:dyDescent="0.25">
      <c r="C3470" s="2" t="s">
        <v>10592</v>
      </c>
      <c r="D3470" s="2" t="s">
        <v>82</v>
      </c>
      <c r="E3470" s="2">
        <v>48</v>
      </c>
      <c r="F3470" s="2">
        <v>977.5</v>
      </c>
    </row>
    <row r="3471" spans="3:6" x14ac:dyDescent="0.25">
      <c r="C3471" s="2" t="s">
        <v>10593</v>
      </c>
      <c r="D3471" s="2" t="s">
        <v>82</v>
      </c>
      <c r="E3471" s="2">
        <v>51</v>
      </c>
      <c r="F3471" s="2">
        <v>984.12</v>
      </c>
    </row>
    <row r="3472" spans="3:6" x14ac:dyDescent="0.25">
      <c r="C3472" s="2" t="s">
        <v>10594</v>
      </c>
      <c r="D3472" s="2" t="s">
        <v>82</v>
      </c>
      <c r="E3472" s="2">
        <v>42</v>
      </c>
      <c r="F3472" s="2">
        <v>785.92</v>
      </c>
    </row>
    <row r="3473" spans="3:6" x14ac:dyDescent="0.25">
      <c r="C3473" s="2" t="s">
        <v>10595</v>
      </c>
      <c r="D3473" s="2" t="s">
        <v>82</v>
      </c>
      <c r="E3473" s="2">
        <v>77</v>
      </c>
      <c r="F3473" s="2">
        <v>2411.231</v>
      </c>
    </row>
    <row r="3474" spans="3:6" x14ac:dyDescent="0.25">
      <c r="C3474" s="2" t="s">
        <v>10596</v>
      </c>
      <c r="D3474" s="2" t="s">
        <v>82</v>
      </c>
      <c r="E3474" s="2">
        <v>141</v>
      </c>
      <c r="F3474" s="2">
        <v>2854.18</v>
      </c>
    </row>
    <row r="3475" spans="3:6" x14ac:dyDescent="0.25">
      <c r="C3475" s="2" t="s">
        <v>10597</v>
      </c>
      <c r="D3475" s="2" t="s">
        <v>82</v>
      </c>
      <c r="E3475" s="2">
        <v>49</v>
      </c>
      <c r="F3475" s="2">
        <v>970.139</v>
      </c>
    </row>
    <row r="3476" spans="3:6" x14ac:dyDescent="0.25">
      <c r="C3476" s="2" t="s">
        <v>10598</v>
      </c>
      <c r="D3476" s="2" t="s">
        <v>82</v>
      </c>
      <c r="E3476" s="2">
        <v>52</v>
      </c>
      <c r="F3476" s="2">
        <v>1031.28</v>
      </c>
    </row>
    <row r="3477" spans="3:6" x14ac:dyDescent="0.25">
      <c r="C3477" s="2" t="s">
        <v>10599</v>
      </c>
      <c r="D3477" s="2" t="s">
        <v>82</v>
      </c>
      <c r="E3477" s="2">
        <v>40</v>
      </c>
      <c r="F3477" s="2">
        <v>833.63</v>
      </c>
    </row>
    <row r="3478" spans="3:6" x14ac:dyDescent="0.25">
      <c r="C3478" s="2" t="s">
        <v>10600</v>
      </c>
      <c r="D3478" s="2" t="s">
        <v>82</v>
      </c>
      <c r="E3478" s="2">
        <v>101</v>
      </c>
      <c r="F3478" s="2">
        <v>1959.289</v>
      </c>
    </row>
    <row r="3479" spans="3:6" x14ac:dyDescent="0.25">
      <c r="C3479" s="2" t="s">
        <v>10601</v>
      </c>
      <c r="D3479" s="2" t="s">
        <v>82</v>
      </c>
      <c r="E3479" s="2">
        <v>80</v>
      </c>
      <c r="F3479" s="2">
        <v>1579.96</v>
      </c>
    </row>
    <row r="3480" spans="3:6" x14ac:dyDescent="0.25">
      <c r="C3480" s="2" t="s">
        <v>10602</v>
      </c>
      <c r="D3480" s="2" t="s">
        <v>82</v>
      </c>
      <c r="E3480" s="2">
        <v>17</v>
      </c>
      <c r="F3480" s="2">
        <v>306.96</v>
      </c>
    </row>
    <row r="3481" spans="3:6" x14ac:dyDescent="0.25">
      <c r="C3481" s="2" t="s">
        <v>10603</v>
      </c>
      <c r="D3481" s="2" t="s">
        <v>82</v>
      </c>
      <c r="E3481" s="2">
        <v>31</v>
      </c>
      <c r="F3481" s="2">
        <v>637.59</v>
      </c>
    </row>
    <row r="3482" spans="3:6" x14ac:dyDescent="0.25">
      <c r="C3482" s="2" t="s">
        <v>10604</v>
      </c>
      <c r="D3482" s="2" t="s">
        <v>82</v>
      </c>
      <c r="E3482" s="2">
        <v>29</v>
      </c>
      <c r="F3482" s="2">
        <v>615.69</v>
      </c>
    </row>
    <row r="3483" spans="3:6" x14ac:dyDescent="0.25">
      <c r="C3483" s="2" t="s">
        <v>10605</v>
      </c>
      <c r="D3483" s="2" t="s">
        <v>82</v>
      </c>
      <c r="E3483" s="2">
        <v>27</v>
      </c>
      <c r="F3483" s="2">
        <v>533.21</v>
      </c>
    </row>
    <row r="3484" spans="3:6" x14ac:dyDescent="0.25">
      <c r="C3484" s="2" t="s">
        <v>10606</v>
      </c>
      <c r="D3484" s="2" t="s">
        <v>82</v>
      </c>
      <c r="E3484" s="2">
        <v>54</v>
      </c>
      <c r="F3484" s="2">
        <v>1054.65</v>
      </c>
    </row>
    <row r="3486" spans="1:7" x14ac:dyDescent="0.25">
      <c r="A3486" s="1">
        <v>46173</v>
      </c>
      <c r="B3486" s="2" t="s">
        <v>71</v>
      </c>
      <c r="C3486" s="2" t="s">
        <v>10607</v>
      </c>
      <c r="D3486" s="2" t="s">
        <v>73</v>
      </c>
      <c r="E3486" s="2">
        <v>61</v>
      </c>
      <c r="F3486" s="2">
        <v>1152.65</v>
      </c>
      <c r="G3486" s="1">
        <v>46172</v>
      </c>
    </row>
    <row r="3487" spans="3:6" x14ac:dyDescent="0.25">
      <c r="C3487" s="2" t="s">
        <v>10608</v>
      </c>
      <c r="D3487" s="2" t="s">
        <v>73</v>
      </c>
      <c r="E3487" s="2">
        <v>40</v>
      </c>
      <c r="F3487" s="2">
        <v>713.418</v>
      </c>
    </row>
    <row r="3488" spans="3:6" x14ac:dyDescent="0.25">
      <c r="C3488" s="2" t="s">
        <v>10609</v>
      </c>
      <c r="D3488" s="2" t="s">
        <v>73</v>
      </c>
      <c r="E3488" s="2">
        <v>106</v>
      </c>
      <c r="F3488" s="2">
        <v>2068.389</v>
      </c>
    </row>
    <row r="3489" spans="3:6" x14ac:dyDescent="0.25">
      <c r="C3489" s="2" t="s">
        <v>10610</v>
      </c>
      <c r="D3489" s="2" t="s">
        <v>73</v>
      </c>
      <c r="E3489" s="2">
        <v>28</v>
      </c>
      <c r="F3489" s="2">
        <v>493.41</v>
      </c>
    </row>
    <row r="3492" spans="1:7" x14ac:dyDescent="0.25">
      <c r="A3492" s="1">
        <v>46173</v>
      </c>
      <c r="B3492" s="2" t="s">
        <v>80</v>
      </c>
      <c r="C3492" s="2" t="s">
        <v>10611</v>
      </c>
      <c r="D3492" s="2" t="s">
        <v>82</v>
      </c>
      <c r="E3492" s="2">
        <v>71</v>
      </c>
      <c r="F3492" s="2">
        <v>2556.861</v>
      </c>
      <c r="G3492" s="1">
        <v>46172</v>
      </c>
    </row>
    <row r="3493" spans="3:6" x14ac:dyDescent="0.25">
      <c r="C3493" s="2" t="s">
        <v>10612</v>
      </c>
      <c r="D3493" s="2" t="s">
        <v>82</v>
      </c>
      <c r="E3493" s="2">
        <v>109</v>
      </c>
      <c r="F3493" s="2">
        <v>2450.762</v>
      </c>
    </row>
    <row r="3494" spans="3:6" x14ac:dyDescent="0.25">
      <c r="C3494" s="2" t="s">
        <v>10613</v>
      </c>
      <c r="D3494" s="2" t="s">
        <v>82</v>
      </c>
      <c r="E3494" s="2">
        <v>79</v>
      </c>
      <c r="F3494" s="2">
        <v>2174.72</v>
      </c>
    </row>
    <row r="3495" spans="3:6" x14ac:dyDescent="0.25">
      <c r="C3495" s="2" t="s">
        <v>10614</v>
      </c>
      <c r="D3495" s="2" t="s">
        <v>82</v>
      </c>
      <c r="E3495" s="2">
        <v>102</v>
      </c>
      <c r="F3495" s="2">
        <v>1857.14</v>
      </c>
    </row>
    <row r="3496" spans="3:6" x14ac:dyDescent="0.25">
      <c r="C3496" s="2" t="s">
        <v>10615</v>
      </c>
      <c r="D3496" s="2" t="s">
        <v>82</v>
      </c>
      <c r="E3496" s="2">
        <v>81</v>
      </c>
      <c r="F3496" s="2">
        <v>1537.059</v>
      </c>
    </row>
    <row r="3497" spans="3:6" x14ac:dyDescent="0.25">
      <c r="C3497" s="2" t="s">
        <v>10616</v>
      </c>
      <c r="D3497" s="2" t="s">
        <v>82</v>
      </c>
      <c r="E3497" s="2">
        <v>21</v>
      </c>
      <c r="F3497" s="2">
        <v>421.66</v>
      </c>
    </row>
    <row r="3498" spans="3:6" x14ac:dyDescent="0.25">
      <c r="C3498" s="2" t="s">
        <v>10364</v>
      </c>
      <c r="D3498" s="2" t="s">
        <v>82</v>
      </c>
      <c r="E3498" s="2">
        <v>75</v>
      </c>
      <c r="F3498" s="2">
        <v>1530</v>
      </c>
    </row>
    <row r="3499" spans="3:6" x14ac:dyDescent="0.25">
      <c r="C3499" s="2" t="s">
        <v>10617</v>
      </c>
      <c r="D3499" s="2" t="s">
        <v>82</v>
      </c>
      <c r="E3499" s="2">
        <v>75</v>
      </c>
      <c r="F3499" s="2">
        <v>1452.71</v>
      </c>
    </row>
    <row r="3500" spans="3:6" x14ac:dyDescent="0.25">
      <c r="C3500" s="2" t="s">
        <v>10618</v>
      </c>
      <c r="D3500" s="2" t="s">
        <v>82</v>
      </c>
      <c r="E3500" s="2">
        <v>67</v>
      </c>
      <c r="F3500" s="2">
        <v>1330.35</v>
      </c>
    </row>
    <row r="3501" spans="3:6" x14ac:dyDescent="0.25">
      <c r="C3501" s="2" t="s">
        <v>10619</v>
      </c>
      <c r="D3501" s="2" t="s">
        <v>82</v>
      </c>
      <c r="E3501" s="2">
        <v>38</v>
      </c>
      <c r="F3501" s="2">
        <v>753.65</v>
      </c>
    </row>
    <row r="3502" spans="3:6" x14ac:dyDescent="0.25">
      <c r="C3502" s="2" t="s">
        <v>10620</v>
      </c>
      <c r="D3502" s="2" t="s">
        <v>82</v>
      </c>
      <c r="E3502" s="2">
        <v>29</v>
      </c>
      <c r="F3502" s="2">
        <v>587.45</v>
      </c>
    </row>
    <row r="3503" spans="3:6" x14ac:dyDescent="0.25">
      <c r="C3503" s="2" t="s">
        <v>10621</v>
      </c>
      <c r="D3503" s="2" t="s">
        <v>82</v>
      </c>
      <c r="E3503" s="2">
        <v>71</v>
      </c>
      <c r="F3503" s="2">
        <v>1412.05</v>
      </c>
    </row>
    <row r="3504" spans="3:6" x14ac:dyDescent="0.25">
      <c r="C3504" s="2" t="s">
        <v>10622</v>
      </c>
      <c r="D3504" s="2" t="s">
        <v>82</v>
      </c>
      <c r="E3504" s="2">
        <v>31</v>
      </c>
      <c r="F3504" s="2">
        <v>629.3</v>
      </c>
    </row>
    <row r="3505" spans="3:6" x14ac:dyDescent="0.25">
      <c r="C3505" s="2" t="s">
        <v>10623</v>
      </c>
      <c r="D3505" s="2" t="s">
        <v>82</v>
      </c>
      <c r="E3505" s="2">
        <v>67</v>
      </c>
      <c r="F3505" s="2">
        <v>1284.63</v>
      </c>
    </row>
    <row r="3506" spans="3:6" x14ac:dyDescent="0.25">
      <c r="C3506" s="2" t="s">
        <v>10624</v>
      </c>
      <c r="D3506" s="2" t="s">
        <v>82</v>
      </c>
      <c r="E3506" s="2">
        <v>74</v>
      </c>
      <c r="F3506" s="2">
        <v>1480.628</v>
      </c>
    </row>
    <row r="3507" spans="3:6" x14ac:dyDescent="0.25">
      <c r="C3507" s="2" t="s">
        <v>10625</v>
      </c>
      <c r="D3507" s="2" t="s">
        <v>82</v>
      </c>
      <c r="E3507" s="2">
        <v>14</v>
      </c>
      <c r="F3507" s="2">
        <v>271.2</v>
      </c>
    </row>
    <row r="3508" spans="3:6" x14ac:dyDescent="0.25">
      <c r="C3508" s="2" t="s">
        <v>10626</v>
      </c>
      <c r="D3508" s="2" t="s">
        <v>82</v>
      </c>
      <c r="E3508" s="2">
        <v>74</v>
      </c>
      <c r="F3508" s="2">
        <v>1538.55</v>
      </c>
    </row>
    <row r="3509" spans="3:6" x14ac:dyDescent="0.25">
      <c r="C3509" s="2" t="s">
        <v>10627</v>
      </c>
      <c r="D3509" s="2" t="s">
        <v>82</v>
      </c>
      <c r="E3509" s="2">
        <v>15</v>
      </c>
      <c r="F3509" s="2">
        <v>309.71</v>
      </c>
    </row>
    <row r="3510" spans="3:6" x14ac:dyDescent="0.25">
      <c r="C3510" s="2" t="s">
        <v>10628</v>
      </c>
      <c r="D3510" s="2" t="s">
        <v>82</v>
      </c>
      <c r="E3510" s="2">
        <v>75</v>
      </c>
      <c r="F3510" s="2">
        <v>330.71</v>
      </c>
    </row>
    <row r="3511" spans="3:6" x14ac:dyDescent="0.25">
      <c r="C3511" s="2" t="s">
        <v>10629</v>
      </c>
      <c r="D3511" s="2" t="s">
        <v>82</v>
      </c>
      <c r="E3511" s="2">
        <v>50</v>
      </c>
      <c r="F3511" s="2">
        <v>211.19</v>
      </c>
    </row>
    <row r="3512" spans="3:6" x14ac:dyDescent="0.25">
      <c r="C3512" s="2" t="s">
        <v>10630</v>
      </c>
      <c r="D3512" s="2" t="s">
        <v>82</v>
      </c>
      <c r="E3512" s="2">
        <v>77</v>
      </c>
      <c r="F3512" s="2">
        <v>1517.579</v>
      </c>
    </row>
    <row r="3513" spans="3:6" x14ac:dyDescent="0.25">
      <c r="C3513" s="2" t="s">
        <v>10631</v>
      </c>
      <c r="D3513" s="2" t="s">
        <v>82</v>
      </c>
      <c r="E3513" s="2">
        <v>44</v>
      </c>
      <c r="F3513" s="2">
        <v>860.04</v>
      </c>
    </row>
    <row r="3514" spans="3:6" x14ac:dyDescent="0.25">
      <c r="C3514" s="2" t="s">
        <v>10632</v>
      </c>
      <c r="D3514" s="2" t="s">
        <v>82</v>
      </c>
      <c r="E3514" s="2">
        <v>58</v>
      </c>
      <c r="F3514" s="2">
        <v>1157.79</v>
      </c>
    </row>
    <row r="3515" spans="3:6" x14ac:dyDescent="0.25">
      <c r="C3515" s="2" t="s">
        <v>10633</v>
      </c>
      <c r="D3515" s="2" t="s">
        <v>82</v>
      </c>
      <c r="E3515" s="2">
        <v>46</v>
      </c>
      <c r="F3515" s="2">
        <v>955.9</v>
      </c>
    </row>
    <row r="3516" spans="3:6" x14ac:dyDescent="0.25">
      <c r="C3516" s="2" t="s">
        <v>10634</v>
      </c>
      <c r="D3516" s="2" t="s">
        <v>82</v>
      </c>
      <c r="E3516" s="2">
        <v>18</v>
      </c>
      <c r="F3516" s="2">
        <v>347.57</v>
      </c>
    </row>
    <row r="3517" spans="3:6" x14ac:dyDescent="0.25">
      <c r="C3517" s="2" t="s">
        <v>10635</v>
      </c>
      <c r="D3517" s="2" t="s">
        <v>82</v>
      </c>
      <c r="E3517" s="2">
        <v>36</v>
      </c>
      <c r="F3517" s="2">
        <v>781.92</v>
      </c>
    </row>
    <row r="3518" spans="3:6" x14ac:dyDescent="0.25">
      <c r="C3518" s="2" t="s">
        <v>10636</v>
      </c>
      <c r="D3518" s="2" t="s">
        <v>82</v>
      </c>
      <c r="E3518" s="2">
        <v>28</v>
      </c>
      <c r="F3518" s="2">
        <v>567.28</v>
      </c>
    </row>
    <row r="3519" spans="3:6" x14ac:dyDescent="0.25">
      <c r="C3519" s="2" t="s">
        <v>10637</v>
      </c>
      <c r="D3519" s="2" t="s">
        <v>82</v>
      </c>
      <c r="E3519" s="2">
        <v>15</v>
      </c>
      <c r="F3519" s="2">
        <v>296.39</v>
      </c>
    </row>
    <row r="3520" spans="3:6" x14ac:dyDescent="0.25">
      <c r="C3520" s="2" t="s">
        <v>10638</v>
      </c>
      <c r="D3520" s="2" t="s">
        <v>82</v>
      </c>
      <c r="E3520" s="2">
        <v>42</v>
      </c>
      <c r="F3520" s="2">
        <v>827.55</v>
      </c>
    </row>
    <row r="3521" spans="3:6" x14ac:dyDescent="0.25">
      <c r="C3521" s="2" t="s">
        <v>10639</v>
      </c>
      <c r="D3521" s="2" t="s">
        <v>82</v>
      </c>
      <c r="E3521" s="2">
        <v>71</v>
      </c>
      <c r="F3521" s="2">
        <v>1467.64</v>
      </c>
    </row>
    <row r="3522" spans="3:6" x14ac:dyDescent="0.25">
      <c r="C3522" s="2" t="s">
        <v>10640</v>
      </c>
      <c r="D3522" s="2" t="s">
        <v>82</v>
      </c>
      <c r="E3522" s="2">
        <v>50</v>
      </c>
      <c r="F3522" s="2">
        <v>1011.28</v>
      </c>
    </row>
    <row r="3523" spans="3:6" x14ac:dyDescent="0.25">
      <c r="C3523" s="2" t="s">
        <v>10641</v>
      </c>
      <c r="D3523" s="2" t="s">
        <v>82</v>
      </c>
      <c r="E3523" s="2">
        <v>141</v>
      </c>
      <c r="F3523" s="2">
        <v>2895.149</v>
      </c>
    </row>
    <row r="3524" spans="3:6" x14ac:dyDescent="0.25">
      <c r="C3524" s="2" t="s">
        <v>10642</v>
      </c>
      <c r="D3524" s="2" t="s">
        <v>82</v>
      </c>
      <c r="E3524" s="2">
        <v>141</v>
      </c>
      <c r="F3524" s="2">
        <v>2901.039</v>
      </c>
    </row>
    <row r="3525" spans="3:6" x14ac:dyDescent="0.25">
      <c r="C3525" s="2" t="s">
        <v>10643</v>
      </c>
      <c r="D3525" s="2" t="s">
        <v>82</v>
      </c>
      <c r="E3525" s="2">
        <v>40</v>
      </c>
      <c r="F3525" s="2">
        <v>810.48</v>
      </c>
    </row>
    <row r="3526" spans="3:6" x14ac:dyDescent="0.25">
      <c r="C3526" s="2" t="s">
        <v>10644</v>
      </c>
      <c r="D3526" s="2" t="s">
        <v>82</v>
      </c>
      <c r="E3526" s="2">
        <v>42</v>
      </c>
      <c r="F3526" s="2">
        <v>852.42</v>
      </c>
    </row>
    <row r="3527" spans="3:6" x14ac:dyDescent="0.25">
      <c r="C3527" s="2" t="s">
        <v>10645</v>
      </c>
      <c r="D3527" s="2" t="s">
        <v>82</v>
      </c>
      <c r="E3527" s="2">
        <v>35</v>
      </c>
      <c r="F3527" s="2">
        <v>689.55</v>
      </c>
    </row>
    <row r="3528" spans="3:6" x14ac:dyDescent="0.25">
      <c r="C3528" s="2" t="s">
        <v>10646</v>
      </c>
      <c r="D3528" s="2" t="s">
        <v>82</v>
      </c>
      <c r="E3528" s="2">
        <v>24</v>
      </c>
      <c r="F3528" s="2">
        <v>412.6</v>
      </c>
    </row>
    <row r="3529" spans="3:6" x14ac:dyDescent="0.25">
      <c r="C3529" s="2" t="s">
        <v>10647</v>
      </c>
      <c r="D3529" s="2" t="s">
        <v>82</v>
      </c>
      <c r="E3529" s="2">
        <v>67</v>
      </c>
      <c r="F3529" s="2">
        <v>1293.578</v>
      </c>
    </row>
    <row r="3530" spans="3:6" x14ac:dyDescent="0.25">
      <c r="C3530" s="2" t="s">
        <v>10648</v>
      </c>
      <c r="D3530" s="2" t="s">
        <v>82</v>
      </c>
      <c r="E3530" s="2">
        <v>56</v>
      </c>
      <c r="F3530" s="2">
        <v>1143.71</v>
      </c>
    </row>
    <row r="3531" spans="3:6" x14ac:dyDescent="0.25">
      <c r="C3531" s="2" t="s">
        <v>10649</v>
      </c>
      <c r="D3531" s="2" t="s">
        <v>82</v>
      </c>
      <c r="E3531" s="2">
        <v>18</v>
      </c>
      <c r="F3531" s="2">
        <v>353.14</v>
      </c>
    </row>
    <row r="3532" spans="3:6" x14ac:dyDescent="0.25">
      <c r="C3532" s="2" t="s">
        <v>10650</v>
      </c>
      <c r="D3532" s="2" t="s">
        <v>82</v>
      </c>
      <c r="E3532" s="2">
        <v>34</v>
      </c>
      <c r="F3532" s="2">
        <v>701.38</v>
      </c>
    </row>
    <row r="3533" spans="3:6" x14ac:dyDescent="0.25">
      <c r="C3533" s="2" t="s">
        <v>10651</v>
      </c>
      <c r="D3533" s="2" t="s">
        <v>82</v>
      </c>
      <c r="E3533" s="2">
        <v>55</v>
      </c>
      <c r="F3533" s="2">
        <v>1118.309</v>
      </c>
    </row>
    <row r="3534" spans="3:6" x14ac:dyDescent="0.25">
      <c r="C3534" s="2" t="s">
        <v>10652</v>
      </c>
      <c r="D3534" s="2" t="s">
        <v>82</v>
      </c>
      <c r="E3534" s="2">
        <v>41</v>
      </c>
      <c r="F3534" s="2">
        <v>826.3</v>
      </c>
    </row>
    <row r="3535" spans="3:6" x14ac:dyDescent="0.25">
      <c r="C3535" s="2" t="s">
        <v>10653</v>
      </c>
      <c r="D3535" s="2" t="s">
        <v>82</v>
      </c>
      <c r="E3535" s="2">
        <v>11</v>
      </c>
      <c r="F3535" s="2">
        <v>210.6</v>
      </c>
    </row>
    <row r="3536" spans="3:6" x14ac:dyDescent="0.25">
      <c r="C3536" s="2" t="s">
        <v>10654</v>
      </c>
      <c r="D3536" s="2" t="s">
        <v>82</v>
      </c>
      <c r="E3536" s="2">
        <v>20</v>
      </c>
      <c r="F3536" s="2">
        <v>427.01</v>
      </c>
    </row>
    <row r="3537" spans="3:6" x14ac:dyDescent="0.25">
      <c r="C3537" s="2" t="s">
        <v>10655</v>
      </c>
      <c r="D3537" s="2" t="s">
        <v>82</v>
      </c>
      <c r="E3537" s="2">
        <v>27</v>
      </c>
      <c r="F3537" s="2">
        <v>540.13</v>
      </c>
    </row>
    <row r="3538" spans="3:6" x14ac:dyDescent="0.25">
      <c r="C3538" s="2" t="s">
        <v>10656</v>
      </c>
      <c r="D3538" s="2" t="s">
        <v>82</v>
      </c>
      <c r="E3538" s="2">
        <v>39</v>
      </c>
      <c r="F3538" s="2">
        <v>772.4</v>
      </c>
    </row>
    <row r="3539" spans="3:6" x14ac:dyDescent="0.25">
      <c r="C3539" s="2" t="s">
        <v>10657</v>
      </c>
      <c r="D3539" s="2" t="s">
        <v>82</v>
      </c>
      <c r="E3539" s="2">
        <v>42</v>
      </c>
      <c r="F3539" s="2">
        <v>866.88</v>
      </c>
    </row>
    <row r="3540" spans="3:6" x14ac:dyDescent="0.25">
      <c r="C3540" s="2" t="s">
        <v>10658</v>
      </c>
      <c r="D3540" s="2" t="s">
        <v>82</v>
      </c>
      <c r="E3540" s="2">
        <v>13</v>
      </c>
      <c r="F3540" s="2">
        <v>252.6</v>
      </c>
    </row>
    <row r="3541" spans="3:6" x14ac:dyDescent="0.25">
      <c r="C3541" s="2" t="s">
        <v>10659</v>
      </c>
      <c r="D3541" s="2" t="s">
        <v>82</v>
      </c>
      <c r="E3541" s="2">
        <v>102</v>
      </c>
      <c r="F3541" s="2">
        <v>2072.1</v>
      </c>
    </row>
    <row r="3542" spans="3:6" x14ac:dyDescent="0.25">
      <c r="C3542" s="2" t="s">
        <v>10660</v>
      </c>
      <c r="D3542" s="2" t="s">
        <v>82</v>
      </c>
      <c r="E3542" s="2">
        <v>64</v>
      </c>
      <c r="F3542" s="2">
        <v>1337.22</v>
      </c>
    </row>
    <row r="3543" spans="3:6" x14ac:dyDescent="0.25">
      <c r="C3543" s="2" t="s">
        <v>10661</v>
      </c>
      <c r="D3543" s="2" t="s">
        <v>82</v>
      </c>
      <c r="E3543" s="2">
        <v>20</v>
      </c>
      <c r="F3543" s="2">
        <v>103.962</v>
      </c>
    </row>
    <row r="3544" spans="3:6" x14ac:dyDescent="0.25">
      <c r="C3544" s="2" t="s">
        <v>10662</v>
      </c>
      <c r="D3544" s="2" t="s">
        <v>82</v>
      </c>
      <c r="E3544" s="2">
        <v>17</v>
      </c>
      <c r="F3544" s="2">
        <v>351.34</v>
      </c>
    </row>
    <row r="3545" spans="3:6" x14ac:dyDescent="0.25">
      <c r="C3545" s="2" t="s">
        <v>10663</v>
      </c>
      <c r="D3545" s="2" t="s">
        <v>82</v>
      </c>
      <c r="E3545" s="2">
        <v>21</v>
      </c>
      <c r="F3545" s="2">
        <v>429.3</v>
      </c>
    </row>
    <row r="3546" spans="3:6" x14ac:dyDescent="0.25">
      <c r="C3546" s="2" t="s">
        <v>10664</v>
      </c>
      <c r="D3546" s="2" t="s">
        <v>82</v>
      </c>
      <c r="E3546" s="2">
        <v>15</v>
      </c>
      <c r="F3546" s="2">
        <v>292.4</v>
      </c>
    </row>
    <row r="3547" spans="3:6" x14ac:dyDescent="0.25">
      <c r="C3547" s="2" t="s">
        <v>10665</v>
      </c>
      <c r="D3547" s="2" t="s">
        <v>82</v>
      </c>
      <c r="E3547" s="2">
        <v>22</v>
      </c>
      <c r="F3547" s="2">
        <v>439.97</v>
      </c>
    </row>
    <row r="3548" spans="3:6" x14ac:dyDescent="0.25">
      <c r="C3548" s="2" t="s">
        <v>10666</v>
      </c>
      <c r="D3548" s="2" t="s">
        <v>82</v>
      </c>
      <c r="E3548" s="2">
        <v>25</v>
      </c>
      <c r="F3548" s="2">
        <v>516.2</v>
      </c>
    </row>
    <row r="3549" spans="3:6" x14ac:dyDescent="0.25">
      <c r="C3549" s="2" t="s">
        <v>10667</v>
      </c>
      <c r="D3549" s="2" t="s">
        <v>82</v>
      </c>
      <c r="E3549" s="2">
        <v>22</v>
      </c>
      <c r="F3549" s="2">
        <v>440.59</v>
      </c>
    </row>
    <row r="3550" spans="3:6" x14ac:dyDescent="0.25">
      <c r="C3550" s="2" t="s">
        <v>10668</v>
      </c>
      <c r="D3550" s="2" t="s">
        <v>82</v>
      </c>
      <c r="E3550" s="2">
        <v>25</v>
      </c>
      <c r="F3550" s="2">
        <v>494.11</v>
      </c>
    </row>
    <row r="3551" spans="3:6" x14ac:dyDescent="0.25">
      <c r="C3551" s="2" t="s">
        <v>10669</v>
      </c>
      <c r="D3551" s="2" t="s">
        <v>82</v>
      </c>
      <c r="E3551" s="2">
        <v>21</v>
      </c>
      <c r="F3551" s="2">
        <v>417.49</v>
      </c>
    </row>
    <row r="3552" spans="3:6" x14ac:dyDescent="0.25">
      <c r="C3552" s="2" t="s">
        <v>10670</v>
      </c>
      <c r="D3552" s="2" t="s">
        <v>82</v>
      </c>
      <c r="E3552" s="2">
        <v>26</v>
      </c>
      <c r="F3552" s="2">
        <v>580.08</v>
      </c>
    </row>
    <row r="3554" spans="1:7" x14ac:dyDescent="0.25">
      <c r="A3554" s="1">
        <v>46173</v>
      </c>
      <c r="B3554" s="2" t="s">
        <v>7683</v>
      </c>
      <c r="C3554" s="2" t="s">
        <v>10671</v>
      </c>
      <c r="D3554" s="2" t="s">
        <v>9</v>
      </c>
      <c r="E3554" s="2">
        <v>91</v>
      </c>
      <c r="F3554" s="2">
        <v>1807.75</v>
      </c>
      <c r="G3554" s="1">
        <v>46174</v>
      </c>
    </row>
    <row r="3555" spans="3:6" x14ac:dyDescent="0.25">
      <c r="C3555" s="2" t="s">
        <v>10672</v>
      </c>
      <c r="D3555" s="2" t="s">
        <v>9</v>
      </c>
      <c r="E3555" s="2">
        <v>140</v>
      </c>
      <c r="F3555" s="2">
        <v>2868.21</v>
      </c>
    </row>
    <row r="3556" spans="3:6" x14ac:dyDescent="0.25">
      <c r="C3556" s="2" t="s">
        <v>10673</v>
      </c>
      <c r="D3556" s="2" t="s">
        <v>9</v>
      </c>
      <c r="E3556" s="2">
        <v>138</v>
      </c>
      <c r="F3556" s="2">
        <v>2859.69</v>
      </c>
    </row>
    <row r="3558" spans="1:7" x14ac:dyDescent="0.25">
      <c r="A3558" s="1">
        <v>46173</v>
      </c>
      <c r="B3558" s="2" t="s">
        <v>347</v>
      </c>
      <c r="C3558" s="2" t="s">
        <v>10674</v>
      </c>
      <c r="D3558" s="2" t="s">
        <v>59</v>
      </c>
      <c r="E3558" s="2">
        <v>102</v>
      </c>
      <c r="F3558" s="2">
        <v>2051.33</v>
      </c>
      <c r="G3558" s="1">
        <v>46173</v>
      </c>
    </row>
    <row r="3559" spans="3:6" x14ac:dyDescent="0.25">
      <c r="C3559" s="2" t="s">
        <v>10675</v>
      </c>
      <c r="D3559" s="2" t="s">
        <v>59</v>
      </c>
      <c r="E3559" s="2">
        <v>313</v>
      </c>
      <c r="F3559" s="2">
        <v>5863.052</v>
      </c>
    </row>
    <row r="3560" spans="3:6" x14ac:dyDescent="0.25">
      <c r="C3560" s="2" t="s">
        <v>10676</v>
      </c>
      <c r="D3560" s="2" t="s">
        <v>59</v>
      </c>
      <c r="E3560" s="2">
        <v>247</v>
      </c>
      <c r="F3560" s="2">
        <v>5016.544</v>
      </c>
    </row>
    <row r="3561" spans="3:6" x14ac:dyDescent="0.25">
      <c r="C3561" s="2" t="s">
        <v>10677</v>
      </c>
      <c r="D3561" s="2" t="s">
        <v>59</v>
      </c>
      <c r="E3561" s="2">
        <v>149</v>
      </c>
      <c r="F3561" s="2">
        <v>2841.56</v>
      </c>
    </row>
    <row r="3562" spans="3:6" x14ac:dyDescent="0.25">
      <c r="C3562" s="2" t="s">
        <v>10678</v>
      </c>
      <c r="D3562" s="2" t="s">
        <v>59</v>
      </c>
      <c r="E3562" s="2">
        <v>102</v>
      </c>
      <c r="F3562" s="2">
        <v>1971.34</v>
      </c>
    </row>
    <row r="3563" spans="3:6" x14ac:dyDescent="0.25">
      <c r="C3563" s="2" t="s">
        <v>10679</v>
      </c>
      <c r="D3563" s="2" t="s">
        <v>59</v>
      </c>
      <c r="E3563" s="2">
        <v>102</v>
      </c>
      <c r="F3563" s="2">
        <v>1908.139</v>
      </c>
    </row>
    <row r="3564" spans="3:6" x14ac:dyDescent="0.25">
      <c r="C3564" s="2" t="s">
        <v>10680</v>
      </c>
      <c r="D3564" s="2" t="s">
        <v>59</v>
      </c>
      <c r="E3564" s="2">
        <v>102</v>
      </c>
      <c r="F3564" s="2">
        <v>2029.611</v>
      </c>
    </row>
    <row r="3565" spans="3:6" x14ac:dyDescent="0.25">
      <c r="C3565" s="2" t="s">
        <v>10681</v>
      </c>
      <c r="D3565" s="2" t="s">
        <v>59</v>
      </c>
      <c r="E3565" s="2">
        <v>298</v>
      </c>
      <c r="F3565" s="2">
        <v>5714.378</v>
      </c>
    </row>
    <row r="3568" spans="1:7" x14ac:dyDescent="0.25">
      <c r="A3568" s="5"/>
      <c r="B3568" s="6"/>
      <c r="C3568" s="6"/>
      <c r="D3568" s="6"/>
      <c r="E3568" s="6"/>
      <c r="F3568" s="6"/>
      <c r="G3568" s="5"/>
    </row>
    <row r="3569" ht="16.5" customHeight="1" spans="2:8" x14ac:dyDescent="0.25">
      <c r="B3569" s="7" t="s">
        <v>669</v>
      </c>
      <c r="C3569" s="8">
        <f>COUNTA(C3:C3568)</f>
        <v>3348</v>
      </c>
      <c r="E3569" s="7" t="s">
        <v>670</v>
      </c>
      <c r="F3569" s="9">
        <f>SUM(F3:F3568)</f>
        <v>5796874.6609999845</v>
      </c>
      <c r="G3569" s="1" t="s">
        <v>671</v>
      </c>
      <c r="H3569" s="10">
        <f>F3569*0.04</f>
        <v>231874.9864399994</v>
      </c>
    </row>
    <row r="3570" ht="13.5" customHeight="1" x14ac:dyDescent="0.25"/>
    <row r="3571" spans="6:8" x14ac:dyDescent="0.25">
      <c r="F3571" s="2">
        <v>6529587</v>
      </c>
      <c r="G3571" s="1" t="s">
        <v>10682</v>
      </c>
      <c r="H3571" s="2">
        <f>F3571*0.04</f>
        <v>261183.48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961"/>
  <sheetViews>
    <sheetView workbookViewId="0" zoomScale="100" zoomScaleNormal="100">
      <pane ySplit="3" topLeftCell="A3935" activePane="bottomLeft" state="frozen"/>
      <selection pane="bottomLeft" activeCell="M3951" sqref="M3951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6" spans="1:7" x14ac:dyDescent="0.25">
      <c r="A6" s="1">
        <v>46174</v>
      </c>
      <c r="B6" s="2" t="s">
        <v>1032</v>
      </c>
      <c r="C6" s="2" t="s">
        <v>3670</v>
      </c>
      <c r="D6" s="2" t="s">
        <v>73</v>
      </c>
      <c r="E6" s="2">
        <v>84</v>
      </c>
      <c r="F6" s="2">
        <v>1720.64</v>
      </c>
      <c r="G6" s="1">
        <v>46174</v>
      </c>
    </row>
    <row r="7" spans="3:6" x14ac:dyDescent="0.25">
      <c r="C7" s="2" t="s">
        <v>3671</v>
      </c>
      <c r="D7" s="2" t="s">
        <v>73</v>
      </c>
      <c r="E7" s="2">
        <v>39</v>
      </c>
      <c r="F7" s="2">
        <v>607.919</v>
      </c>
    </row>
    <row r="8" spans="3:6" x14ac:dyDescent="0.25">
      <c r="C8" s="2" t="s">
        <v>3672</v>
      </c>
      <c r="D8" s="2" t="s">
        <v>73</v>
      </c>
      <c r="E8" s="2">
        <v>44</v>
      </c>
      <c r="F8" s="2">
        <v>758.64</v>
      </c>
    </row>
    <row r="9" spans="3:6" x14ac:dyDescent="0.25">
      <c r="C9" s="2" t="s">
        <v>3673</v>
      </c>
      <c r="D9" s="2" t="s">
        <v>73</v>
      </c>
      <c r="E9" s="2">
        <v>18</v>
      </c>
      <c r="F9" s="2">
        <v>332.22</v>
      </c>
    </row>
    <row r="10" spans="3:6" x14ac:dyDescent="0.25">
      <c r="C10" s="2" t="s">
        <v>3674</v>
      </c>
      <c r="D10" s="2" t="s">
        <v>73</v>
      </c>
      <c r="E10" s="2">
        <v>26</v>
      </c>
      <c r="F10" s="2">
        <v>468.75</v>
      </c>
    </row>
    <row r="11" spans="3:6" x14ac:dyDescent="0.25">
      <c r="C11" s="2" t="s">
        <v>3675</v>
      </c>
      <c r="D11" s="2" t="s">
        <v>73</v>
      </c>
      <c r="E11" s="2">
        <v>15</v>
      </c>
      <c r="F11" s="2">
        <v>257.49</v>
      </c>
    </row>
    <row r="12" spans="3:6" x14ac:dyDescent="0.25">
      <c r="C12" s="2" t="s">
        <v>3676</v>
      </c>
      <c r="D12" s="2" t="s">
        <v>73</v>
      </c>
      <c r="E12" s="2">
        <v>58</v>
      </c>
      <c r="F12" s="2">
        <v>1103.15</v>
      </c>
    </row>
    <row r="14" spans="1:7" x14ac:dyDescent="0.25">
      <c r="A14" s="1">
        <v>46174</v>
      </c>
      <c r="B14" s="2" t="s">
        <v>1012</v>
      </c>
      <c r="C14" s="2" t="s">
        <v>3677</v>
      </c>
      <c r="D14" s="2" t="s">
        <v>82</v>
      </c>
      <c r="E14" s="2">
        <v>28</v>
      </c>
      <c r="F14" s="2">
        <v>556.3</v>
      </c>
      <c r="G14" s="1">
        <v>46174</v>
      </c>
    </row>
    <row r="15" spans="3:6" x14ac:dyDescent="0.25">
      <c r="C15" s="2" t="s">
        <v>3678</v>
      </c>
      <c r="D15" s="2" t="s">
        <v>82</v>
      </c>
      <c r="E15" s="2">
        <v>32</v>
      </c>
      <c r="F15" s="2">
        <v>639.519</v>
      </c>
    </row>
    <row r="16" spans="3:6" x14ac:dyDescent="0.25">
      <c r="C16" s="2" t="s">
        <v>3679</v>
      </c>
      <c r="D16" s="2" t="s">
        <v>82</v>
      </c>
      <c r="E16" s="2">
        <v>41</v>
      </c>
      <c r="F16" s="2">
        <v>855.32</v>
      </c>
    </row>
    <row r="17" spans="3:6" x14ac:dyDescent="0.25">
      <c r="C17" s="2" t="s">
        <v>3680</v>
      </c>
      <c r="D17" s="2" t="s">
        <v>82</v>
      </c>
      <c r="E17" s="2">
        <v>121</v>
      </c>
      <c r="F17" s="2">
        <v>2510.04</v>
      </c>
    </row>
    <row r="18" spans="3:6" x14ac:dyDescent="0.25">
      <c r="C18" s="2" t="s">
        <v>3681</v>
      </c>
      <c r="D18" s="2" t="s">
        <v>82</v>
      </c>
      <c r="E18" s="2">
        <v>141</v>
      </c>
      <c r="F18" s="2">
        <v>2916.64</v>
      </c>
    </row>
    <row r="19" spans="3:6" x14ac:dyDescent="0.25">
      <c r="C19" s="2" t="s">
        <v>3682</v>
      </c>
      <c r="D19" s="2" t="s">
        <v>82</v>
      </c>
      <c r="E19" s="2">
        <v>49</v>
      </c>
      <c r="F19" s="2">
        <v>933.35</v>
      </c>
    </row>
    <row r="20" spans="3:6" x14ac:dyDescent="0.25">
      <c r="C20" s="2" t="s">
        <v>3683</v>
      </c>
      <c r="D20" s="2" t="s">
        <v>82</v>
      </c>
      <c r="E20" s="2">
        <v>52</v>
      </c>
      <c r="F20" s="2">
        <v>1095.71</v>
      </c>
    </row>
    <row r="21" spans="3:6" x14ac:dyDescent="0.25">
      <c r="C21" s="2" t="s">
        <v>3684</v>
      </c>
      <c r="D21" s="2" t="s">
        <v>82</v>
      </c>
      <c r="E21" s="2">
        <v>78</v>
      </c>
      <c r="F21" s="2">
        <v>1589.83</v>
      </c>
    </row>
    <row r="22" spans="3:6" x14ac:dyDescent="0.25">
      <c r="C22" s="2" t="s">
        <v>3685</v>
      </c>
      <c r="D22" s="2" t="s">
        <v>82</v>
      </c>
      <c r="E22" s="2">
        <v>63</v>
      </c>
      <c r="F22" s="2">
        <v>1263.609</v>
      </c>
    </row>
    <row r="23" spans="3:6" x14ac:dyDescent="0.25">
      <c r="C23" s="2" t="s">
        <v>3686</v>
      </c>
      <c r="D23" s="2" t="s">
        <v>82</v>
      </c>
      <c r="E23" s="2">
        <v>86</v>
      </c>
      <c r="F23" s="2">
        <v>1748.93</v>
      </c>
    </row>
    <row r="24" spans="3:6" x14ac:dyDescent="0.25">
      <c r="C24" s="2" t="s">
        <v>3687</v>
      </c>
      <c r="D24" s="2" t="s">
        <v>82</v>
      </c>
      <c r="E24" s="2">
        <v>36</v>
      </c>
      <c r="F24" s="2">
        <v>729.76</v>
      </c>
    </row>
    <row r="25" spans="3:6" x14ac:dyDescent="0.25">
      <c r="C25" s="2" t="s">
        <v>3688</v>
      </c>
      <c r="D25" s="2" t="s">
        <v>82</v>
      </c>
      <c r="E25" s="2">
        <v>19</v>
      </c>
      <c r="F25" s="2">
        <v>390.62</v>
      </c>
    </row>
    <row r="26" spans="3:6" x14ac:dyDescent="0.25">
      <c r="C26" s="2" t="s">
        <v>3689</v>
      </c>
      <c r="D26" s="2" t="s">
        <v>82</v>
      </c>
      <c r="E26" s="2">
        <v>72</v>
      </c>
      <c r="F26" s="2">
        <v>1476.999</v>
      </c>
    </row>
    <row r="27" spans="3:6" x14ac:dyDescent="0.25">
      <c r="C27" s="2" t="s">
        <v>3690</v>
      </c>
      <c r="D27" s="2" t="s">
        <v>82</v>
      </c>
      <c r="E27" s="2">
        <v>32</v>
      </c>
      <c r="F27" s="2">
        <v>629.66</v>
      </c>
    </row>
    <row r="28" spans="3:6" x14ac:dyDescent="0.25">
      <c r="C28" s="2" t="s">
        <v>3691</v>
      </c>
      <c r="D28" s="2" t="s">
        <v>82</v>
      </c>
      <c r="E28" s="2">
        <v>17</v>
      </c>
      <c r="F28" s="2">
        <v>353.13</v>
      </c>
    </row>
    <row r="29" spans="3:6" x14ac:dyDescent="0.25">
      <c r="C29" s="2" t="s">
        <v>3692</v>
      </c>
      <c r="D29" s="2" t="s">
        <v>82</v>
      </c>
      <c r="E29" s="2">
        <v>34</v>
      </c>
      <c r="F29" s="2">
        <v>677.92</v>
      </c>
    </row>
    <row r="30" spans="3:6" x14ac:dyDescent="0.25">
      <c r="C30" s="2" t="s">
        <v>3693</v>
      </c>
      <c r="D30" s="2" t="s">
        <v>82</v>
      </c>
      <c r="E30" s="2">
        <v>34</v>
      </c>
      <c r="F30" s="2">
        <v>677.49</v>
      </c>
    </row>
    <row r="31" spans="3:6" x14ac:dyDescent="0.25">
      <c r="C31" s="2" t="s">
        <v>3694</v>
      </c>
      <c r="D31" s="2" t="s">
        <v>82</v>
      </c>
      <c r="E31" s="2">
        <v>29</v>
      </c>
      <c r="F31" s="2">
        <v>582.46</v>
      </c>
    </row>
    <row r="32" spans="3:6" x14ac:dyDescent="0.25">
      <c r="C32" s="2" t="s">
        <v>3695</v>
      </c>
      <c r="D32" s="2" t="s">
        <v>82</v>
      </c>
      <c r="E32" s="2">
        <v>44</v>
      </c>
      <c r="F32" s="2">
        <v>888.86</v>
      </c>
    </row>
    <row r="33" spans="3:6" x14ac:dyDescent="0.25">
      <c r="C33" s="2" t="s">
        <v>3696</v>
      </c>
      <c r="D33" s="2" t="s">
        <v>82</v>
      </c>
      <c r="E33" s="2">
        <v>141</v>
      </c>
      <c r="F33" s="2">
        <v>2940.49</v>
      </c>
    </row>
    <row r="34" spans="3:6" x14ac:dyDescent="0.25">
      <c r="C34" s="2" t="s">
        <v>3697</v>
      </c>
      <c r="D34" s="2" t="s">
        <v>82</v>
      </c>
      <c r="E34" s="2">
        <v>100</v>
      </c>
      <c r="F34" s="2">
        <v>2049.88</v>
      </c>
    </row>
    <row r="35" spans="3:6" x14ac:dyDescent="0.25">
      <c r="C35" s="2" t="s">
        <v>3698</v>
      </c>
      <c r="D35" s="2" t="s">
        <v>82</v>
      </c>
      <c r="E35" s="2">
        <v>41</v>
      </c>
      <c r="F35" s="2">
        <v>846.44</v>
      </c>
    </row>
    <row r="36" spans="3:6" x14ac:dyDescent="0.25">
      <c r="C36" s="2" t="s">
        <v>3699</v>
      </c>
      <c r="D36" s="2" t="s">
        <v>82</v>
      </c>
      <c r="E36" s="2">
        <v>25</v>
      </c>
      <c r="F36" s="2">
        <v>516.17</v>
      </c>
    </row>
    <row r="37" spans="3:6" x14ac:dyDescent="0.25">
      <c r="C37" s="2" t="s">
        <v>3700</v>
      </c>
      <c r="D37" s="2" t="s">
        <v>82</v>
      </c>
      <c r="E37" s="2">
        <v>80</v>
      </c>
      <c r="F37" s="2">
        <v>1450</v>
      </c>
    </row>
    <row r="38" spans="3:6" x14ac:dyDescent="0.25">
      <c r="C38" s="2" t="s">
        <v>3701</v>
      </c>
      <c r="D38" s="2" t="s">
        <v>82</v>
      </c>
      <c r="E38" s="2">
        <v>36</v>
      </c>
      <c r="F38" s="2">
        <v>727.27</v>
      </c>
    </row>
    <row r="39" spans="3:6" x14ac:dyDescent="0.25">
      <c r="C39" s="2" t="s">
        <v>3702</v>
      </c>
      <c r="D39" s="2" t="s">
        <v>82</v>
      </c>
      <c r="E39" s="2">
        <v>101</v>
      </c>
      <c r="F39" s="2">
        <v>2085.92</v>
      </c>
    </row>
    <row r="40" spans="3:6" x14ac:dyDescent="0.25">
      <c r="C40" s="2" t="s">
        <v>3703</v>
      </c>
      <c r="D40" s="2" t="s">
        <v>82</v>
      </c>
      <c r="E40" s="2">
        <v>39</v>
      </c>
      <c r="F40" s="2">
        <v>781.99</v>
      </c>
    </row>
    <row r="41" spans="3:6" x14ac:dyDescent="0.25">
      <c r="C41" s="2" t="s">
        <v>3704</v>
      </c>
      <c r="D41" s="2" t="s">
        <v>82</v>
      </c>
      <c r="E41" s="2">
        <v>33</v>
      </c>
      <c r="F41" s="2">
        <v>673.91</v>
      </c>
    </row>
    <row r="42" spans="3:6" x14ac:dyDescent="0.25">
      <c r="C42" s="2" t="s">
        <v>3705</v>
      </c>
      <c r="D42" s="2" t="s">
        <v>82</v>
      </c>
      <c r="E42" s="2">
        <v>29</v>
      </c>
      <c r="F42" s="2">
        <v>569.64</v>
      </c>
    </row>
    <row r="44" spans="1:7" x14ac:dyDescent="0.25">
      <c r="A44" s="1">
        <v>46174</v>
      </c>
      <c r="B44" s="2" t="s">
        <v>176</v>
      </c>
      <c r="C44" s="2" t="s">
        <v>3706</v>
      </c>
      <c r="D44" s="2" t="s">
        <v>178</v>
      </c>
      <c r="E44" s="2">
        <v>123</v>
      </c>
      <c r="F44" s="2">
        <v>2594.399</v>
      </c>
      <c r="G44" s="1">
        <v>46174</v>
      </c>
    </row>
    <row r="45" spans="3:6" x14ac:dyDescent="0.25">
      <c r="C45" s="2" t="s">
        <v>3707</v>
      </c>
      <c r="D45" s="2" t="s">
        <v>178</v>
      </c>
      <c r="E45" s="2">
        <v>102</v>
      </c>
      <c r="F45" s="2">
        <v>1986.049</v>
      </c>
    </row>
    <row r="46" spans="3:6" x14ac:dyDescent="0.25">
      <c r="C46" s="2" t="s">
        <v>3708</v>
      </c>
      <c r="D46" s="2" t="s">
        <v>178</v>
      </c>
      <c r="E46" s="2">
        <v>102</v>
      </c>
      <c r="F46" s="2">
        <v>1953.92</v>
      </c>
    </row>
    <row r="47" spans="3:6" x14ac:dyDescent="0.25">
      <c r="C47" s="2" t="s">
        <v>3709</v>
      </c>
      <c r="D47" s="2" t="s">
        <v>178</v>
      </c>
      <c r="E47" s="2">
        <v>103</v>
      </c>
      <c r="F47" s="2">
        <v>2106.109</v>
      </c>
    </row>
    <row r="48" spans="3:6" x14ac:dyDescent="0.25">
      <c r="C48" s="2" t="s">
        <v>3710</v>
      </c>
      <c r="D48" s="2" t="s">
        <v>178</v>
      </c>
      <c r="E48" s="2">
        <v>102</v>
      </c>
      <c r="F48" s="2">
        <v>1892.199</v>
      </c>
    </row>
    <row r="49" spans="3:6" x14ac:dyDescent="0.25">
      <c r="C49" s="2" t="s">
        <v>3711</v>
      </c>
      <c r="D49" s="2" t="s">
        <v>178</v>
      </c>
      <c r="E49" s="2">
        <v>141</v>
      </c>
      <c r="F49" s="2">
        <v>2969.73</v>
      </c>
    </row>
    <row r="50" spans="3:6" x14ac:dyDescent="0.25">
      <c r="C50" s="2" t="s">
        <v>3712</v>
      </c>
      <c r="D50" s="2" t="s">
        <v>178</v>
      </c>
      <c r="E50" s="2">
        <v>141</v>
      </c>
      <c r="F50" s="2">
        <v>3011.33</v>
      </c>
    </row>
    <row r="51" spans="3:6" x14ac:dyDescent="0.25">
      <c r="C51" s="2" t="s">
        <v>3713</v>
      </c>
      <c r="D51" s="2" t="s">
        <v>178</v>
      </c>
      <c r="E51" s="2">
        <v>141</v>
      </c>
      <c r="F51" s="2">
        <v>3000.35</v>
      </c>
    </row>
    <row r="52" spans="3:6" x14ac:dyDescent="0.25">
      <c r="C52" s="2" t="s">
        <v>3714</v>
      </c>
      <c r="D52" s="2" t="s">
        <v>178</v>
      </c>
      <c r="E52" s="2">
        <v>102</v>
      </c>
      <c r="F52" s="2">
        <v>2090.32</v>
      </c>
    </row>
    <row r="53" spans="3:6" x14ac:dyDescent="0.25">
      <c r="C53" s="2" t="s">
        <v>3715</v>
      </c>
      <c r="D53" s="2" t="s">
        <v>178</v>
      </c>
      <c r="E53" s="2">
        <v>123</v>
      </c>
      <c r="F53" s="2">
        <v>2347.06</v>
      </c>
    </row>
    <row r="54" spans="3:6" x14ac:dyDescent="0.25">
      <c r="C54" s="2" t="s">
        <v>3716</v>
      </c>
      <c r="D54" s="2" t="s">
        <v>178</v>
      </c>
      <c r="E54" s="2">
        <v>134</v>
      </c>
      <c r="F54" s="2">
        <v>2555.869</v>
      </c>
    </row>
    <row r="55" spans="3:6" x14ac:dyDescent="0.25">
      <c r="C55" s="2" t="s">
        <v>3717</v>
      </c>
      <c r="D55" s="2" t="s">
        <v>178</v>
      </c>
      <c r="E55" s="2">
        <v>243</v>
      </c>
      <c r="F55" s="2">
        <v>4893.1</v>
      </c>
    </row>
    <row r="56" spans="3:6" x14ac:dyDescent="0.25">
      <c r="C56" s="2" t="s">
        <v>3718</v>
      </c>
      <c r="D56" s="2" t="s">
        <v>178</v>
      </c>
      <c r="E56" s="2">
        <v>75</v>
      </c>
      <c r="F56" s="2">
        <v>321.13</v>
      </c>
    </row>
    <row r="57" spans="3:6" x14ac:dyDescent="0.25">
      <c r="C57" s="2" t="s">
        <v>3719</v>
      </c>
      <c r="D57" s="2" t="s">
        <v>178</v>
      </c>
      <c r="E57" s="2">
        <v>123</v>
      </c>
      <c r="F57" s="2">
        <v>2426.95</v>
      </c>
    </row>
    <row r="58" spans="3:6" x14ac:dyDescent="0.25">
      <c r="C58" s="2" t="s">
        <v>3720</v>
      </c>
      <c r="D58" s="2" t="s">
        <v>178</v>
      </c>
      <c r="E58" s="2">
        <v>123</v>
      </c>
      <c r="F58" s="2">
        <v>2365.2</v>
      </c>
    </row>
    <row r="59" spans="3:6" x14ac:dyDescent="0.25">
      <c r="C59" s="2" t="s">
        <v>3721</v>
      </c>
      <c r="D59" s="2" t="s">
        <v>178</v>
      </c>
      <c r="E59" s="2">
        <v>141</v>
      </c>
      <c r="F59" s="2">
        <v>2708.529</v>
      </c>
    </row>
    <row r="60" spans="3:6" x14ac:dyDescent="0.25">
      <c r="C60" s="2" t="s">
        <v>3722</v>
      </c>
      <c r="D60" s="2" t="s">
        <v>178</v>
      </c>
      <c r="E60" s="2">
        <v>141</v>
      </c>
      <c r="F60" s="2">
        <v>2701.7</v>
      </c>
    </row>
    <row r="61" spans="3:6" x14ac:dyDescent="0.25">
      <c r="C61" s="2" t="s">
        <v>3723</v>
      </c>
      <c r="D61" s="2" t="s">
        <v>178</v>
      </c>
      <c r="E61" s="2">
        <v>141</v>
      </c>
      <c r="F61" s="2">
        <v>2874.95</v>
      </c>
    </row>
    <row r="62" spans="3:6" x14ac:dyDescent="0.25">
      <c r="C62" s="2" t="s">
        <v>3724</v>
      </c>
      <c r="D62" s="2" t="s">
        <v>178</v>
      </c>
      <c r="E62" s="2">
        <v>141</v>
      </c>
      <c r="F62" s="2">
        <v>3017.89</v>
      </c>
    </row>
    <row r="63" spans="3:6" x14ac:dyDescent="0.25">
      <c r="C63" s="2" t="s">
        <v>3725</v>
      </c>
      <c r="D63" s="2" t="s">
        <v>178</v>
      </c>
      <c r="E63" s="2">
        <v>141</v>
      </c>
      <c r="F63" s="2">
        <v>2964.58</v>
      </c>
    </row>
    <row r="64" spans="3:6" x14ac:dyDescent="0.25">
      <c r="C64" s="2" t="s">
        <v>3726</v>
      </c>
      <c r="D64" s="2" t="s">
        <v>178</v>
      </c>
      <c r="E64" s="2">
        <v>141</v>
      </c>
      <c r="F64" s="2">
        <v>2966.05</v>
      </c>
    </row>
    <row r="65" spans="3:6" x14ac:dyDescent="0.25">
      <c r="C65" s="2" t="s">
        <v>3727</v>
      </c>
      <c r="D65" s="2" t="s">
        <v>178</v>
      </c>
      <c r="E65" s="2">
        <v>16</v>
      </c>
      <c r="F65" s="2">
        <v>204.94</v>
      </c>
    </row>
    <row r="66" spans="3:6" x14ac:dyDescent="0.25">
      <c r="C66" s="2" t="s">
        <v>3728</v>
      </c>
      <c r="D66" s="2" t="s">
        <v>178</v>
      </c>
      <c r="E66" s="2">
        <v>12</v>
      </c>
      <c r="F66" s="2">
        <v>263.69</v>
      </c>
    </row>
    <row r="67" spans="3:6" x14ac:dyDescent="0.25">
      <c r="C67" s="2" t="s">
        <v>3729</v>
      </c>
      <c r="D67" s="2" t="s">
        <v>178</v>
      </c>
      <c r="E67" s="2">
        <v>30</v>
      </c>
      <c r="F67" s="2">
        <v>550.19</v>
      </c>
    </row>
    <row r="68" spans="3:6" x14ac:dyDescent="0.25">
      <c r="C68" s="2" t="s">
        <v>3730</v>
      </c>
      <c r="D68" s="2" t="s">
        <v>178</v>
      </c>
      <c r="E68" s="2">
        <v>19</v>
      </c>
      <c r="F68" s="2">
        <v>415.29</v>
      </c>
    </row>
    <row r="69" spans="3:6" x14ac:dyDescent="0.25">
      <c r="C69" s="2" t="s">
        <v>3731</v>
      </c>
      <c r="D69" s="2" t="s">
        <v>178</v>
      </c>
      <c r="E69" s="2">
        <v>141</v>
      </c>
      <c r="F69" s="2">
        <v>2828.72</v>
      </c>
    </row>
    <row r="70" spans="3:6" x14ac:dyDescent="0.25">
      <c r="C70" s="2" t="s">
        <v>3732</v>
      </c>
      <c r="D70" s="2" t="s">
        <v>178</v>
      </c>
      <c r="E70" s="2">
        <v>102</v>
      </c>
      <c r="F70" s="2">
        <v>2009.75</v>
      </c>
    </row>
    <row r="71" spans="3:6" x14ac:dyDescent="0.25">
      <c r="C71" s="2" t="s">
        <v>3733</v>
      </c>
      <c r="D71" s="2" t="s">
        <v>178</v>
      </c>
      <c r="E71" s="2">
        <v>141</v>
      </c>
      <c r="F71" s="2">
        <v>2921.239</v>
      </c>
    </row>
    <row r="72" spans="3:6" x14ac:dyDescent="0.25">
      <c r="C72" s="2" t="s">
        <v>3734</v>
      </c>
      <c r="D72" s="2" t="s">
        <v>178</v>
      </c>
      <c r="E72" s="2">
        <v>82</v>
      </c>
      <c r="F72" s="2">
        <v>1691.15</v>
      </c>
    </row>
    <row r="73" spans="3:6" x14ac:dyDescent="0.25">
      <c r="C73" s="2" t="s">
        <v>3735</v>
      </c>
      <c r="D73" s="2" t="s">
        <v>178</v>
      </c>
      <c r="E73" s="2">
        <v>59</v>
      </c>
      <c r="F73" s="2">
        <v>1226.91</v>
      </c>
    </row>
    <row r="74" spans="3:6" x14ac:dyDescent="0.25">
      <c r="C74" s="2" t="s">
        <v>3736</v>
      </c>
      <c r="D74" s="2" t="s">
        <v>178</v>
      </c>
      <c r="E74" s="2">
        <v>64</v>
      </c>
      <c r="F74" s="2">
        <v>1254.99</v>
      </c>
    </row>
    <row r="75" spans="3:6" x14ac:dyDescent="0.25">
      <c r="C75" s="2" t="s">
        <v>3737</v>
      </c>
      <c r="D75" s="2" t="s">
        <v>178</v>
      </c>
      <c r="E75" s="2">
        <v>33</v>
      </c>
      <c r="F75" s="2">
        <v>684.63</v>
      </c>
    </row>
    <row r="76" spans="3:6" x14ac:dyDescent="0.25">
      <c r="C76" s="2" t="s">
        <v>3738</v>
      </c>
      <c r="D76" s="2" t="s">
        <v>178</v>
      </c>
      <c r="E76" s="2">
        <v>44</v>
      </c>
      <c r="F76" s="2">
        <v>850.99</v>
      </c>
    </row>
    <row r="77" spans="3:6" x14ac:dyDescent="0.25">
      <c r="C77" s="2" t="s">
        <v>3739</v>
      </c>
      <c r="D77" s="2" t="s">
        <v>178</v>
      </c>
      <c r="E77" s="2">
        <v>26</v>
      </c>
      <c r="F77" s="2">
        <v>518.01</v>
      </c>
    </row>
    <row r="78" spans="3:6" x14ac:dyDescent="0.25">
      <c r="C78" s="2" t="s">
        <v>3740</v>
      </c>
      <c r="D78" s="2" t="s">
        <v>178</v>
      </c>
      <c r="E78" s="2">
        <v>21</v>
      </c>
      <c r="F78" s="2">
        <v>378.69</v>
      </c>
    </row>
    <row r="79" spans="3:6" x14ac:dyDescent="0.25">
      <c r="C79" s="2" t="s">
        <v>3741</v>
      </c>
      <c r="D79" s="2" t="s">
        <v>178</v>
      </c>
      <c r="E79" s="2">
        <v>65</v>
      </c>
      <c r="F79" s="2">
        <v>1284.939</v>
      </c>
    </row>
    <row r="80" spans="3:6" x14ac:dyDescent="0.25">
      <c r="C80" s="2" t="s">
        <v>3742</v>
      </c>
      <c r="D80" s="2" t="s">
        <v>178</v>
      </c>
      <c r="E80" s="2">
        <v>29</v>
      </c>
      <c r="F80" s="2">
        <v>622.42</v>
      </c>
    </row>
    <row r="82" spans="1:7" x14ac:dyDescent="0.25">
      <c r="A82" s="1">
        <v>46174</v>
      </c>
      <c r="B82" s="2" t="s">
        <v>229</v>
      </c>
      <c r="C82" s="2" t="s">
        <v>3743</v>
      </c>
      <c r="D82" s="2" t="s">
        <v>82</v>
      </c>
      <c r="E82" s="2">
        <v>102</v>
      </c>
      <c r="F82" s="2">
        <v>2072.95</v>
      </c>
      <c r="G82" s="1">
        <v>46174</v>
      </c>
    </row>
    <row r="83" spans="3:6" x14ac:dyDescent="0.25">
      <c r="C83" s="2" t="s">
        <v>3744</v>
      </c>
      <c r="D83" s="2" t="s">
        <v>82</v>
      </c>
      <c r="E83" s="2">
        <v>102</v>
      </c>
      <c r="F83" s="2">
        <v>2091.4</v>
      </c>
    </row>
    <row r="84" spans="3:6" x14ac:dyDescent="0.25">
      <c r="C84" s="2" t="s">
        <v>3745</v>
      </c>
      <c r="D84" s="2" t="s">
        <v>82</v>
      </c>
      <c r="E84" s="2">
        <v>102</v>
      </c>
      <c r="F84" s="2">
        <v>2087.2</v>
      </c>
    </row>
    <row r="85" spans="3:6" x14ac:dyDescent="0.25">
      <c r="C85" s="2" t="s">
        <v>3746</v>
      </c>
      <c r="D85" s="2" t="s">
        <v>82</v>
      </c>
      <c r="E85" s="2">
        <v>102</v>
      </c>
      <c r="F85" s="2">
        <v>2089.04</v>
      </c>
    </row>
    <row r="86" spans="3:6" x14ac:dyDescent="0.25">
      <c r="C86" s="2" t="s">
        <v>3747</v>
      </c>
      <c r="D86" s="2" t="s">
        <v>82</v>
      </c>
      <c r="E86" s="2">
        <v>121</v>
      </c>
      <c r="F86" s="2">
        <v>2485.049</v>
      </c>
    </row>
    <row r="87" spans="3:6" x14ac:dyDescent="0.25">
      <c r="C87" s="2" t="s">
        <v>3748</v>
      </c>
      <c r="D87" s="2" t="s">
        <v>82</v>
      </c>
      <c r="E87" s="2">
        <v>121</v>
      </c>
      <c r="F87" s="2">
        <v>2406.385</v>
      </c>
    </row>
    <row r="88" spans="3:6" x14ac:dyDescent="0.25">
      <c r="C88" s="2" t="s">
        <v>3749</v>
      </c>
      <c r="D88" s="2" t="s">
        <v>82</v>
      </c>
      <c r="E88" s="2">
        <v>134</v>
      </c>
      <c r="F88" s="2">
        <v>2658.679</v>
      </c>
    </row>
    <row r="89" spans="3:6" x14ac:dyDescent="0.25">
      <c r="C89" s="2" t="s">
        <v>3750</v>
      </c>
      <c r="D89" s="2" t="s">
        <v>82</v>
      </c>
      <c r="E89" s="2">
        <v>38</v>
      </c>
      <c r="F89" s="2">
        <v>685.74</v>
      </c>
    </row>
    <row r="90" spans="3:6" x14ac:dyDescent="0.25">
      <c r="C90" s="2" t="s">
        <v>3751</v>
      </c>
      <c r="D90" s="2" t="s">
        <v>82</v>
      </c>
      <c r="E90" s="2">
        <v>27</v>
      </c>
      <c r="F90" s="2">
        <v>546.2</v>
      </c>
    </row>
    <row r="91" spans="3:6" x14ac:dyDescent="0.25">
      <c r="C91" s="2" t="s">
        <v>3752</v>
      </c>
      <c r="D91" s="2" t="s">
        <v>82</v>
      </c>
      <c r="E91" s="2">
        <v>25</v>
      </c>
      <c r="F91" s="2">
        <v>487.23</v>
      </c>
    </row>
    <row r="92" spans="3:6" x14ac:dyDescent="0.25">
      <c r="C92" s="2" t="s">
        <v>3753</v>
      </c>
      <c r="D92" s="2" t="s">
        <v>82</v>
      </c>
      <c r="E92" s="2">
        <v>51</v>
      </c>
      <c r="F92" s="2">
        <v>1031.899</v>
      </c>
    </row>
    <row r="93" spans="3:6" x14ac:dyDescent="0.25">
      <c r="C93" s="2" t="s">
        <v>3754</v>
      </c>
      <c r="D93" s="2" t="s">
        <v>82</v>
      </c>
      <c r="E93" s="2">
        <v>41</v>
      </c>
      <c r="F93" s="2">
        <v>870.969</v>
      </c>
    </row>
    <row r="94" spans="3:6" x14ac:dyDescent="0.25">
      <c r="C94" s="2" t="s">
        <v>3755</v>
      </c>
      <c r="D94" s="2" t="s">
        <v>82</v>
      </c>
      <c r="E94" s="2">
        <v>24</v>
      </c>
      <c r="F94" s="2">
        <v>481.13</v>
      </c>
    </row>
    <row r="95" spans="3:6" x14ac:dyDescent="0.25">
      <c r="C95" s="2" t="s">
        <v>3756</v>
      </c>
      <c r="D95" s="2" t="s">
        <v>82</v>
      </c>
      <c r="E95" s="2">
        <v>54</v>
      </c>
      <c r="F95" s="2">
        <v>1114.51</v>
      </c>
    </row>
    <row r="96" spans="3:6" x14ac:dyDescent="0.25">
      <c r="C96" s="2" t="s">
        <v>3757</v>
      </c>
      <c r="D96" s="2" t="s">
        <v>82</v>
      </c>
      <c r="E96" s="2">
        <v>22</v>
      </c>
      <c r="F96" s="2">
        <v>441.59</v>
      </c>
    </row>
    <row r="97" spans="3:6" x14ac:dyDescent="0.25">
      <c r="C97" s="2" t="s">
        <v>3758</v>
      </c>
      <c r="D97" s="2" t="s">
        <v>82</v>
      </c>
      <c r="E97" s="2">
        <v>58</v>
      </c>
      <c r="F97" s="2">
        <v>1190.78</v>
      </c>
    </row>
    <row r="98" spans="3:6" x14ac:dyDescent="0.25">
      <c r="C98" s="2" t="s">
        <v>3759</v>
      </c>
      <c r="D98" s="2" t="s">
        <v>82</v>
      </c>
      <c r="E98" s="2">
        <v>83</v>
      </c>
      <c r="F98" s="2">
        <v>1701.94</v>
      </c>
    </row>
    <row r="99" spans="3:6" x14ac:dyDescent="0.25">
      <c r="C99" s="2" t="s">
        <v>3760</v>
      </c>
      <c r="D99" s="2" t="s">
        <v>82</v>
      </c>
      <c r="E99" s="2">
        <v>141</v>
      </c>
      <c r="F99" s="2">
        <v>2300.22</v>
      </c>
    </row>
    <row r="100" spans="3:6" x14ac:dyDescent="0.25">
      <c r="C100" s="2" t="s">
        <v>3761</v>
      </c>
      <c r="D100" s="2" t="s">
        <v>82</v>
      </c>
      <c r="E100" s="2">
        <v>141</v>
      </c>
      <c r="F100" s="2">
        <v>1732.823</v>
      </c>
    </row>
    <row r="101" spans="3:6" x14ac:dyDescent="0.25">
      <c r="C101" s="2" t="s">
        <v>3762</v>
      </c>
      <c r="D101" s="2" t="s">
        <v>82</v>
      </c>
      <c r="E101" s="2">
        <v>75</v>
      </c>
      <c r="F101" s="2">
        <v>325.179</v>
      </c>
    </row>
    <row r="102" spans="3:6" x14ac:dyDescent="0.25">
      <c r="C102" s="2" t="s">
        <v>3763</v>
      </c>
      <c r="D102" s="2" t="s">
        <v>82</v>
      </c>
      <c r="E102" s="2">
        <v>72</v>
      </c>
      <c r="F102" s="2">
        <v>1430.719</v>
      </c>
    </row>
    <row r="103" spans="3:6" x14ac:dyDescent="0.25">
      <c r="C103" s="2" t="s">
        <v>3764</v>
      </c>
      <c r="D103" s="2" t="s">
        <v>82</v>
      </c>
      <c r="E103" s="2">
        <v>52</v>
      </c>
      <c r="F103" s="2">
        <v>1059.38</v>
      </c>
    </row>
    <row r="104" spans="3:6" x14ac:dyDescent="0.25">
      <c r="C104" s="2" t="s">
        <v>3765</v>
      </c>
      <c r="D104" s="2" t="s">
        <v>82</v>
      </c>
      <c r="E104" s="2">
        <v>17</v>
      </c>
      <c r="F104" s="2">
        <v>327.19</v>
      </c>
    </row>
    <row r="105" spans="3:6" x14ac:dyDescent="0.25">
      <c r="C105" s="2" t="s">
        <v>3766</v>
      </c>
      <c r="D105" s="2" t="s">
        <v>82</v>
      </c>
      <c r="E105" s="2">
        <v>41</v>
      </c>
      <c r="F105" s="2">
        <v>709.83</v>
      </c>
    </row>
    <row r="106" spans="3:6" x14ac:dyDescent="0.25">
      <c r="C106" s="2" t="s">
        <v>3767</v>
      </c>
      <c r="D106" s="2" t="s">
        <v>82</v>
      </c>
      <c r="E106" s="2">
        <v>18</v>
      </c>
      <c r="F106" s="2">
        <v>369.17</v>
      </c>
    </row>
    <row r="107" spans="3:6" x14ac:dyDescent="0.25">
      <c r="C107" s="2" t="s">
        <v>3768</v>
      </c>
      <c r="D107" s="2" t="s">
        <v>82</v>
      </c>
      <c r="E107" s="2">
        <v>16</v>
      </c>
      <c r="F107" s="2">
        <v>338.45</v>
      </c>
    </row>
    <row r="108" spans="3:6" x14ac:dyDescent="0.25">
      <c r="C108" s="2" t="s">
        <v>3769</v>
      </c>
      <c r="D108" s="2" t="s">
        <v>82</v>
      </c>
      <c r="E108" s="2">
        <v>40</v>
      </c>
      <c r="F108" s="2">
        <v>170.8</v>
      </c>
    </row>
    <row r="109" spans="3:6" x14ac:dyDescent="0.25">
      <c r="C109" s="2" t="s">
        <v>3770</v>
      </c>
      <c r="D109" s="2" t="s">
        <v>82</v>
      </c>
      <c r="E109" s="2">
        <v>92</v>
      </c>
      <c r="F109" s="2">
        <v>1784</v>
      </c>
    </row>
    <row r="110" spans="3:6" x14ac:dyDescent="0.25">
      <c r="C110" s="2" t="s">
        <v>3771</v>
      </c>
      <c r="D110" s="2" t="s">
        <v>82</v>
      </c>
      <c r="E110" s="2">
        <v>49</v>
      </c>
      <c r="F110" s="2">
        <v>868.01</v>
      </c>
    </row>
    <row r="111" spans="3:6" x14ac:dyDescent="0.25">
      <c r="C111" s="2" t="s">
        <v>3772</v>
      </c>
      <c r="D111" s="2" t="s">
        <v>82</v>
      </c>
      <c r="E111" s="2">
        <v>35</v>
      </c>
      <c r="F111" s="2">
        <v>706.45</v>
      </c>
    </row>
    <row r="112" spans="3:6" x14ac:dyDescent="0.25">
      <c r="C112" s="2" t="s">
        <v>3773</v>
      </c>
      <c r="D112" s="2" t="s">
        <v>82</v>
      </c>
      <c r="E112" s="2">
        <v>106</v>
      </c>
      <c r="F112" s="2">
        <v>2215.49</v>
      </c>
    </row>
    <row r="113" spans="3:6" x14ac:dyDescent="0.25">
      <c r="C113" s="2" t="s">
        <v>3774</v>
      </c>
      <c r="D113" s="2" t="s">
        <v>82</v>
      </c>
      <c r="E113" s="2">
        <v>16</v>
      </c>
      <c r="F113" s="2">
        <v>300.33</v>
      </c>
    </row>
    <row r="114" spans="3:6" x14ac:dyDescent="0.25">
      <c r="C114" s="2" t="s">
        <v>3775</v>
      </c>
      <c r="D114" s="2" t="s">
        <v>82</v>
      </c>
      <c r="E114" s="2">
        <v>13</v>
      </c>
      <c r="F114" s="2">
        <v>232.7</v>
      </c>
    </row>
    <row r="115" spans="3:6" x14ac:dyDescent="0.25">
      <c r="C115" s="2" t="s">
        <v>3776</v>
      </c>
      <c r="D115" s="2" t="s">
        <v>82</v>
      </c>
      <c r="E115" s="2">
        <v>9</v>
      </c>
      <c r="F115" s="2">
        <v>179.98</v>
      </c>
    </row>
    <row r="116" spans="3:6" x14ac:dyDescent="0.25">
      <c r="C116" s="2" t="s">
        <v>3777</v>
      </c>
      <c r="D116" s="2" t="s">
        <v>82</v>
      </c>
      <c r="E116" s="2">
        <v>17</v>
      </c>
      <c r="F116" s="2">
        <v>335.14</v>
      </c>
    </row>
    <row r="117" spans="3:6" x14ac:dyDescent="0.25">
      <c r="C117" s="2" t="s">
        <v>3778</v>
      </c>
      <c r="D117" s="2" t="s">
        <v>82</v>
      </c>
      <c r="E117" s="2">
        <v>26</v>
      </c>
      <c r="F117" s="2">
        <v>524.76</v>
      </c>
    </row>
    <row r="118" spans="3:6" x14ac:dyDescent="0.25">
      <c r="C118" s="2" t="s">
        <v>3779</v>
      </c>
      <c r="D118" s="2" t="s">
        <v>82</v>
      </c>
      <c r="E118" s="2">
        <v>60</v>
      </c>
      <c r="F118" s="2">
        <v>1214.97</v>
      </c>
    </row>
    <row r="119" spans="3:6" x14ac:dyDescent="0.25">
      <c r="C119" s="2" t="s">
        <v>3780</v>
      </c>
      <c r="D119" s="2" t="s">
        <v>82</v>
      </c>
      <c r="E119" s="2">
        <v>102</v>
      </c>
      <c r="F119" s="2">
        <v>1658.52</v>
      </c>
    </row>
    <row r="120" spans="3:6" x14ac:dyDescent="0.25">
      <c r="C120" s="2" t="s">
        <v>3781</v>
      </c>
      <c r="D120" s="2" t="s">
        <v>82</v>
      </c>
      <c r="E120" s="2">
        <v>22</v>
      </c>
      <c r="F120" s="2">
        <v>428.23</v>
      </c>
    </row>
    <row r="121" spans="3:6" x14ac:dyDescent="0.25">
      <c r="C121" s="2" t="s">
        <v>3782</v>
      </c>
      <c r="D121" s="2" t="s">
        <v>82</v>
      </c>
      <c r="E121" s="2">
        <v>79</v>
      </c>
      <c r="F121" s="2">
        <v>1535.55</v>
      </c>
    </row>
    <row r="122" spans="3:6" x14ac:dyDescent="0.25">
      <c r="C122" s="2" t="s">
        <v>3783</v>
      </c>
      <c r="D122" s="2" t="s">
        <v>82</v>
      </c>
      <c r="E122" s="2">
        <v>42</v>
      </c>
      <c r="F122" s="2">
        <v>811.82</v>
      </c>
    </row>
    <row r="123" spans="3:6" x14ac:dyDescent="0.25">
      <c r="C123" s="2" t="s">
        <v>3784</v>
      </c>
      <c r="D123" s="2" t="s">
        <v>82</v>
      </c>
      <c r="E123" s="2">
        <v>40</v>
      </c>
      <c r="F123" s="2">
        <v>668.719</v>
      </c>
    </row>
    <row r="124" spans="3:6" x14ac:dyDescent="0.25">
      <c r="C124" s="2" t="s">
        <v>3785</v>
      </c>
      <c r="D124" s="2" t="s">
        <v>82</v>
      </c>
      <c r="E124" s="2">
        <v>22</v>
      </c>
      <c r="F124" s="2">
        <v>384.08</v>
      </c>
    </row>
    <row r="125" spans="3:6" x14ac:dyDescent="0.25">
      <c r="C125" s="2" t="s">
        <v>3786</v>
      </c>
      <c r="D125" s="2" t="s">
        <v>82</v>
      </c>
      <c r="E125" s="2">
        <v>22</v>
      </c>
      <c r="F125" s="2">
        <v>431.9</v>
      </c>
    </row>
    <row r="126" spans="3:6" x14ac:dyDescent="0.25">
      <c r="C126" s="2" t="s">
        <v>3787</v>
      </c>
      <c r="D126" s="2" t="s">
        <v>82</v>
      </c>
      <c r="E126" s="2">
        <v>37</v>
      </c>
      <c r="F126" s="2">
        <v>767.26</v>
      </c>
    </row>
    <row r="127" spans="3:6" x14ac:dyDescent="0.25">
      <c r="C127" s="2" t="s">
        <v>3788</v>
      </c>
      <c r="D127" s="2" t="s">
        <v>82</v>
      </c>
      <c r="E127" s="2">
        <v>28</v>
      </c>
      <c r="F127" s="2">
        <v>610.41</v>
      </c>
    </row>
    <row r="128" spans="3:6" x14ac:dyDescent="0.25">
      <c r="C128" s="2" t="s">
        <v>3789</v>
      </c>
      <c r="D128" s="2" t="s">
        <v>82</v>
      </c>
      <c r="E128" s="2">
        <v>17</v>
      </c>
      <c r="F128" s="2">
        <v>373.7</v>
      </c>
    </row>
    <row r="129" spans="3:6" x14ac:dyDescent="0.25">
      <c r="C129" s="2" t="s">
        <v>3790</v>
      </c>
      <c r="D129" s="2" t="s">
        <v>82</v>
      </c>
      <c r="E129" s="2">
        <v>96</v>
      </c>
      <c r="F129" s="2">
        <v>1993.659</v>
      </c>
    </row>
    <row r="130" spans="3:6" x14ac:dyDescent="0.25">
      <c r="C130" s="2" t="s">
        <v>3791</v>
      </c>
      <c r="D130" s="2" t="s">
        <v>82</v>
      </c>
      <c r="E130" s="2">
        <v>141</v>
      </c>
      <c r="F130" s="2">
        <v>2911.229</v>
      </c>
    </row>
    <row r="131" spans="3:6" x14ac:dyDescent="0.25">
      <c r="C131" s="2" t="s">
        <v>3792</v>
      </c>
      <c r="D131" s="2" t="s">
        <v>82</v>
      </c>
      <c r="E131" s="2">
        <v>141</v>
      </c>
      <c r="F131" s="2">
        <v>2939.679</v>
      </c>
    </row>
    <row r="133" spans="1:7" x14ac:dyDescent="0.25">
      <c r="A133" s="1">
        <v>46174</v>
      </c>
      <c r="B133" s="2" t="s">
        <v>290</v>
      </c>
      <c r="C133" s="2" t="s">
        <v>3793</v>
      </c>
      <c r="D133" s="2" t="s">
        <v>292</v>
      </c>
      <c r="E133" s="2">
        <v>47</v>
      </c>
      <c r="F133" s="2">
        <v>832.839</v>
      </c>
      <c r="G133" s="1">
        <v>46174</v>
      </c>
    </row>
    <row r="134" spans="3:6" x14ac:dyDescent="0.25">
      <c r="C134" s="2" t="s">
        <v>3794</v>
      </c>
      <c r="D134" s="2" t="s">
        <v>292</v>
      </c>
      <c r="E134" s="2">
        <v>6</v>
      </c>
      <c r="F134" s="2">
        <v>142.991</v>
      </c>
    </row>
    <row r="135" spans="3:6" x14ac:dyDescent="0.25">
      <c r="C135" s="2" t="s">
        <v>3795</v>
      </c>
      <c r="D135" s="2" t="s">
        <v>292</v>
      </c>
      <c r="E135" s="2">
        <v>81</v>
      </c>
      <c r="F135" s="2">
        <v>1672.56</v>
      </c>
    </row>
    <row r="136" spans="3:6" x14ac:dyDescent="0.25">
      <c r="C136" s="2" t="s">
        <v>3796</v>
      </c>
      <c r="D136" s="2" t="s">
        <v>292</v>
      </c>
      <c r="E136" s="2">
        <v>98</v>
      </c>
      <c r="F136" s="2">
        <v>1981.1</v>
      </c>
    </row>
    <row r="137" spans="3:6" x14ac:dyDescent="0.25">
      <c r="C137" s="2" t="s">
        <v>3797</v>
      </c>
      <c r="D137" s="2" t="s">
        <v>292</v>
      </c>
      <c r="E137" s="2">
        <v>123</v>
      </c>
      <c r="F137" s="2">
        <v>2502.507</v>
      </c>
    </row>
    <row r="138" spans="3:6" x14ac:dyDescent="0.25">
      <c r="C138" s="2" t="s">
        <v>3798</v>
      </c>
      <c r="D138" s="2" t="s">
        <v>292</v>
      </c>
      <c r="E138" s="2">
        <v>123</v>
      </c>
      <c r="F138" s="2">
        <v>2525.6</v>
      </c>
    </row>
    <row r="139" spans="3:6" x14ac:dyDescent="0.25">
      <c r="C139" s="2" t="s">
        <v>3799</v>
      </c>
      <c r="D139" s="2" t="s">
        <v>292</v>
      </c>
      <c r="E139" s="2">
        <v>70</v>
      </c>
      <c r="F139" s="2">
        <v>1311.64</v>
      </c>
    </row>
    <row r="140" spans="3:6" x14ac:dyDescent="0.25">
      <c r="C140" s="2" t="s">
        <v>3800</v>
      </c>
      <c r="D140" s="2" t="s">
        <v>292</v>
      </c>
      <c r="E140" s="2">
        <v>72</v>
      </c>
      <c r="F140" s="2">
        <v>651.802</v>
      </c>
    </row>
    <row r="141" spans="3:6" x14ac:dyDescent="0.25">
      <c r="C141" s="2" t="s">
        <v>3801</v>
      </c>
      <c r="D141" s="2" t="s">
        <v>292</v>
      </c>
      <c r="E141" s="2">
        <v>107</v>
      </c>
      <c r="F141" s="2">
        <v>2194.41</v>
      </c>
    </row>
    <row r="142" spans="3:6" x14ac:dyDescent="0.25">
      <c r="C142" s="2" t="s">
        <v>3802</v>
      </c>
      <c r="D142" s="2" t="s">
        <v>292</v>
      </c>
      <c r="E142" s="2">
        <v>119</v>
      </c>
      <c r="F142" s="2">
        <v>2437.32</v>
      </c>
    </row>
    <row r="143" spans="3:6" x14ac:dyDescent="0.25">
      <c r="C143" s="2" t="s">
        <v>3803</v>
      </c>
      <c r="D143" s="2" t="s">
        <v>292</v>
      </c>
      <c r="E143" s="2">
        <v>119</v>
      </c>
      <c r="F143" s="2">
        <v>2344.46</v>
      </c>
    </row>
    <row r="144" spans="3:6" x14ac:dyDescent="0.25">
      <c r="C144" s="2" t="s">
        <v>3804</v>
      </c>
      <c r="D144" s="2" t="s">
        <v>292</v>
      </c>
      <c r="E144" s="2">
        <v>99</v>
      </c>
      <c r="F144" s="2">
        <v>1999.12</v>
      </c>
    </row>
    <row r="145" spans="3:6" x14ac:dyDescent="0.25">
      <c r="C145" s="2" t="s">
        <v>3805</v>
      </c>
      <c r="D145" s="2" t="s">
        <v>292</v>
      </c>
      <c r="E145" s="2">
        <v>52</v>
      </c>
      <c r="F145" s="2">
        <v>1035.93</v>
      </c>
    </row>
    <row r="146" spans="3:6" x14ac:dyDescent="0.25">
      <c r="C146" s="2" t="s">
        <v>3806</v>
      </c>
      <c r="D146" s="2" t="s">
        <v>292</v>
      </c>
      <c r="E146" s="2">
        <v>133</v>
      </c>
      <c r="F146" s="2">
        <v>2850.84</v>
      </c>
    </row>
    <row r="147" spans="3:6" x14ac:dyDescent="0.25">
      <c r="C147" s="2" t="s">
        <v>3807</v>
      </c>
      <c r="D147" s="2" t="s">
        <v>292</v>
      </c>
      <c r="E147" s="2">
        <v>141</v>
      </c>
      <c r="F147" s="2">
        <v>2764.48</v>
      </c>
    </row>
    <row r="148" spans="3:6" x14ac:dyDescent="0.25">
      <c r="C148" s="2" t="s">
        <v>3808</v>
      </c>
      <c r="D148" s="2" t="s">
        <v>292</v>
      </c>
      <c r="E148" s="2">
        <v>94</v>
      </c>
      <c r="F148" s="2">
        <v>1840.13</v>
      </c>
    </row>
    <row r="149" spans="3:6" x14ac:dyDescent="0.25">
      <c r="C149" s="2" t="s">
        <v>3809</v>
      </c>
      <c r="D149" s="2" t="s">
        <v>292</v>
      </c>
      <c r="E149" s="2">
        <v>73</v>
      </c>
      <c r="F149" s="2">
        <v>1464.199</v>
      </c>
    </row>
    <row r="150" spans="3:6" x14ac:dyDescent="0.25">
      <c r="C150" s="2" t="s">
        <v>3810</v>
      </c>
      <c r="D150" s="2" t="s">
        <v>292</v>
      </c>
      <c r="E150" s="2">
        <v>141</v>
      </c>
      <c r="F150" s="2">
        <v>2865.953</v>
      </c>
    </row>
    <row r="151" spans="3:6" x14ac:dyDescent="0.25">
      <c r="C151" s="2" t="s">
        <v>3811</v>
      </c>
      <c r="D151" s="2" t="s">
        <v>292</v>
      </c>
      <c r="E151" s="2">
        <v>141</v>
      </c>
      <c r="F151" s="2">
        <v>2836.299</v>
      </c>
    </row>
    <row r="152" spans="3:6" x14ac:dyDescent="0.25">
      <c r="C152" s="2" t="s">
        <v>3812</v>
      </c>
      <c r="D152" s="2" t="s">
        <v>292</v>
      </c>
      <c r="E152" s="2">
        <v>123</v>
      </c>
      <c r="F152" s="2">
        <v>2105.094</v>
      </c>
    </row>
    <row r="153" spans="3:6" x14ac:dyDescent="0.25">
      <c r="C153" s="2" t="s">
        <v>3813</v>
      </c>
      <c r="D153" s="2" t="s">
        <v>292</v>
      </c>
      <c r="E153" s="2">
        <v>100</v>
      </c>
      <c r="F153" s="2">
        <v>2149.09</v>
      </c>
    </row>
    <row r="154" spans="3:6" x14ac:dyDescent="0.25">
      <c r="C154" s="2" t="s">
        <v>3814</v>
      </c>
      <c r="D154" s="2" t="s">
        <v>292</v>
      </c>
      <c r="E154" s="2">
        <v>91</v>
      </c>
      <c r="F154" s="2">
        <v>1267.483</v>
      </c>
    </row>
    <row r="155" spans="3:6" x14ac:dyDescent="0.25">
      <c r="C155" s="2" t="s">
        <v>3815</v>
      </c>
      <c r="D155" s="2" t="s">
        <v>292</v>
      </c>
      <c r="E155" s="2">
        <v>89</v>
      </c>
      <c r="F155" s="2">
        <v>1805.95</v>
      </c>
    </row>
    <row r="156" spans="3:6" x14ac:dyDescent="0.25">
      <c r="C156" s="2" t="s">
        <v>3816</v>
      </c>
      <c r="D156" s="2" t="s">
        <v>292</v>
      </c>
      <c r="E156" s="2">
        <v>89</v>
      </c>
      <c r="F156" s="2">
        <v>1816.61</v>
      </c>
    </row>
    <row r="157" spans="3:6" x14ac:dyDescent="0.25">
      <c r="C157" s="2" t="s">
        <v>3817</v>
      </c>
      <c r="D157" s="2" t="s">
        <v>292</v>
      </c>
      <c r="E157" s="2">
        <v>75</v>
      </c>
      <c r="F157" s="2">
        <v>1506.932</v>
      </c>
    </row>
    <row r="158" spans="3:6" x14ac:dyDescent="0.25">
      <c r="C158" s="2" t="s">
        <v>3818</v>
      </c>
      <c r="D158" s="2" t="s">
        <v>292</v>
      </c>
      <c r="E158" s="2">
        <v>85</v>
      </c>
      <c r="F158" s="2">
        <v>1745.012</v>
      </c>
    </row>
    <row r="159" spans="3:6" x14ac:dyDescent="0.25">
      <c r="C159" s="2" t="s">
        <v>3819</v>
      </c>
      <c r="D159" s="2" t="s">
        <v>292</v>
      </c>
      <c r="E159" s="2">
        <v>89</v>
      </c>
      <c r="F159" s="2">
        <v>1854.929</v>
      </c>
    </row>
    <row r="160" spans="3:6" x14ac:dyDescent="0.25">
      <c r="C160" s="2" t="s">
        <v>3820</v>
      </c>
      <c r="D160" s="2" t="s">
        <v>292</v>
      </c>
      <c r="E160" s="2">
        <v>65</v>
      </c>
      <c r="F160" s="2">
        <v>1376.75</v>
      </c>
    </row>
    <row r="161" spans="3:6" x14ac:dyDescent="0.25">
      <c r="C161" s="2" t="s">
        <v>3821</v>
      </c>
      <c r="D161" s="2" t="s">
        <v>292</v>
      </c>
      <c r="E161" s="2">
        <v>10</v>
      </c>
      <c r="F161" s="2">
        <v>194.21</v>
      </c>
    </row>
    <row r="162" spans="3:6" x14ac:dyDescent="0.25">
      <c r="C162" s="2" t="s">
        <v>3822</v>
      </c>
      <c r="D162" s="2" t="s">
        <v>292</v>
      </c>
      <c r="E162" s="2">
        <v>12</v>
      </c>
      <c r="F162" s="2">
        <v>263.55</v>
      </c>
    </row>
    <row r="163" spans="3:6" x14ac:dyDescent="0.25">
      <c r="C163" s="2" t="s">
        <v>3823</v>
      </c>
      <c r="D163" s="2" t="s">
        <v>292</v>
      </c>
      <c r="E163" s="2">
        <v>45</v>
      </c>
      <c r="F163" s="2">
        <v>230.24</v>
      </c>
    </row>
    <row r="164" spans="3:6" x14ac:dyDescent="0.25">
      <c r="C164" s="2" t="s">
        <v>3824</v>
      </c>
      <c r="D164" s="2" t="s">
        <v>292</v>
      </c>
      <c r="E164" s="2">
        <v>45</v>
      </c>
      <c r="F164" s="2">
        <v>219.51</v>
      </c>
    </row>
    <row r="165" spans="3:6" x14ac:dyDescent="0.25">
      <c r="C165" s="2" t="s">
        <v>3825</v>
      </c>
      <c r="D165" s="2" t="s">
        <v>292</v>
      </c>
      <c r="E165" s="2">
        <v>60</v>
      </c>
      <c r="F165" s="2">
        <v>316.99</v>
      </c>
    </row>
    <row r="166" spans="3:6" x14ac:dyDescent="0.25">
      <c r="C166" s="2" t="s">
        <v>3826</v>
      </c>
      <c r="D166" s="2" t="s">
        <v>292</v>
      </c>
      <c r="E166" s="2">
        <v>50</v>
      </c>
      <c r="F166" s="2">
        <v>257.97</v>
      </c>
    </row>
    <row r="167" spans="3:6" x14ac:dyDescent="0.25">
      <c r="C167" s="2" t="s">
        <v>3827</v>
      </c>
      <c r="D167" s="2" t="s">
        <v>292</v>
      </c>
      <c r="E167" s="2">
        <v>68</v>
      </c>
      <c r="F167" s="2">
        <v>1361.889</v>
      </c>
    </row>
    <row r="168" spans="3:6" x14ac:dyDescent="0.25">
      <c r="C168" s="2" t="s">
        <v>3828</v>
      </c>
      <c r="D168" s="2" t="s">
        <v>292</v>
      </c>
      <c r="E168" s="2">
        <v>10</v>
      </c>
      <c r="F168" s="2">
        <v>141.05</v>
      </c>
    </row>
    <row r="169" spans="3:6" x14ac:dyDescent="0.25">
      <c r="C169" s="2" t="s">
        <v>3829</v>
      </c>
      <c r="D169" s="2" t="s">
        <v>292</v>
      </c>
      <c r="E169" s="2">
        <v>84</v>
      </c>
      <c r="F169" s="2">
        <v>1084.591</v>
      </c>
    </row>
    <row r="170" spans="3:6" x14ac:dyDescent="0.25">
      <c r="C170" s="2" t="s">
        <v>3830</v>
      </c>
      <c r="D170" s="2" t="s">
        <v>292</v>
      </c>
      <c r="E170" s="2">
        <v>65</v>
      </c>
      <c r="F170" s="2">
        <v>1330</v>
      </c>
    </row>
    <row r="171" spans="3:6" x14ac:dyDescent="0.25">
      <c r="C171" s="2" t="s">
        <v>3831</v>
      </c>
      <c r="D171" s="2" t="s">
        <v>292</v>
      </c>
      <c r="E171" s="2">
        <v>69</v>
      </c>
      <c r="F171" s="2">
        <v>1310.2</v>
      </c>
    </row>
    <row r="172" spans="3:6" x14ac:dyDescent="0.25">
      <c r="C172" s="2" t="s">
        <v>3832</v>
      </c>
      <c r="D172" s="2" t="s">
        <v>292</v>
      </c>
      <c r="E172" s="2">
        <v>25</v>
      </c>
      <c r="F172" s="2">
        <v>410.71</v>
      </c>
    </row>
    <row r="173" spans="3:6" x14ac:dyDescent="0.25">
      <c r="C173" s="2" t="s">
        <v>3833</v>
      </c>
      <c r="D173" s="2" t="s">
        <v>292</v>
      </c>
      <c r="E173" s="2">
        <v>25</v>
      </c>
      <c r="F173" s="2">
        <v>427.25</v>
      </c>
    </row>
    <row r="174" spans="3:6" x14ac:dyDescent="0.25">
      <c r="C174" s="2" t="s">
        <v>3834</v>
      </c>
      <c r="D174" s="2" t="s">
        <v>292</v>
      </c>
      <c r="E174" s="2">
        <v>33</v>
      </c>
      <c r="F174" s="2">
        <v>705.65</v>
      </c>
    </row>
    <row r="175" spans="3:6" x14ac:dyDescent="0.25">
      <c r="C175" s="2" t="s">
        <v>3835</v>
      </c>
      <c r="D175" s="2" t="s">
        <v>292</v>
      </c>
      <c r="E175" s="2">
        <v>11</v>
      </c>
      <c r="F175" s="2">
        <v>207.05</v>
      </c>
    </row>
    <row r="176" spans="3:6" x14ac:dyDescent="0.25">
      <c r="C176" s="2" t="s">
        <v>3836</v>
      </c>
      <c r="D176" s="2" t="s">
        <v>292</v>
      </c>
      <c r="E176" s="2">
        <v>11</v>
      </c>
      <c r="F176" s="2">
        <v>203.21</v>
      </c>
    </row>
    <row r="177" spans="3:6" x14ac:dyDescent="0.25">
      <c r="C177" s="2" t="s">
        <v>3837</v>
      </c>
      <c r="D177" s="2" t="s">
        <v>292</v>
      </c>
      <c r="E177" s="2">
        <v>36</v>
      </c>
      <c r="F177" s="2">
        <v>802.47</v>
      </c>
    </row>
    <row r="178" spans="3:6" x14ac:dyDescent="0.25">
      <c r="C178" s="2" t="s">
        <v>3838</v>
      </c>
      <c r="D178" s="2" t="s">
        <v>292</v>
      </c>
      <c r="E178" s="2">
        <v>35</v>
      </c>
      <c r="F178" s="2">
        <v>716.44</v>
      </c>
    </row>
    <row r="179" spans="3:6" x14ac:dyDescent="0.25">
      <c r="C179" s="2" t="s">
        <v>3839</v>
      </c>
      <c r="D179" s="2" t="s">
        <v>292</v>
      </c>
      <c r="E179" s="2">
        <v>19</v>
      </c>
      <c r="F179" s="2">
        <v>452.431</v>
      </c>
    </row>
    <row r="180" spans="3:6" x14ac:dyDescent="0.25">
      <c r="C180" s="2" t="s">
        <v>3840</v>
      </c>
      <c r="D180" s="2" t="s">
        <v>292</v>
      </c>
      <c r="E180" s="2">
        <v>22</v>
      </c>
      <c r="F180" s="2">
        <v>446.36</v>
      </c>
    </row>
    <row r="181" spans="3:6" x14ac:dyDescent="0.25">
      <c r="C181" s="2" t="s">
        <v>3841</v>
      </c>
      <c r="D181" s="2" t="s">
        <v>292</v>
      </c>
      <c r="E181" s="2">
        <v>69</v>
      </c>
      <c r="F181" s="2">
        <v>1395.43</v>
      </c>
    </row>
    <row r="182" spans="3:6" x14ac:dyDescent="0.25">
      <c r="C182" s="2" t="s">
        <v>3842</v>
      </c>
      <c r="D182" s="2" t="s">
        <v>292</v>
      </c>
      <c r="E182" s="2">
        <v>15</v>
      </c>
      <c r="F182" s="2">
        <v>257.88</v>
      </c>
    </row>
    <row r="183" spans="3:6" x14ac:dyDescent="0.25">
      <c r="C183" s="2" t="s">
        <v>3843</v>
      </c>
      <c r="D183" s="2" t="s">
        <v>292</v>
      </c>
      <c r="E183" s="2">
        <v>11</v>
      </c>
      <c r="F183" s="2">
        <v>203.37</v>
      </c>
    </row>
    <row r="184" spans="3:6" x14ac:dyDescent="0.25">
      <c r="C184" s="2" t="s">
        <v>3844</v>
      </c>
      <c r="D184" s="2" t="s">
        <v>292</v>
      </c>
      <c r="E184" s="2">
        <v>35</v>
      </c>
      <c r="F184" s="2">
        <v>734.47</v>
      </c>
    </row>
    <row r="185" spans="3:6" x14ac:dyDescent="0.25">
      <c r="C185" s="2" t="s">
        <v>3845</v>
      </c>
      <c r="D185" s="2" t="s">
        <v>292</v>
      </c>
      <c r="E185" s="2">
        <v>8</v>
      </c>
      <c r="F185" s="2">
        <v>119.22</v>
      </c>
    </row>
    <row r="187" spans="1:7" x14ac:dyDescent="0.25">
      <c r="A187" s="1">
        <v>46174</v>
      </c>
      <c r="B187" s="2" t="s">
        <v>3846</v>
      </c>
      <c r="C187" s="2" t="s">
        <v>3847</v>
      </c>
      <c r="D187" s="2" t="s">
        <v>3848</v>
      </c>
      <c r="E187" s="2">
        <v>50</v>
      </c>
      <c r="F187" s="2">
        <v>1851.249</v>
      </c>
      <c r="G187" s="1">
        <v>46174</v>
      </c>
    </row>
    <row r="189" spans="1:7" x14ac:dyDescent="0.25">
      <c r="A189" s="1">
        <v>46174</v>
      </c>
      <c r="B189" s="2" t="s">
        <v>128</v>
      </c>
      <c r="C189" s="2" t="s">
        <v>3849</v>
      </c>
      <c r="D189" s="2" t="s">
        <v>15</v>
      </c>
      <c r="E189" s="2">
        <v>210</v>
      </c>
      <c r="F189" s="2">
        <v>733.749</v>
      </c>
      <c r="G189" s="1">
        <v>46174</v>
      </c>
    </row>
    <row r="190" spans="3:6" x14ac:dyDescent="0.25">
      <c r="C190" s="2" t="s">
        <v>3850</v>
      </c>
      <c r="D190" s="2" t="s">
        <v>30</v>
      </c>
      <c r="E190" s="2">
        <v>39</v>
      </c>
      <c r="F190" s="2">
        <v>774.42</v>
      </c>
    </row>
    <row r="191" spans="3:6" x14ac:dyDescent="0.25">
      <c r="C191" s="2" t="s">
        <v>3851</v>
      </c>
      <c r="D191" s="2" t="s">
        <v>30</v>
      </c>
      <c r="E191" s="2">
        <v>68</v>
      </c>
      <c r="F191" s="2">
        <v>1197.2</v>
      </c>
    </row>
    <row r="192" spans="3:6" x14ac:dyDescent="0.25">
      <c r="C192" s="2" t="s">
        <v>3852</v>
      </c>
      <c r="D192" s="2" t="s">
        <v>15</v>
      </c>
      <c r="E192" s="2">
        <v>36</v>
      </c>
      <c r="F192" s="2">
        <v>687.73</v>
      </c>
    </row>
    <row r="193" spans="3:6" x14ac:dyDescent="0.25">
      <c r="C193" s="2" t="s">
        <v>3853</v>
      </c>
      <c r="D193" s="2" t="s">
        <v>36</v>
      </c>
      <c r="E193" s="2">
        <v>60</v>
      </c>
      <c r="F193" s="2">
        <v>1100.63</v>
      </c>
    </row>
    <row r="194" spans="3:6" x14ac:dyDescent="0.25">
      <c r="C194" s="2" t="s">
        <v>3854</v>
      </c>
      <c r="D194" s="2" t="s">
        <v>36</v>
      </c>
      <c r="E194" s="2">
        <v>36</v>
      </c>
      <c r="F194" s="2">
        <v>645.33</v>
      </c>
    </row>
    <row r="195" spans="3:6" x14ac:dyDescent="0.25">
      <c r="C195" s="2" t="s">
        <v>3855</v>
      </c>
      <c r="D195" s="2" t="s">
        <v>36</v>
      </c>
      <c r="E195" s="2">
        <v>60</v>
      </c>
      <c r="F195" s="2">
        <v>1060.88</v>
      </c>
    </row>
    <row r="196" spans="3:6" x14ac:dyDescent="0.25">
      <c r="C196" s="2" t="s">
        <v>3856</v>
      </c>
      <c r="D196" s="2" t="s">
        <v>15</v>
      </c>
      <c r="E196" s="2">
        <v>234</v>
      </c>
      <c r="F196" s="2">
        <v>704.632</v>
      </c>
    </row>
    <row r="197" spans="3:6" x14ac:dyDescent="0.25">
      <c r="C197" s="2" t="s">
        <v>3857</v>
      </c>
      <c r="D197" s="2" t="s">
        <v>15</v>
      </c>
      <c r="E197" s="2">
        <v>105</v>
      </c>
      <c r="F197" s="2">
        <v>2127.44</v>
      </c>
    </row>
    <row r="198" spans="3:6" x14ac:dyDescent="0.25">
      <c r="C198" s="2" t="s">
        <v>3858</v>
      </c>
      <c r="D198" s="2" t="s">
        <v>42</v>
      </c>
      <c r="E198" s="2">
        <v>52</v>
      </c>
      <c r="F198" s="2">
        <v>955.86</v>
      </c>
    </row>
    <row r="199" spans="3:6" x14ac:dyDescent="0.25">
      <c r="C199" s="2" t="s">
        <v>3859</v>
      </c>
      <c r="D199" s="2" t="s">
        <v>42</v>
      </c>
      <c r="E199" s="2">
        <v>53</v>
      </c>
      <c r="F199" s="2">
        <v>994.336</v>
      </c>
    </row>
    <row r="200" spans="3:6" x14ac:dyDescent="0.25">
      <c r="C200" s="2" t="s">
        <v>3860</v>
      </c>
      <c r="D200" s="2" t="s">
        <v>42</v>
      </c>
      <c r="E200" s="2">
        <v>100</v>
      </c>
      <c r="F200" s="2">
        <v>1902.782</v>
      </c>
    </row>
    <row r="201" spans="3:6" x14ac:dyDescent="0.25">
      <c r="C201" s="2" t="s">
        <v>3861</v>
      </c>
      <c r="D201" s="2" t="s">
        <v>42</v>
      </c>
      <c r="E201" s="2">
        <v>56</v>
      </c>
      <c r="F201" s="2">
        <v>1080.923</v>
      </c>
    </row>
    <row r="202" spans="3:6" x14ac:dyDescent="0.25">
      <c r="C202" s="2" t="s">
        <v>3862</v>
      </c>
      <c r="D202" s="2" t="s">
        <v>15</v>
      </c>
      <c r="E202" s="2">
        <v>163</v>
      </c>
      <c r="F202" s="2">
        <v>3256.47</v>
      </c>
    </row>
    <row r="203" spans="3:6" x14ac:dyDescent="0.25">
      <c r="C203" s="2" t="s">
        <v>3863</v>
      </c>
      <c r="D203" s="2" t="s">
        <v>26</v>
      </c>
      <c r="E203" s="2">
        <v>100</v>
      </c>
      <c r="F203" s="2">
        <v>1960.88</v>
      </c>
    </row>
    <row r="204" spans="3:6" x14ac:dyDescent="0.25">
      <c r="C204" s="2" t="s">
        <v>3864</v>
      </c>
      <c r="D204" s="2" t="s">
        <v>26</v>
      </c>
      <c r="E204" s="2">
        <v>56</v>
      </c>
      <c r="F204" s="2">
        <v>1154.94</v>
      </c>
    </row>
    <row r="205" spans="3:6" x14ac:dyDescent="0.25">
      <c r="C205" s="2" t="s">
        <v>3865</v>
      </c>
      <c r="D205" s="2" t="s">
        <v>26</v>
      </c>
      <c r="E205" s="2">
        <v>100</v>
      </c>
      <c r="F205" s="2">
        <v>1920.14</v>
      </c>
    </row>
    <row r="206" spans="3:6" x14ac:dyDescent="0.25">
      <c r="C206" s="2" t="s">
        <v>3866</v>
      </c>
      <c r="D206" s="2" t="s">
        <v>26</v>
      </c>
      <c r="E206" s="2">
        <v>56</v>
      </c>
      <c r="F206" s="2">
        <v>1096.1</v>
      </c>
    </row>
    <row r="207" spans="3:6" x14ac:dyDescent="0.25">
      <c r="C207" s="2" t="s">
        <v>3867</v>
      </c>
      <c r="D207" s="2" t="s">
        <v>26</v>
      </c>
      <c r="E207" s="2">
        <v>100</v>
      </c>
      <c r="F207" s="2">
        <v>2032.76</v>
      </c>
    </row>
    <row r="208" spans="3:6" x14ac:dyDescent="0.25">
      <c r="C208" s="2" t="s">
        <v>3868</v>
      </c>
      <c r="D208" s="2" t="s">
        <v>26</v>
      </c>
      <c r="E208" s="2">
        <v>100</v>
      </c>
      <c r="F208" s="2">
        <v>1844.716</v>
      </c>
    </row>
    <row r="209" spans="3:6" x14ac:dyDescent="0.25">
      <c r="C209" s="2" t="s">
        <v>3869</v>
      </c>
      <c r="D209" s="2" t="s">
        <v>26</v>
      </c>
      <c r="E209" s="2">
        <v>56</v>
      </c>
      <c r="F209" s="2">
        <v>1076.2</v>
      </c>
    </row>
    <row r="210" spans="3:6" x14ac:dyDescent="0.25">
      <c r="C210" s="2" t="s">
        <v>3870</v>
      </c>
      <c r="D210" s="2" t="s">
        <v>26</v>
      </c>
      <c r="E210" s="2">
        <v>56</v>
      </c>
      <c r="F210" s="2">
        <v>1130.88</v>
      </c>
    </row>
    <row r="211" spans="3:6" x14ac:dyDescent="0.25">
      <c r="C211" s="2" t="s">
        <v>3871</v>
      </c>
      <c r="D211" s="2" t="s">
        <v>42</v>
      </c>
      <c r="E211" s="2">
        <v>100</v>
      </c>
      <c r="F211" s="2">
        <v>1896.74</v>
      </c>
    </row>
    <row r="212" spans="3:6" x14ac:dyDescent="0.25">
      <c r="C212" s="2" t="s">
        <v>3872</v>
      </c>
      <c r="D212" s="2" t="s">
        <v>42</v>
      </c>
      <c r="E212" s="2">
        <v>56</v>
      </c>
      <c r="F212" s="2">
        <v>1043.899</v>
      </c>
    </row>
    <row r="213" spans="3:6" x14ac:dyDescent="0.25">
      <c r="C213" s="2" t="s">
        <v>3873</v>
      </c>
      <c r="D213" s="2" t="s">
        <v>26</v>
      </c>
      <c r="E213" s="2">
        <v>100</v>
      </c>
      <c r="F213" s="2">
        <v>1953.915</v>
      </c>
    </row>
    <row r="214" spans="3:6" x14ac:dyDescent="0.25">
      <c r="C214" s="2" t="s">
        <v>3874</v>
      </c>
      <c r="D214" s="2" t="s">
        <v>26</v>
      </c>
      <c r="E214" s="2">
        <v>56</v>
      </c>
      <c r="F214" s="2">
        <v>1111.557</v>
      </c>
    </row>
    <row r="215" spans="3:6" x14ac:dyDescent="0.25">
      <c r="C215" s="2" t="s">
        <v>3875</v>
      </c>
      <c r="D215" s="2" t="s">
        <v>15</v>
      </c>
      <c r="E215" s="2">
        <v>29</v>
      </c>
      <c r="F215" s="2">
        <v>588.9</v>
      </c>
    </row>
    <row r="216" spans="3:6" x14ac:dyDescent="0.25">
      <c r="C216" s="2" t="s">
        <v>3876</v>
      </c>
      <c r="D216" s="2" t="s">
        <v>30</v>
      </c>
      <c r="E216" s="2">
        <v>134</v>
      </c>
      <c r="F216" s="2">
        <v>2670.07</v>
      </c>
    </row>
    <row r="217" spans="3:6" x14ac:dyDescent="0.25">
      <c r="C217" s="2" t="s">
        <v>3877</v>
      </c>
      <c r="D217" s="2" t="s">
        <v>30</v>
      </c>
      <c r="E217" s="2">
        <v>134</v>
      </c>
      <c r="F217" s="2">
        <v>2751.399</v>
      </c>
    </row>
    <row r="218" spans="3:6" x14ac:dyDescent="0.25">
      <c r="C218" s="2" t="s">
        <v>3878</v>
      </c>
      <c r="D218" s="2" t="s">
        <v>30</v>
      </c>
      <c r="E218" s="2">
        <v>134</v>
      </c>
      <c r="F218" s="2">
        <v>2627.13</v>
      </c>
    </row>
    <row r="219" spans="3:6" x14ac:dyDescent="0.25">
      <c r="C219" s="2" t="s">
        <v>3879</v>
      </c>
      <c r="D219" s="2" t="s">
        <v>30</v>
      </c>
      <c r="E219" s="2">
        <v>134</v>
      </c>
      <c r="F219" s="2">
        <v>2806.24</v>
      </c>
    </row>
    <row r="220" spans="3:6" x14ac:dyDescent="0.25">
      <c r="C220" s="2" t="s">
        <v>3880</v>
      </c>
      <c r="D220" s="2" t="s">
        <v>30</v>
      </c>
      <c r="E220" s="2">
        <v>134</v>
      </c>
      <c r="F220" s="2">
        <v>2686.889</v>
      </c>
    </row>
    <row r="221" spans="3:6" x14ac:dyDescent="0.25">
      <c r="C221" s="2" t="s">
        <v>3881</v>
      </c>
      <c r="D221" s="2" t="s">
        <v>30</v>
      </c>
      <c r="E221" s="2">
        <v>134</v>
      </c>
      <c r="F221" s="2">
        <v>2592</v>
      </c>
    </row>
    <row r="222" spans="3:6" x14ac:dyDescent="0.25">
      <c r="C222" s="2" t="s">
        <v>3882</v>
      </c>
      <c r="D222" s="2" t="s">
        <v>15</v>
      </c>
      <c r="E222" s="2">
        <v>103</v>
      </c>
      <c r="F222" s="2">
        <v>2017.389</v>
      </c>
    </row>
    <row r="223" spans="3:6" x14ac:dyDescent="0.25">
      <c r="C223" s="2" t="s">
        <v>3883</v>
      </c>
      <c r="D223" s="2" t="s">
        <v>15</v>
      </c>
      <c r="E223" s="2">
        <v>76</v>
      </c>
      <c r="F223" s="2">
        <v>1470</v>
      </c>
    </row>
    <row r="225" spans="1:7" x14ac:dyDescent="0.25">
      <c r="A225" s="1">
        <v>46175</v>
      </c>
      <c r="B225" s="2" t="s">
        <v>1958</v>
      </c>
      <c r="C225" s="2" t="s">
        <v>3884</v>
      </c>
      <c r="D225" s="2" t="s">
        <v>53</v>
      </c>
      <c r="E225" s="2">
        <v>100</v>
      </c>
      <c r="F225" s="2">
        <v>1943</v>
      </c>
      <c r="G225" s="1">
        <v>46174</v>
      </c>
    </row>
    <row r="227" spans="1:7" x14ac:dyDescent="0.25">
      <c r="A227" s="1">
        <v>46175</v>
      </c>
      <c r="B227" s="2" t="s">
        <v>1400</v>
      </c>
      <c r="C227" s="2" t="s">
        <v>3885</v>
      </c>
      <c r="D227" s="2" t="s">
        <v>82</v>
      </c>
      <c r="E227" s="2">
        <v>142</v>
      </c>
      <c r="F227" s="2">
        <v>2792.379</v>
      </c>
      <c r="G227" s="1">
        <v>46174</v>
      </c>
    </row>
    <row r="228" spans="3:6" x14ac:dyDescent="0.25">
      <c r="C228" s="2" t="s">
        <v>3886</v>
      </c>
      <c r="D228" s="2" t="s">
        <v>82</v>
      </c>
      <c r="E228" s="2">
        <v>40</v>
      </c>
      <c r="F228" s="2">
        <v>751.399</v>
      </c>
    </row>
    <row r="229" spans="3:6" x14ac:dyDescent="0.25">
      <c r="C229" s="2" t="s">
        <v>3679</v>
      </c>
      <c r="D229" s="2" t="s">
        <v>82</v>
      </c>
      <c r="E229" s="2">
        <v>41</v>
      </c>
      <c r="F229" s="2">
        <v>855.32</v>
      </c>
    </row>
    <row r="230" spans="3:6" x14ac:dyDescent="0.25">
      <c r="C230" s="2" t="s">
        <v>3678</v>
      </c>
      <c r="D230" s="2" t="s">
        <v>82</v>
      </c>
      <c r="E230" s="2">
        <v>32</v>
      </c>
      <c r="F230" s="2">
        <v>639.519</v>
      </c>
    </row>
    <row r="231" spans="3:6" x14ac:dyDescent="0.25">
      <c r="C231" s="2" t="s">
        <v>3677</v>
      </c>
      <c r="D231" s="2" t="s">
        <v>82</v>
      </c>
      <c r="E231" s="2">
        <v>28</v>
      </c>
      <c r="F231" s="2">
        <v>556.3</v>
      </c>
    </row>
    <row r="232" spans="3:6" x14ac:dyDescent="0.25">
      <c r="C232" s="2" t="s">
        <v>3887</v>
      </c>
      <c r="D232" s="2" t="s">
        <v>82</v>
      </c>
      <c r="E232" s="2">
        <v>40</v>
      </c>
      <c r="F232" s="2">
        <v>805.11</v>
      </c>
    </row>
    <row r="233" spans="3:6" x14ac:dyDescent="0.25">
      <c r="C233" s="2" t="s">
        <v>3682</v>
      </c>
      <c r="D233" s="2" t="s">
        <v>82</v>
      </c>
      <c r="E233" s="2">
        <v>49</v>
      </c>
      <c r="F233" s="2">
        <v>933.35</v>
      </c>
    </row>
    <row r="234" spans="3:6" x14ac:dyDescent="0.25">
      <c r="C234" s="2" t="s">
        <v>3683</v>
      </c>
      <c r="D234" s="2" t="s">
        <v>82</v>
      </c>
      <c r="E234" s="2">
        <v>52</v>
      </c>
      <c r="F234" s="2">
        <v>1095.71</v>
      </c>
    </row>
    <row r="235" spans="3:6" x14ac:dyDescent="0.25">
      <c r="C235" s="2" t="s">
        <v>3888</v>
      </c>
      <c r="D235" s="2" t="s">
        <v>82</v>
      </c>
      <c r="E235" s="2">
        <v>40</v>
      </c>
      <c r="F235" s="2">
        <v>853.35</v>
      </c>
    </row>
    <row r="236" spans="3:6" x14ac:dyDescent="0.25">
      <c r="C236" s="2" t="s">
        <v>3702</v>
      </c>
      <c r="D236" s="2" t="s">
        <v>82</v>
      </c>
      <c r="E236" s="2">
        <v>101</v>
      </c>
      <c r="F236" s="2">
        <v>2085.92</v>
      </c>
    </row>
    <row r="237" spans="3:6" x14ac:dyDescent="0.25">
      <c r="C237" s="2" t="s">
        <v>3889</v>
      </c>
      <c r="D237" s="2" t="s">
        <v>82</v>
      </c>
      <c r="E237" s="2">
        <v>42</v>
      </c>
      <c r="F237" s="2">
        <v>810.56</v>
      </c>
    </row>
    <row r="238" spans="3:6" x14ac:dyDescent="0.25">
      <c r="C238" s="2" t="s">
        <v>3890</v>
      </c>
      <c r="D238" s="2" t="s">
        <v>82</v>
      </c>
      <c r="E238" s="2">
        <v>99</v>
      </c>
      <c r="F238" s="2">
        <v>1960.12</v>
      </c>
    </row>
    <row r="239" spans="3:6" x14ac:dyDescent="0.25">
      <c r="C239" s="2" t="s">
        <v>3703</v>
      </c>
      <c r="D239" s="2" t="s">
        <v>82</v>
      </c>
      <c r="E239" s="2">
        <v>39</v>
      </c>
      <c r="F239" s="2">
        <v>781.99</v>
      </c>
    </row>
    <row r="240" spans="3:6" x14ac:dyDescent="0.25">
      <c r="C240" s="2" t="s">
        <v>3704</v>
      </c>
      <c r="D240" s="2" t="s">
        <v>82</v>
      </c>
      <c r="E240" s="2">
        <v>33</v>
      </c>
      <c r="F240" s="2">
        <v>673.91</v>
      </c>
    </row>
    <row r="241" spans="3:6" x14ac:dyDescent="0.25">
      <c r="C241" s="2" t="s">
        <v>3705</v>
      </c>
      <c r="D241" s="2" t="s">
        <v>82</v>
      </c>
      <c r="E241" s="2">
        <v>29</v>
      </c>
      <c r="F241" s="2">
        <v>569.64</v>
      </c>
    </row>
    <row r="242" spans="3:6" x14ac:dyDescent="0.25">
      <c r="C242" s="2" t="s">
        <v>3891</v>
      </c>
      <c r="D242" s="2" t="s">
        <v>82</v>
      </c>
      <c r="E242" s="2">
        <v>121</v>
      </c>
      <c r="F242" s="2">
        <v>2448.839</v>
      </c>
    </row>
    <row r="243" spans="3:6" x14ac:dyDescent="0.25">
      <c r="C243" s="2" t="s">
        <v>3892</v>
      </c>
      <c r="D243" s="2" t="s">
        <v>82</v>
      </c>
      <c r="E243" s="2">
        <v>121</v>
      </c>
      <c r="F243" s="2">
        <v>2479.04</v>
      </c>
    </row>
    <row r="244" spans="3:6" x14ac:dyDescent="0.25">
      <c r="C244" s="2" t="s">
        <v>3893</v>
      </c>
      <c r="D244" s="2" t="s">
        <v>82</v>
      </c>
      <c r="E244" s="2">
        <v>141</v>
      </c>
      <c r="F244" s="2">
        <v>2922.149</v>
      </c>
    </row>
    <row r="245" spans="3:6" x14ac:dyDescent="0.25">
      <c r="C245" s="2" t="s">
        <v>3894</v>
      </c>
      <c r="D245" s="2" t="s">
        <v>82</v>
      </c>
      <c r="E245" s="2">
        <v>142</v>
      </c>
      <c r="F245" s="2">
        <v>2780.81</v>
      </c>
    </row>
    <row r="246" spans="3:6" x14ac:dyDescent="0.25">
      <c r="C246" s="2" t="s">
        <v>3895</v>
      </c>
      <c r="D246" s="2" t="s">
        <v>82</v>
      </c>
      <c r="E246" s="2">
        <v>30</v>
      </c>
      <c r="F246" s="2">
        <v>611.219</v>
      </c>
    </row>
    <row r="247" spans="3:6" x14ac:dyDescent="0.25">
      <c r="C247" s="2" t="s">
        <v>3896</v>
      </c>
      <c r="D247" s="2" t="s">
        <v>82</v>
      </c>
      <c r="E247" s="2">
        <v>53</v>
      </c>
      <c r="F247" s="2">
        <v>1069.38</v>
      </c>
    </row>
    <row r="248" spans="3:6" x14ac:dyDescent="0.25">
      <c r="C248" s="2" t="s">
        <v>3897</v>
      </c>
      <c r="D248" s="2" t="s">
        <v>82</v>
      </c>
      <c r="E248" s="2">
        <v>58</v>
      </c>
      <c r="F248" s="2">
        <v>1087.735</v>
      </c>
    </row>
    <row r="249" spans="3:6" x14ac:dyDescent="0.25">
      <c r="C249" s="2" t="s">
        <v>3898</v>
      </c>
      <c r="D249" s="2" t="s">
        <v>82</v>
      </c>
      <c r="E249" s="2">
        <v>32</v>
      </c>
      <c r="F249" s="2">
        <v>600.37</v>
      </c>
    </row>
    <row r="250" spans="3:6" x14ac:dyDescent="0.25">
      <c r="C250" s="2" t="s">
        <v>3899</v>
      </c>
      <c r="D250" s="2" t="s">
        <v>82</v>
      </c>
      <c r="E250" s="2">
        <v>25</v>
      </c>
      <c r="F250" s="2">
        <v>477.749</v>
      </c>
    </row>
    <row r="251" spans="3:6" x14ac:dyDescent="0.25">
      <c r="C251" s="2" t="s">
        <v>3900</v>
      </c>
      <c r="D251" s="2" t="s">
        <v>82</v>
      </c>
      <c r="E251" s="2">
        <v>33</v>
      </c>
      <c r="F251" s="2">
        <v>694.38</v>
      </c>
    </row>
    <row r="252" spans="3:6" x14ac:dyDescent="0.25">
      <c r="C252" s="2" t="s">
        <v>3901</v>
      </c>
      <c r="D252" s="2" t="s">
        <v>82</v>
      </c>
      <c r="E252" s="2">
        <v>38</v>
      </c>
      <c r="F252" s="2">
        <v>739.41</v>
      </c>
    </row>
    <row r="253" spans="3:6" x14ac:dyDescent="0.25">
      <c r="C253" s="2" t="s">
        <v>3902</v>
      </c>
      <c r="D253" s="2" t="s">
        <v>82</v>
      </c>
      <c r="E253" s="2">
        <v>13</v>
      </c>
      <c r="F253" s="2">
        <v>244.108</v>
      </c>
    </row>
    <row r="255" spans="1:7" x14ac:dyDescent="0.25">
      <c r="A255" s="1">
        <v>46175</v>
      </c>
      <c r="B255" s="2" t="s">
        <v>7</v>
      </c>
      <c r="C255" s="2" t="s">
        <v>3903</v>
      </c>
      <c r="D255" s="2" t="s">
        <v>9</v>
      </c>
      <c r="E255" s="2">
        <v>99</v>
      </c>
      <c r="F255" s="2">
        <v>1820.097</v>
      </c>
      <c r="G255" s="1">
        <v>46174</v>
      </c>
    </row>
    <row r="256" spans="3:6" x14ac:dyDescent="0.25">
      <c r="C256" s="2" t="s">
        <v>3904</v>
      </c>
      <c r="D256" s="2" t="s">
        <v>9</v>
      </c>
      <c r="E256" s="2">
        <v>99</v>
      </c>
      <c r="F256" s="2">
        <v>2026.65</v>
      </c>
    </row>
    <row r="258" spans="1:7" x14ac:dyDescent="0.25">
      <c r="A258" s="1">
        <v>46175</v>
      </c>
      <c r="B258" s="2" t="s">
        <v>3905</v>
      </c>
      <c r="C258" s="2" t="s">
        <v>3906</v>
      </c>
      <c r="D258" s="2" t="s">
        <v>59</v>
      </c>
      <c r="E258" s="2">
        <v>105</v>
      </c>
      <c r="F258" s="2">
        <v>2091.088</v>
      </c>
      <c r="G258" s="1">
        <v>46174</v>
      </c>
    </row>
    <row r="259" spans="3:6" x14ac:dyDescent="0.25">
      <c r="C259" s="2" t="s">
        <v>3907</v>
      </c>
      <c r="D259" s="2" t="s">
        <v>59</v>
      </c>
      <c r="E259" s="2">
        <v>275</v>
      </c>
      <c r="F259" s="2">
        <v>4668.694</v>
      </c>
    </row>
    <row r="260" spans="3:6" x14ac:dyDescent="0.25">
      <c r="C260" s="2" t="s">
        <v>3908</v>
      </c>
      <c r="D260" s="2" t="s">
        <v>59</v>
      </c>
      <c r="E260" s="2">
        <v>124</v>
      </c>
      <c r="F260" s="2">
        <v>2766.099</v>
      </c>
    </row>
    <row r="261" spans="3:6" x14ac:dyDescent="0.25">
      <c r="C261" s="2" t="s">
        <v>3909</v>
      </c>
      <c r="D261" s="2" t="s">
        <v>59</v>
      </c>
      <c r="E261" s="2">
        <v>105</v>
      </c>
      <c r="F261" s="2">
        <v>2012.54</v>
      </c>
    </row>
    <row r="262" spans="3:6" x14ac:dyDescent="0.25">
      <c r="C262" s="2" t="s">
        <v>3910</v>
      </c>
      <c r="D262" s="2" t="s">
        <v>59</v>
      </c>
      <c r="E262" s="2">
        <v>105</v>
      </c>
      <c r="F262" s="2">
        <v>2109.305</v>
      </c>
    </row>
    <row r="263" spans="3:6" x14ac:dyDescent="0.25">
      <c r="C263" s="2" t="s">
        <v>3911</v>
      </c>
      <c r="D263" s="2" t="s">
        <v>59</v>
      </c>
      <c r="E263" s="2">
        <v>163</v>
      </c>
      <c r="F263" s="2">
        <v>3172.77</v>
      </c>
    </row>
    <row r="264" spans="3:6" x14ac:dyDescent="0.25">
      <c r="C264" s="2" t="s">
        <v>3912</v>
      </c>
      <c r="D264" s="2" t="s">
        <v>59</v>
      </c>
      <c r="E264" s="2">
        <v>163</v>
      </c>
      <c r="F264" s="2">
        <v>3207.039</v>
      </c>
    </row>
    <row r="266" spans="1:7" x14ac:dyDescent="0.25">
      <c r="A266" s="1">
        <v>46175</v>
      </c>
      <c r="B266" s="2" t="s">
        <v>1626</v>
      </c>
      <c r="C266" s="2" t="s">
        <v>3913</v>
      </c>
      <c r="D266" s="2" t="s">
        <v>59</v>
      </c>
      <c r="E266" s="2">
        <v>149</v>
      </c>
      <c r="F266" s="2">
        <v>2791.819</v>
      </c>
      <c r="G266" s="1">
        <v>46174</v>
      </c>
    </row>
    <row r="267" spans="3:6" x14ac:dyDescent="0.25">
      <c r="C267" s="2" t="s">
        <v>3914</v>
      </c>
      <c r="D267" s="2" t="s">
        <v>59</v>
      </c>
      <c r="E267" s="2">
        <v>295</v>
      </c>
      <c r="F267" s="2">
        <v>5612.173</v>
      </c>
    </row>
    <row r="268" spans="3:6" x14ac:dyDescent="0.25">
      <c r="C268" s="2" t="s">
        <v>3915</v>
      </c>
      <c r="D268" s="2" t="s">
        <v>59</v>
      </c>
      <c r="E268" s="2">
        <v>169</v>
      </c>
      <c r="F268" s="2">
        <v>3948</v>
      </c>
    </row>
    <row r="269" spans="3:6" x14ac:dyDescent="0.25">
      <c r="C269" s="2" t="s">
        <v>3916</v>
      </c>
      <c r="D269" s="2" t="s">
        <v>59</v>
      </c>
      <c r="E269" s="2">
        <v>251</v>
      </c>
      <c r="F269" s="2">
        <v>4726.658</v>
      </c>
    </row>
    <row r="270" spans="3:6" x14ac:dyDescent="0.25">
      <c r="C270" s="2" t="s">
        <v>3917</v>
      </c>
      <c r="D270" s="2" t="s">
        <v>59</v>
      </c>
      <c r="E270" s="2">
        <v>149</v>
      </c>
      <c r="F270" s="2">
        <v>2713.359</v>
      </c>
    </row>
    <row r="271" spans="3:6" x14ac:dyDescent="0.25">
      <c r="C271" s="2" t="s">
        <v>3918</v>
      </c>
      <c r="D271" s="2" t="s">
        <v>59</v>
      </c>
      <c r="E271" s="2">
        <v>149</v>
      </c>
      <c r="F271" s="2">
        <v>2743.03</v>
      </c>
    </row>
    <row r="272" spans="3:6" x14ac:dyDescent="0.25">
      <c r="C272" s="2" t="s">
        <v>3919</v>
      </c>
      <c r="D272" s="2" t="s">
        <v>59</v>
      </c>
      <c r="E272" s="2">
        <v>102</v>
      </c>
      <c r="F272" s="2">
        <v>2013.824</v>
      </c>
    </row>
    <row r="273" spans="3:6" x14ac:dyDescent="0.25">
      <c r="C273" s="2" t="s">
        <v>3920</v>
      </c>
      <c r="D273" s="2" t="s">
        <v>59</v>
      </c>
      <c r="E273" s="2">
        <v>102</v>
      </c>
      <c r="F273" s="2">
        <v>2017.73</v>
      </c>
    </row>
    <row r="274" spans="3:6" x14ac:dyDescent="0.25">
      <c r="C274" s="2" t="s">
        <v>3921</v>
      </c>
      <c r="D274" s="2" t="s">
        <v>59</v>
      </c>
      <c r="E274" s="2">
        <v>149</v>
      </c>
      <c r="F274" s="2">
        <v>2780.11</v>
      </c>
    </row>
    <row r="276" spans="1:7" x14ac:dyDescent="0.25">
      <c r="A276" s="1">
        <v>46175</v>
      </c>
      <c r="B276" s="2" t="s">
        <v>361</v>
      </c>
      <c r="C276" s="2" t="s">
        <v>3922</v>
      </c>
      <c r="D276" s="2" t="s">
        <v>70</v>
      </c>
      <c r="E276" s="2">
        <v>154</v>
      </c>
      <c r="F276" s="2">
        <v>2851</v>
      </c>
      <c r="G276" s="1">
        <v>46174</v>
      </c>
    </row>
    <row r="278" spans="1:7" x14ac:dyDescent="0.25">
      <c r="A278" s="1">
        <v>46176</v>
      </c>
      <c r="B278" s="2" t="s">
        <v>1958</v>
      </c>
      <c r="C278" s="2" t="s">
        <v>3923</v>
      </c>
      <c r="D278" s="2" t="s">
        <v>53</v>
      </c>
      <c r="E278" s="2">
        <v>100</v>
      </c>
      <c r="F278" s="2">
        <v>1943</v>
      </c>
      <c r="G278" s="1">
        <v>46176</v>
      </c>
    </row>
    <row r="280" spans="1:7" x14ac:dyDescent="0.25">
      <c r="A280" s="1">
        <v>46176</v>
      </c>
      <c r="B280" s="2" t="s">
        <v>1400</v>
      </c>
      <c r="C280" s="2" t="s">
        <v>3924</v>
      </c>
      <c r="D280" s="2" t="s">
        <v>82</v>
      </c>
      <c r="E280" s="2">
        <v>121</v>
      </c>
      <c r="F280" s="2">
        <v>2412.6</v>
      </c>
      <c r="G280" s="1">
        <v>46176</v>
      </c>
    </row>
    <row r="281" spans="3:6" x14ac:dyDescent="0.25">
      <c r="C281" s="2" t="s">
        <v>3925</v>
      </c>
      <c r="D281" s="2" t="s">
        <v>82</v>
      </c>
      <c r="E281" s="2">
        <v>121</v>
      </c>
      <c r="F281" s="2">
        <v>2509.32</v>
      </c>
    </row>
    <row r="282" spans="3:6" x14ac:dyDescent="0.25">
      <c r="C282" s="2" t="s">
        <v>3926</v>
      </c>
      <c r="D282" s="2" t="s">
        <v>82</v>
      </c>
      <c r="E282" s="2">
        <v>141</v>
      </c>
      <c r="F282" s="2">
        <v>2907.13</v>
      </c>
    </row>
    <row r="283" spans="3:6" x14ac:dyDescent="0.25">
      <c r="C283" s="2" t="s">
        <v>3927</v>
      </c>
      <c r="D283" s="2" t="s">
        <v>82</v>
      </c>
      <c r="E283" s="2">
        <v>141</v>
      </c>
      <c r="F283" s="2">
        <v>2891.59</v>
      </c>
    </row>
    <row r="284" spans="3:6" x14ac:dyDescent="0.25">
      <c r="C284" s="2" t="s">
        <v>3928</v>
      </c>
      <c r="D284" s="2" t="s">
        <v>82</v>
      </c>
      <c r="E284" s="2">
        <v>141</v>
      </c>
      <c r="F284" s="2">
        <v>2821.51</v>
      </c>
    </row>
    <row r="285" spans="3:6" x14ac:dyDescent="0.25">
      <c r="C285" s="2" t="s">
        <v>3929</v>
      </c>
      <c r="D285" s="2" t="s">
        <v>82</v>
      </c>
      <c r="E285" s="2">
        <v>143</v>
      </c>
      <c r="F285" s="2">
        <v>2680.968</v>
      </c>
    </row>
    <row r="286" spans="3:6" x14ac:dyDescent="0.25">
      <c r="C286" s="2" t="s">
        <v>3930</v>
      </c>
      <c r="D286" s="2" t="s">
        <v>82</v>
      </c>
      <c r="E286" s="2">
        <v>2</v>
      </c>
      <c r="F286" s="2">
        <v>15.25</v>
      </c>
    </row>
    <row r="287" spans="3:6" x14ac:dyDescent="0.25">
      <c r="C287" s="2" t="s">
        <v>3931</v>
      </c>
      <c r="D287" s="2" t="s">
        <v>82</v>
      </c>
      <c r="E287" s="2">
        <v>81</v>
      </c>
      <c r="F287" s="2">
        <v>1609.92</v>
      </c>
    </row>
    <row r="288" spans="3:6" x14ac:dyDescent="0.25">
      <c r="C288" s="2" t="s">
        <v>3932</v>
      </c>
      <c r="D288" s="2" t="s">
        <v>82</v>
      </c>
      <c r="E288" s="2">
        <v>59</v>
      </c>
      <c r="F288" s="2">
        <v>1138.58</v>
      </c>
    </row>
    <row r="289" spans="3:6" x14ac:dyDescent="0.25">
      <c r="C289" s="2" t="s">
        <v>3933</v>
      </c>
      <c r="D289" s="2" t="s">
        <v>82</v>
      </c>
      <c r="E289" s="2">
        <v>101</v>
      </c>
      <c r="F289" s="2">
        <v>1987.88</v>
      </c>
    </row>
    <row r="290" spans="3:6" x14ac:dyDescent="0.25">
      <c r="C290" s="2" t="s">
        <v>3934</v>
      </c>
      <c r="D290" s="2" t="s">
        <v>82</v>
      </c>
      <c r="E290" s="2">
        <v>40</v>
      </c>
      <c r="F290" s="2">
        <v>807.75</v>
      </c>
    </row>
    <row r="291" spans="3:6" x14ac:dyDescent="0.25">
      <c r="C291" s="2" t="s">
        <v>3935</v>
      </c>
      <c r="D291" s="2" t="s">
        <v>82</v>
      </c>
      <c r="E291" s="2">
        <v>23</v>
      </c>
      <c r="F291" s="2">
        <v>428.35</v>
      </c>
    </row>
    <row r="292" spans="3:6" x14ac:dyDescent="0.25">
      <c r="C292" s="2" t="s">
        <v>3936</v>
      </c>
      <c r="D292" s="2" t="s">
        <v>82</v>
      </c>
      <c r="E292" s="2">
        <v>84</v>
      </c>
      <c r="F292" s="2">
        <v>1712.8</v>
      </c>
    </row>
    <row r="293" spans="3:6" x14ac:dyDescent="0.25">
      <c r="C293" s="2" t="s">
        <v>3937</v>
      </c>
      <c r="D293" s="2" t="s">
        <v>82</v>
      </c>
      <c r="E293" s="2">
        <v>35</v>
      </c>
      <c r="F293" s="2">
        <v>747.07</v>
      </c>
    </row>
    <row r="294" spans="3:6" x14ac:dyDescent="0.25">
      <c r="C294" s="2" t="s">
        <v>3938</v>
      </c>
      <c r="D294" s="2" t="s">
        <v>82</v>
      </c>
      <c r="E294" s="2">
        <v>21</v>
      </c>
      <c r="F294" s="2">
        <v>405.589</v>
      </c>
    </row>
    <row r="295" spans="3:6" x14ac:dyDescent="0.25">
      <c r="C295" s="2" t="s">
        <v>3939</v>
      </c>
      <c r="D295" s="2" t="s">
        <v>82</v>
      </c>
      <c r="E295" s="2">
        <v>80</v>
      </c>
      <c r="F295" s="2">
        <v>1591.96</v>
      </c>
    </row>
    <row r="296" spans="3:6" x14ac:dyDescent="0.25">
      <c r="C296" s="2" t="s">
        <v>3940</v>
      </c>
      <c r="D296" s="2" t="s">
        <v>82</v>
      </c>
      <c r="E296" s="2">
        <v>28</v>
      </c>
      <c r="F296" s="2">
        <v>526.87</v>
      </c>
    </row>
    <row r="297" spans="3:6" x14ac:dyDescent="0.25">
      <c r="C297" s="2" t="s">
        <v>3941</v>
      </c>
      <c r="D297" s="2" t="s">
        <v>82</v>
      </c>
      <c r="E297" s="2">
        <v>114</v>
      </c>
      <c r="F297" s="2">
        <v>2396.45</v>
      </c>
    </row>
    <row r="299" spans="1:7" x14ac:dyDescent="0.25">
      <c r="A299" s="1">
        <v>46176</v>
      </c>
      <c r="B299" s="2" t="s">
        <v>1012</v>
      </c>
      <c r="C299" s="2" t="s">
        <v>3942</v>
      </c>
      <c r="D299" s="2" t="s">
        <v>73</v>
      </c>
      <c r="E299" s="2">
        <v>48</v>
      </c>
      <c r="F299" s="2">
        <v>1002.33</v>
      </c>
      <c r="G299" s="1">
        <v>46175</v>
      </c>
    </row>
    <row r="300" spans="3:6" x14ac:dyDescent="0.25">
      <c r="C300" s="2" t="s">
        <v>3943</v>
      </c>
      <c r="D300" s="2" t="s">
        <v>73</v>
      </c>
      <c r="E300" s="2">
        <v>29</v>
      </c>
      <c r="F300" s="2">
        <v>480.26</v>
      </c>
    </row>
    <row r="301" spans="3:6" x14ac:dyDescent="0.25">
      <c r="C301" s="2" t="s">
        <v>3944</v>
      </c>
      <c r="D301" s="2" t="s">
        <v>73</v>
      </c>
      <c r="E301" s="2">
        <v>98</v>
      </c>
      <c r="F301" s="2">
        <v>1836.43</v>
      </c>
    </row>
    <row r="302" spans="3:6" x14ac:dyDescent="0.25">
      <c r="C302" s="2" t="s">
        <v>3945</v>
      </c>
      <c r="D302" s="2" t="s">
        <v>73</v>
      </c>
      <c r="E302" s="2">
        <v>21</v>
      </c>
      <c r="F302" s="2">
        <v>507.71</v>
      </c>
    </row>
    <row r="303" spans="3:6" x14ac:dyDescent="0.25">
      <c r="C303" s="2" t="s">
        <v>3946</v>
      </c>
      <c r="D303" s="2" t="s">
        <v>73</v>
      </c>
      <c r="E303" s="2">
        <v>65</v>
      </c>
      <c r="F303" s="2">
        <v>1159.98</v>
      </c>
    </row>
    <row r="304" spans="3:6" x14ac:dyDescent="0.25">
      <c r="C304" s="2" t="s">
        <v>3947</v>
      </c>
      <c r="D304" s="2" t="s">
        <v>73</v>
      </c>
      <c r="E304" s="2">
        <v>9</v>
      </c>
      <c r="F304" s="2">
        <v>189.35</v>
      </c>
    </row>
    <row r="306" spans="1:7" x14ac:dyDescent="0.25">
      <c r="A306" s="1">
        <v>46176</v>
      </c>
      <c r="B306" s="2" t="s">
        <v>3948</v>
      </c>
      <c r="C306" s="2" t="s">
        <v>3949</v>
      </c>
      <c r="D306" s="2" t="s">
        <v>178</v>
      </c>
      <c r="E306" s="2">
        <v>226</v>
      </c>
      <c r="F306" s="2">
        <v>4454.739</v>
      </c>
      <c r="G306" s="1">
        <v>46176</v>
      </c>
    </row>
    <row r="307" spans="3:6" x14ac:dyDescent="0.25">
      <c r="C307" s="2" t="s">
        <v>3950</v>
      </c>
      <c r="D307" s="2" t="s">
        <v>178</v>
      </c>
      <c r="E307" s="2">
        <v>102</v>
      </c>
      <c r="F307" s="2">
        <v>1910.36</v>
      </c>
    </row>
    <row r="308" spans="3:6" x14ac:dyDescent="0.25">
      <c r="C308" s="2" t="s">
        <v>3951</v>
      </c>
      <c r="D308" s="2" t="s">
        <v>178</v>
      </c>
      <c r="E308" s="2">
        <v>102</v>
      </c>
      <c r="F308" s="2">
        <v>1950.88</v>
      </c>
    </row>
    <row r="309" spans="3:6" x14ac:dyDescent="0.25">
      <c r="C309" s="2" t="s">
        <v>3952</v>
      </c>
      <c r="D309" s="2" t="s">
        <v>178</v>
      </c>
      <c r="E309" s="2">
        <v>102</v>
      </c>
      <c r="F309" s="2">
        <v>2110.63</v>
      </c>
    </row>
    <row r="310" spans="3:6" x14ac:dyDescent="0.25">
      <c r="C310" s="2" t="s">
        <v>3953</v>
      </c>
      <c r="D310" s="2" t="s">
        <v>178</v>
      </c>
      <c r="E310" s="2">
        <v>258</v>
      </c>
      <c r="F310" s="2">
        <v>5269.03</v>
      </c>
    </row>
    <row r="311" spans="3:6" x14ac:dyDescent="0.25">
      <c r="C311" s="2" t="s">
        <v>3954</v>
      </c>
      <c r="D311" s="2" t="s">
        <v>178</v>
      </c>
      <c r="E311" s="2">
        <v>141</v>
      </c>
      <c r="F311" s="2">
        <v>2685.324</v>
      </c>
    </row>
    <row r="312" spans="3:6" x14ac:dyDescent="0.25">
      <c r="C312" s="2" t="s">
        <v>3955</v>
      </c>
      <c r="D312" s="2" t="s">
        <v>178</v>
      </c>
      <c r="E312" s="2">
        <v>102</v>
      </c>
      <c r="F312" s="2">
        <v>1908.86</v>
      </c>
    </row>
    <row r="313" spans="3:6" x14ac:dyDescent="0.25">
      <c r="C313" s="2" t="s">
        <v>3956</v>
      </c>
      <c r="D313" s="2" t="s">
        <v>178</v>
      </c>
      <c r="E313" s="2">
        <v>45</v>
      </c>
      <c r="F313" s="2">
        <v>212.58</v>
      </c>
    </row>
    <row r="314" spans="3:6" x14ac:dyDescent="0.25">
      <c r="C314" s="2" t="s">
        <v>3957</v>
      </c>
      <c r="D314" s="2" t="s">
        <v>178</v>
      </c>
      <c r="E314" s="2">
        <v>141</v>
      </c>
      <c r="F314" s="2">
        <v>2991.549</v>
      </c>
    </row>
    <row r="315" spans="3:6" x14ac:dyDescent="0.25">
      <c r="C315" s="2" t="s">
        <v>3958</v>
      </c>
      <c r="D315" s="2" t="s">
        <v>178</v>
      </c>
      <c r="E315" s="2">
        <v>141</v>
      </c>
      <c r="F315" s="2">
        <v>2986.91</v>
      </c>
    </row>
    <row r="316" spans="3:6" x14ac:dyDescent="0.25">
      <c r="C316" s="2" t="s">
        <v>3959</v>
      </c>
      <c r="D316" s="2" t="s">
        <v>178</v>
      </c>
      <c r="E316" s="2">
        <v>141</v>
      </c>
      <c r="F316" s="2">
        <v>2912.76</v>
      </c>
    </row>
    <row r="317" spans="3:6" x14ac:dyDescent="0.25">
      <c r="C317" s="2" t="s">
        <v>3960</v>
      </c>
      <c r="D317" s="2" t="s">
        <v>178</v>
      </c>
      <c r="E317" s="2">
        <v>102</v>
      </c>
      <c r="F317" s="2">
        <v>1996.25</v>
      </c>
    </row>
    <row r="318" spans="3:6" x14ac:dyDescent="0.25">
      <c r="C318" s="2" t="s">
        <v>3961</v>
      </c>
      <c r="D318" s="2" t="s">
        <v>178</v>
      </c>
      <c r="E318" s="2">
        <v>30</v>
      </c>
      <c r="F318" s="2">
        <v>131.12</v>
      </c>
    </row>
    <row r="319" spans="3:6" x14ac:dyDescent="0.25">
      <c r="C319" s="2" t="s">
        <v>3962</v>
      </c>
      <c r="D319" s="2" t="s">
        <v>178</v>
      </c>
      <c r="E319" s="2">
        <v>141</v>
      </c>
      <c r="F319" s="2">
        <v>2554.07</v>
      </c>
    </row>
    <row r="320" spans="3:6" x14ac:dyDescent="0.25">
      <c r="C320" s="2" t="s">
        <v>3963</v>
      </c>
      <c r="D320" s="2" t="s">
        <v>178</v>
      </c>
      <c r="E320" s="2">
        <v>141</v>
      </c>
      <c r="F320" s="2">
        <v>2809.178</v>
      </c>
    </row>
    <row r="321" spans="3:6" x14ac:dyDescent="0.25">
      <c r="C321" s="2" t="s">
        <v>3964</v>
      </c>
      <c r="D321" s="2" t="s">
        <v>178</v>
      </c>
      <c r="E321" s="2">
        <v>122</v>
      </c>
      <c r="F321" s="2">
        <v>2135.77</v>
      </c>
    </row>
    <row r="322" spans="3:6" x14ac:dyDescent="0.25">
      <c r="C322" s="2" t="s">
        <v>3965</v>
      </c>
      <c r="D322" s="2" t="s">
        <v>178</v>
      </c>
      <c r="E322" s="2">
        <v>123</v>
      </c>
      <c r="F322" s="2">
        <v>2352.06</v>
      </c>
    </row>
    <row r="323" spans="3:6" x14ac:dyDescent="0.25">
      <c r="C323" s="2" t="s">
        <v>3966</v>
      </c>
      <c r="D323" s="2" t="s">
        <v>178</v>
      </c>
      <c r="E323" s="2">
        <v>282</v>
      </c>
      <c r="F323" s="2">
        <v>5639.99</v>
      </c>
    </row>
    <row r="324" spans="3:6" x14ac:dyDescent="0.25">
      <c r="C324" s="2" t="s">
        <v>3967</v>
      </c>
      <c r="D324" s="2" t="s">
        <v>178</v>
      </c>
      <c r="E324" s="2">
        <v>243</v>
      </c>
      <c r="F324" s="2">
        <v>5073.98</v>
      </c>
    </row>
    <row r="325" spans="3:6" x14ac:dyDescent="0.25">
      <c r="C325" s="2" t="s">
        <v>3968</v>
      </c>
      <c r="D325" s="2" t="s">
        <v>178</v>
      </c>
      <c r="E325" s="2">
        <v>141</v>
      </c>
      <c r="F325" s="2">
        <v>2845.59</v>
      </c>
    </row>
    <row r="326" spans="3:6" x14ac:dyDescent="0.25">
      <c r="C326" s="2" t="s">
        <v>3969</v>
      </c>
      <c r="D326" s="2" t="s">
        <v>178</v>
      </c>
      <c r="E326" s="2">
        <v>141</v>
      </c>
      <c r="F326" s="2">
        <v>2863.359</v>
      </c>
    </row>
    <row r="327" spans="3:6" x14ac:dyDescent="0.25">
      <c r="C327" s="2" t="s">
        <v>3970</v>
      </c>
      <c r="D327" s="2" t="s">
        <v>178</v>
      </c>
      <c r="E327" s="2">
        <v>141</v>
      </c>
      <c r="F327" s="2">
        <v>2681.747</v>
      </c>
    </row>
    <row r="328" spans="3:6" x14ac:dyDescent="0.25">
      <c r="C328" s="2" t="s">
        <v>3971</v>
      </c>
      <c r="D328" s="2" t="s">
        <v>178</v>
      </c>
      <c r="E328" s="2">
        <v>59</v>
      </c>
      <c r="F328" s="2">
        <v>1093.91</v>
      </c>
    </row>
    <row r="329" spans="3:6" x14ac:dyDescent="0.25">
      <c r="C329" s="2" t="s">
        <v>3972</v>
      </c>
      <c r="D329" s="2" t="s">
        <v>178</v>
      </c>
      <c r="E329" s="2">
        <v>24</v>
      </c>
      <c r="F329" s="2">
        <v>478.89</v>
      </c>
    </row>
    <row r="330" spans="3:6" x14ac:dyDescent="0.25">
      <c r="C330" s="2" t="s">
        <v>3973</v>
      </c>
      <c r="D330" s="2" t="s">
        <v>178</v>
      </c>
      <c r="E330" s="2">
        <v>52</v>
      </c>
      <c r="F330" s="2">
        <v>1078.69</v>
      </c>
    </row>
    <row r="331" spans="3:6" x14ac:dyDescent="0.25">
      <c r="C331" s="2" t="s">
        <v>3974</v>
      </c>
      <c r="D331" s="2" t="s">
        <v>178</v>
      </c>
      <c r="E331" s="2">
        <v>6</v>
      </c>
      <c r="F331" s="2">
        <v>121.65</v>
      </c>
    </row>
    <row r="332" spans="3:6" x14ac:dyDescent="0.25">
      <c r="C332" s="2" t="s">
        <v>3975</v>
      </c>
      <c r="D332" s="2" t="s">
        <v>178</v>
      </c>
      <c r="E332" s="2">
        <v>141</v>
      </c>
      <c r="F332" s="2">
        <v>2897.76</v>
      </c>
    </row>
    <row r="333" spans="3:6" x14ac:dyDescent="0.25">
      <c r="C333" s="2" t="s">
        <v>3976</v>
      </c>
      <c r="D333" s="2" t="s">
        <v>178</v>
      </c>
      <c r="E333" s="2">
        <v>141</v>
      </c>
      <c r="F333" s="2">
        <v>2899.47</v>
      </c>
    </row>
    <row r="334" spans="3:6" x14ac:dyDescent="0.25">
      <c r="C334" s="2" t="s">
        <v>3977</v>
      </c>
      <c r="D334" s="2" t="s">
        <v>178</v>
      </c>
      <c r="E334" s="2">
        <v>84</v>
      </c>
      <c r="F334" s="2">
        <v>1634.76</v>
      </c>
    </row>
    <row r="335" spans="3:6" x14ac:dyDescent="0.25">
      <c r="C335" s="2" t="s">
        <v>3978</v>
      </c>
      <c r="D335" s="2" t="s">
        <v>178</v>
      </c>
      <c r="E335" s="2">
        <v>57</v>
      </c>
      <c r="F335" s="2">
        <v>1177.87</v>
      </c>
    </row>
    <row r="336" spans="3:6" x14ac:dyDescent="0.25">
      <c r="C336" s="2" t="s">
        <v>3979</v>
      </c>
      <c r="D336" s="2" t="s">
        <v>178</v>
      </c>
      <c r="E336" s="2">
        <v>15</v>
      </c>
      <c r="F336" s="2">
        <v>247.66</v>
      </c>
    </row>
    <row r="337" spans="3:6" x14ac:dyDescent="0.25">
      <c r="C337" s="2" t="s">
        <v>3980</v>
      </c>
      <c r="D337" s="2" t="s">
        <v>178</v>
      </c>
      <c r="E337" s="2">
        <v>38</v>
      </c>
      <c r="F337" s="2">
        <v>817.31</v>
      </c>
    </row>
    <row r="338" spans="3:6" x14ac:dyDescent="0.25">
      <c r="C338" s="2" t="s">
        <v>3981</v>
      </c>
      <c r="D338" s="2" t="s">
        <v>178</v>
      </c>
      <c r="E338" s="2">
        <v>23</v>
      </c>
      <c r="F338" s="2">
        <v>468.37</v>
      </c>
    </row>
    <row r="339" spans="3:6" x14ac:dyDescent="0.25">
      <c r="C339" s="2" t="s">
        <v>3982</v>
      </c>
      <c r="D339" s="2" t="s">
        <v>178</v>
      </c>
      <c r="E339" s="2">
        <v>80</v>
      </c>
      <c r="F339" s="2">
        <v>1627.64</v>
      </c>
    </row>
    <row r="340" spans="3:6" x14ac:dyDescent="0.25">
      <c r="C340" s="2" t="s">
        <v>3983</v>
      </c>
      <c r="D340" s="2" t="s">
        <v>178</v>
      </c>
      <c r="E340" s="2">
        <v>61</v>
      </c>
      <c r="F340" s="2">
        <v>1292.92</v>
      </c>
    </row>
    <row r="341" spans="3:6" x14ac:dyDescent="0.25">
      <c r="C341" s="2" t="s">
        <v>3984</v>
      </c>
      <c r="D341" s="2" t="s">
        <v>178</v>
      </c>
      <c r="E341" s="2">
        <v>141</v>
      </c>
      <c r="F341" s="2">
        <v>2840.619</v>
      </c>
    </row>
    <row r="342" spans="3:6" x14ac:dyDescent="0.25">
      <c r="C342" s="2" t="s">
        <v>3985</v>
      </c>
      <c r="D342" s="2" t="s">
        <v>178</v>
      </c>
      <c r="E342" s="2">
        <v>141</v>
      </c>
      <c r="F342" s="2">
        <v>2849.389</v>
      </c>
    </row>
    <row r="343" spans="3:6" x14ac:dyDescent="0.25">
      <c r="C343" s="2" t="s">
        <v>3986</v>
      </c>
      <c r="D343" s="2" t="s">
        <v>178</v>
      </c>
      <c r="E343" s="2">
        <v>30</v>
      </c>
      <c r="F343" s="2">
        <v>595.65</v>
      </c>
    </row>
    <row r="344" spans="3:6" x14ac:dyDescent="0.25">
      <c r="C344" s="2" t="s">
        <v>3987</v>
      </c>
      <c r="D344" s="2" t="s">
        <v>178</v>
      </c>
      <c r="E344" s="2">
        <v>80</v>
      </c>
      <c r="F344" s="2">
        <v>1692.19</v>
      </c>
    </row>
    <row r="345" spans="3:6" x14ac:dyDescent="0.25">
      <c r="C345" s="2" t="s">
        <v>3988</v>
      </c>
      <c r="D345" s="2" t="s">
        <v>178</v>
      </c>
      <c r="E345" s="2">
        <v>31</v>
      </c>
      <c r="F345" s="2">
        <v>590.43</v>
      </c>
    </row>
    <row r="347" spans="1:7" x14ac:dyDescent="0.25">
      <c r="A347" s="1">
        <v>46176</v>
      </c>
      <c r="B347" s="2" t="s">
        <v>229</v>
      </c>
      <c r="C347" s="2" t="s">
        <v>3989</v>
      </c>
      <c r="D347" s="2" t="s">
        <v>292</v>
      </c>
      <c r="E347" s="2">
        <v>141</v>
      </c>
      <c r="F347" s="2">
        <v>2878.84</v>
      </c>
      <c r="G347" s="1">
        <v>46175</v>
      </c>
    </row>
    <row r="348" spans="3:6" x14ac:dyDescent="0.25">
      <c r="C348" s="2" t="s">
        <v>3990</v>
      </c>
      <c r="D348" s="2" t="s">
        <v>292</v>
      </c>
      <c r="E348" s="2">
        <v>102</v>
      </c>
      <c r="F348" s="2">
        <v>2023.67</v>
      </c>
    </row>
    <row r="349" spans="3:6" x14ac:dyDescent="0.25">
      <c r="C349" s="2" t="s">
        <v>3991</v>
      </c>
      <c r="D349" s="2" t="s">
        <v>292</v>
      </c>
      <c r="E349" s="2">
        <v>102</v>
      </c>
      <c r="F349" s="2">
        <v>2065.06</v>
      </c>
    </row>
    <row r="350" spans="3:6" x14ac:dyDescent="0.25">
      <c r="C350" s="2" t="s">
        <v>3992</v>
      </c>
      <c r="D350" s="2" t="s">
        <v>292</v>
      </c>
      <c r="E350" s="2">
        <v>141</v>
      </c>
      <c r="F350" s="2">
        <v>2825.88</v>
      </c>
    </row>
    <row r="351" spans="3:6" x14ac:dyDescent="0.25">
      <c r="C351" s="2" t="s">
        <v>3993</v>
      </c>
      <c r="D351" s="2" t="s">
        <v>292</v>
      </c>
      <c r="E351" s="2">
        <v>98</v>
      </c>
      <c r="F351" s="2">
        <v>1913.238</v>
      </c>
    </row>
    <row r="352" spans="3:6" x14ac:dyDescent="0.25">
      <c r="C352" s="2" t="s">
        <v>3993</v>
      </c>
      <c r="D352" s="2" t="s">
        <v>292</v>
      </c>
      <c r="E352" s="2">
        <v>98</v>
      </c>
      <c r="F352" s="2">
        <v>1913.238</v>
      </c>
    </row>
    <row r="353" spans="3:6" x14ac:dyDescent="0.25">
      <c r="C353" s="2" t="s">
        <v>3994</v>
      </c>
      <c r="D353" s="2" t="s">
        <v>292</v>
      </c>
      <c r="E353" s="2">
        <v>72</v>
      </c>
      <c r="F353" s="2">
        <v>1456.34</v>
      </c>
    </row>
    <row r="354" spans="3:6" x14ac:dyDescent="0.25">
      <c r="C354" s="2" t="s">
        <v>3995</v>
      </c>
      <c r="D354" s="2" t="s">
        <v>292</v>
      </c>
      <c r="E354" s="2">
        <v>103</v>
      </c>
      <c r="F354" s="2">
        <v>1373.077</v>
      </c>
    </row>
    <row r="355" spans="3:6" x14ac:dyDescent="0.25">
      <c r="C355" s="2" t="s">
        <v>3996</v>
      </c>
      <c r="D355" s="2" t="s">
        <v>292</v>
      </c>
      <c r="E355" s="2">
        <v>123</v>
      </c>
      <c r="F355" s="2">
        <v>2546.299</v>
      </c>
    </row>
    <row r="356" spans="3:6" x14ac:dyDescent="0.25">
      <c r="C356" s="2" t="s">
        <v>3997</v>
      </c>
      <c r="D356" s="2" t="s">
        <v>292</v>
      </c>
      <c r="E356" s="2">
        <v>111</v>
      </c>
      <c r="F356" s="2">
        <v>2339.979</v>
      </c>
    </row>
    <row r="357" spans="3:6" x14ac:dyDescent="0.25">
      <c r="C357" s="2" t="s">
        <v>3998</v>
      </c>
      <c r="D357" s="2" t="s">
        <v>292</v>
      </c>
      <c r="E357" s="2">
        <v>126</v>
      </c>
      <c r="F357" s="2">
        <v>2467.03</v>
      </c>
    </row>
    <row r="358" spans="3:6" x14ac:dyDescent="0.25">
      <c r="C358" s="2" t="s">
        <v>3999</v>
      </c>
      <c r="D358" s="2" t="s">
        <v>292</v>
      </c>
      <c r="E358" s="2">
        <v>32</v>
      </c>
      <c r="F358" s="2">
        <v>605.966</v>
      </c>
    </row>
    <row r="359" spans="3:6" x14ac:dyDescent="0.25">
      <c r="C359" s="2" t="s">
        <v>4000</v>
      </c>
      <c r="D359" s="2" t="s">
        <v>292</v>
      </c>
      <c r="E359" s="2">
        <v>125</v>
      </c>
      <c r="F359" s="2">
        <v>2444.53</v>
      </c>
    </row>
    <row r="360" spans="3:6" x14ac:dyDescent="0.25">
      <c r="C360" s="2" t="s">
        <v>4001</v>
      </c>
      <c r="D360" s="2" t="s">
        <v>292</v>
      </c>
      <c r="E360" s="2">
        <v>103</v>
      </c>
      <c r="F360" s="2">
        <v>2106.86</v>
      </c>
    </row>
    <row r="361" spans="3:6" x14ac:dyDescent="0.25">
      <c r="C361" s="2" t="s">
        <v>4002</v>
      </c>
      <c r="D361" s="2" t="s">
        <v>292</v>
      </c>
      <c r="E361" s="2">
        <v>92</v>
      </c>
      <c r="F361" s="2">
        <v>1907.66</v>
      </c>
    </row>
    <row r="362" spans="3:6" x14ac:dyDescent="0.25">
      <c r="C362" s="2" t="s">
        <v>4003</v>
      </c>
      <c r="D362" s="2" t="s">
        <v>292</v>
      </c>
      <c r="E362" s="2">
        <v>98</v>
      </c>
      <c r="F362" s="2">
        <v>1920.589</v>
      </c>
    </row>
    <row r="363" spans="3:6" x14ac:dyDescent="0.25">
      <c r="C363" s="2" t="s">
        <v>4004</v>
      </c>
      <c r="D363" s="2" t="s">
        <v>292</v>
      </c>
      <c r="E363" s="2">
        <v>141</v>
      </c>
      <c r="F363" s="2">
        <v>2829.263</v>
      </c>
    </row>
    <row r="364" spans="3:6" x14ac:dyDescent="0.25">
      <c r="C364" s="2" t="s">
        <v>4005</v>
      </c>
      <c r="D364" s="2" t="s">
        <v>292</v>
      </c>
      <c r="E364" s="2">
        <v>141</v>
      </c>
      <c r="F364" s="2">
        <v>2837.87</v>
      </c>
    </row>
    <row r="365" spans="3:6" x14ac:dyDescent="0.25">
      <c r="C365" s="2" t="s">
        <v>4006</v>
      </c>
      <c r="D365" s="2" t="s">
        <v>292</v>
      </c>
      <c r="E365" s="2">
        <v>141</v>
      </c>
      <c r="F365" s="2">
        <v>2840.029</v>
      </c>
    </row>
    <row r="366" spans="3:6" x14ac:dyDescent="0.25">
      <c r="C366" s="2" t="s">
        <v>4007</v>
      </c>
      <c r="D366" s="2" t="s">
        <v>292</v>
      </c>
      <c r="E366" s="2">
        <v>141</v>
      </c>
      <c r="F366" s="2">
        <v>2785.47</v>
      </c>
    </row>
    <row r="367" spans="3:6" x14ac:dyDescent="0.25">
      <c r="C367" s="2" t="s">
        <v>4008</v>
      </c>
      <c r="D367" s="2" t="s">
        <v>292</v>
      </c>
      <c r="E367" s="2">
        <v>121</v>
      </c>
      <c r="F367" s="2">
        <v>1992.89</v>
      </c>
    </row>
    <row r="368" spans="3:6" x14ac:dyDescent="0.25">
      <c r="C368" s="2" t="s">
        <v>4009</v>
      </c>
      <c r="D368" s="2" t="s">
        <v>292</v>
      </c>
      <c r="E368" s="2">
        <v>80</v>
      </c>
      <c r="F368" s="2">
        <v>1675.59</v>
      </c>
    </row>
    <row r="369" spans="3:6" x14ac:dyDescent="0.25">
      <c r="C369" s="2" t="s">
        <v>4010</v>
      </c>
      <c r="D369" s="2" t="s">
        <v>292</v>
      </c>
      <c r="E369" s="2">
        <v>100</v>
      </c>
      <c r="F369" s="2">
        <v>1976.89</v>
      </c>
    </row>
    <row r="370" spans="3:6" x14ac:dyDescent="0.25">
      <c r="C370" s="2" t="s">
        <v>4011</v>
      </c>
      <c r="D370" s="2" t="s">
        <v>292</v>
      </c>
      <c r="E370" s="2">
        <v>71</v>
      </c>
      <c r="F370" s="2">
        <v>1381.06</v>
      </c>
    </row>
    <row r="371" spans="3:6" x14ac:dyDescent="0.25">
      <c r="C371" s="2" t="s">
        <v>4012</v>
      </c>
      <c r="D371" s="2" t="s">
        <v>292</v>
      </c>
      <c r="E371" s="2">
        <v>82</v>
      </c>
      <c r="F371" s="2">
        <v>1561.364</v>
      </c>
    </row>
    <row r="372" spans="3:6" x14ac:dyDescent="0.25">
      <c r="C372" s="2" t="s">
        <v>4012</v>
      </c>
      <c r="D372" s="2" t="s">
        <v>292</v>
      </c>
      <c r="E372" s="2">
        <v>82</v>
      </c>
      <c r="F372" s="2">
        <v>1561.364</v>
      </c>
    </row>
    <row r="373" spans="3:6" x14ac:dyDescent="0.25">
      <c r="C373" s="2" t="s">
        <v>4013</v>
      </c>
      <c r="D373" s="2" t="s">
        <v>292</v>
      </c>
      <c r="E373" s="2">
        <v>61</v>
      </c>
      <c r="F373" s="2">
        <v>1248.428</v>
      </c>
    </row>
    <row r="374" spans="3:6" x14ac:dyDescent="0.25">
      <c r="C374" s="2" t="s">
        <v>4013</v>
      </c>
      <c r="D374" s="2" t="s">
        <v>292</v>
      </c>
      <c r="E374" s="2">
        <v>61</v>
      </c>
      <c r="F374" s="2">
        <v>1248.428</v>
      </c>
    </row>
    <row r="375" spans="3:6" x14ac:dyDescent="0.25">
      <c r="C375" s="2" t="s">
        <v>4014</v>
      </c>
      <c r="D375" s="2" t="s">
        <v>292</v>
      </c>
      <c r="E375" s="2">
        <v>10</v>
      </c>
      <c r="F375" s="2">
        <v>228.79</v>
      </c>
    </row>
    <row r="376" spans="3:6" x14ac:dyDescent="0.25">
      <c r="C376" s="2" t="s">
        <v>4015</v>
      </c>
      <c r="D376" s="2" t="s">
        <v>292</v>
      </c>
      <c r="E376" s="2">
        <v>65</v>
      </c>
      <c r="F376" s="2">
        <v>1365.11</v>
      </c>
    </row>
    <row r="377" spans="3:6" x14ac:dyDescent="0.25">
      <c r="C377" s="2" t="s">
        <v>4016</v>
      </c>
      <c r="D377" s="2" t="s">
        <v>292</v>
      </c>
      <c r="E377" s="2">
        <v>45</v>
      </c>
      <c r="F377" s="2">
        <v>228.5</v>
      </c>
    </row>
    <row r="378" spans="3:6" x14ac:dyDescent="0.25">
      <c r="C378" s="2" t="s">
        <v>4017</v>
      </c>
      <c r="D378" s="2" t="s">
        <v>292</v>
      </c>
      <c r="E378" s="2">
        <v>60</v>
      </c>
      <c r="F378" s="2">
        <v>317.12</v>
      </c>
    </row>
    <row r="379" spans="3:6" x14ac:dyDescent="0.25">
      <c r="C379" s="2" t="s">
        <v>4018</v>
      </c>
      <c r="D379" s="2" t="s">
        <v>292</v>
      </c>
      <c r="E379" s="2">
        <v>45</v>
      </c>
      <c r="F379" s="2">
        <v>235.34</v>
      </c>
    </row>
    <row r="380" spans="3:6" x14ac:dyDescent="0.25">
      <c r="C380" s="2" t="s">
        <v>4019</v>
      </c>
      <c r="D380" s="2" t="s">
        <v>292</v>
      </c>
      <c r="E380" s="2">
        <v>50</v>
      </c>
      <c r="F380" s="2">
        <v>256.12</v>
      </c>
    </row>
    <row r="381" spans="3:6" x14ac:dyDescent="0.25">
      <c r="C381" s="2" t="s">
        <v>4020</v>
      </c>
      <c r="D381" s="2" t="s">
        <v>292</v>
      </c>
      <c r="E381" s="2">
        <v>46</v>
      </c>
      <c r="F381" s="2">
        <v>644.671</v>
      </c>
    </row>
    <row r="382" spans="3:6" x14ac:dyDescent="0.25">
      <c r="C382" s="2" t="s">
        <v>4021</v>
      </c>
      <c r="D382" s="2" t="s">
        <v>292</v>
      </c>
      <c r="E382" s="2">
        <v>17</v>
      </c>
      <c r="F382" s="2">
        <v>363.46</v>
      </c>
    </row>
    <row r="383" spans="3:6" x14ac:dyDescent="0.25">
      <c r="C383" s="2" t="s">
        <v>4022</v>
      </c>
      <c r="D383" s="2" t="s">
        <v>292</v>
      </c>
      <c r="E383" s="2">
        <v>43</v>
      </c>
      <c r="F383" s="2">
        <v>870.066</v>
      </c>
    </row>
    <row r="384" spans="3:6" x14ac:dyDescent="0.25">
      <c r="C384" s="2" t="s">
        <v>4023</v>
      </c>
      <c r="D384" s="2" t="s">
        <v>292</v>
      </c>
      <c r="E384" s="2">
        <v>49</v>
      </c>
      <c r="F384" s="2">
        <v>959.03</v>
      </c>
    </row>
    <row r="385" spans="3:6" x14ac:dyDescent="0.25">
      <c r="C385" s="2" t="s">
        <v>4024</v>
      </c>
      <c r="D385" s="2" t="s">
        <v>292</v>
      </c>
      <c r="E385" s="2">
        <v>29</v>
      </c>
      <c r="F385" s="2">
        <v>561.89</v>
      </c>
    </row>
    <row r="386" spans="3:6" x14ac:dyDescent="0.25">
      <c r="C386" s="2" t="s">
        <v>4025</v>
      </c>
      <c r="D386" s="2" t="s">
        <v>292</v>
      </c>
      <c r="E386" s="2">
        <v>38</v>
      </c>
      <c r="F386" s="2">
        <v>682.25</v>
      </c>
    </row>
    <row r="387" spans="3:6" x14ac:dyDescent="0.25">
      <c r="C387" s="2" t="s">
        <v>4026</v>
      </c>
      <c r="D387" s="2" t="s">
        <v>292</v>
      </c>
      <c r="E387" s="2">
        <v>51</v>
      </c>
      <c r="F387" s="2">
        <v>1028.04</v>
      </c>
    </row>
    <row r="388" spans="3:6" x14ac:dyDescent="0.25">
      <c r="C388" s="2" t="s">
        <v>4027</v>
      </c>
      <c r="D388" s="2" t="s">
        <v>292</v>
      </c>
      <c r="E388" s="2">
        <v>16</v>
      </c>
      <c r="F388" s="2">
        <v>340.9</v>
      </c>
    </row>
    <row r="389" spans="3:6" x14ac:dyDescent="0.25">
      <c r="C389" s="2" t="s">
        <v>4028</v>
      </c>
      <c r="D389" s="2" t="s">
        <v>292</v>
      </c>
      <c r="E389" s="2">
        <v>12</v>
      </c>
      <c r="F389" s="2">
        <v>193.69</v>
      </c>
    </row>
    <row r="390" spans="3:6" x14ac:dyDescent="0.25">
      <c r="C390" s="2" t="s">
        <v>4029</v>
      </c>
      <c r="D390" s="2" t="s">
        <v>292</v>
      </c>
      <c r="E390" s="2">
        <v>15</v>
      </c>
      <c r="F390" s="2">
        <v>291.07</v>
      </c>
    </row>
    <row r="391" spans="3:6" x14ac:dyDescent="0.25">
      <c r="C391" s="2" t="s">
        <v>4030</v>
      </c>
      <c r="D391" s="2" t="s">
        <v>292</v>
      </c>
      <c r="E391" s="2">
        <v>42</v>
      </c>
      <c r="F391" s="2">
        <v>892.34</v>
      </c>
    </row>
    <row r="392" spans="3:6" x14ac:dyDescent="0.25">
      <c r="C392" s="2" t="s">
        <v>4031</v>
      </c>
      <c r="D392" s="2" t="s">
        <v>292</v>
      </c>
      <c r="E392" s="2">
        <v>60</v>
      </c>
      <c r="F392" s="2">
        <v>1348.061</v>
      </c>
    </row>
    <row r="393" spans="3:6" x14ac:dyDescent="0.25">
      <c r="C393" s="2" t="s">
        <v>4032</v>
      </c>
      <c r="D393" s="2" t="s">
        <v>292</v>
      </c>
      <c r="E393" s="2">
        <v>18</v>
      </c>
      <c r="F393" s="2">
        <v>405.59</v>
      </c>
    </row>
    <row r="394" spans="3:6" x14ac:dyDescent="0.25">
      <c r="C394" s="2" t="s">
        <v>4033</v>
      </c>
      <c r="D394" s="2" t="s">
        <v>292</v>
      </c>
      <c r="E394" s="2">
        <v>18</v>
      </c>
      <c r="F394" s="2">
        <v>388.15</v>
      </c>
    </row>
    <row r="395" spans="3:6" x14ac:dyDescent="0.25">
      <c r="C395" s="2" t="s">
        <v>4033</v>
      </c>
      <c r="D395" s="2" t="s">
        <v>292</v>
      </c>
      <c r="E395" s="2">
        <v>18</v>
      </c>
      <c r="F395" s="2">
        <v>388.15</v>
      </c>
    </row>
    <row r="396" spans="3:6" x14ac:dyDescent="0.25">
      <c r="C396" s="2" t="s">
        <v>4034</v>
      </c>
      <c r="D396" s="2" t="s">
        <v>292</v>
      </c>
      <c r="E396" s="2">
        <v>39</v>
      </c>
      <c r="F396" s="2">
        <v>917.04</v>
      </c>
    </row>
    <row r="397" spans="3:6" x14ac:dyDescent="0.25">
      <c r="C397" s="2" t="s">
        <v>4034</v>
      </c>
      <c r="D397" s="2" t="s">
        <v>292</v>
      </c>
      <c r="E397" s="2">
        <v>39</v>
      </c>
      <c r="F397" s="2">
        <v>917.04</v>
      </c>
    </row>
    <row r="398" spans="3:6" x14ac:dyDescent="0.25">
      <c r="C398" s="2" t="s">
        <v>4035</v>
      </c>
      <c r="D398" s="2" t="s">
        <v>292</v>
      </c>
      <c r="E398" s="2">
        <v>11</v>
      </c>
      <c r="F398" s="2">
        <v>157.52</v>
      </c>
    </row>
    <row r="399" spans="3:6" x14ac:dyDescent="0.25">
      <c r="C399" s="2" t="s">
        <v>4035</v>
      </c>
      <c r="D399" s="2" t="s">
        <v>292</v>
      </c>
      <c r="E399" s="2">
        <v>11</v>
      </c>
      <c r="F399" s="2">
        <v>157.52</v>
      </c>
    </row>
    <row r="400" spans="3:6" x14ac:dyDescent="0.25">
      <c r="C400" s="2" t="s">
        <v>4036</v>
      </c>
      <c r="D400" s="2" t="s">
        <v>292</v>
      </c>
      <c r="E400" s="2">
        <v>15</v>
      </c>
      <c r="F400" s="2">
        <v>261.36</v>
      </c>
    </row>
    <row r="401" spans="3:6" x14ac:dyDescent="0.25">
      <c r="C401" s="2" t="s">
        <v>4036</v>
      </c>
      <c r="D401" s="2" t="s">
        <v>292</v>
      </c>
      <c r="E401" s="2">
        <v>15</v>
      </c>
      <c r="F401" s="2">
        <v>261.36</v>
      </c>
    </row>
    <row r="403" spans="1:7" x14ac:dyDescent="0.25">
      <c r="A403" s="1">
        <v>46176</v>
      </c>
      <c r="B403" s="2" t="s">
        <v>7</v>
      </c>
      <c r="C403" s="2" t="s">
        <v>4037</v>
      </c>
      <c r="D403" s="2" t="s">
        <v>9</v>
      </c>
      <c r="E403" s="2">
        <v>99</v>
      </c>
      <c r="F403" s="2">
        <v>2016.69</v>
      </c>
      <c r="G403" s="1">
        <v>46176</v>
      </c>
    </row>
    <row r="404" spans="3:6" x14ac:dyDescent="0.25">
      <c r="C404" s="2" t="s">
        <v>4038</v>
      </c>
      <c r="D404" s="2" t="s">
        <v>9</v>
      </c>
      <c r="E404" s="2">
        <v>99</v>
      </c>
      <c r="F404" s="2">
        <v>2029.09</v>
      </c>
    </row>
    <row r="406" spans="1:7" x14ac:dyDescent="0.25">
      <c r="A406" s="1">
        <v>46176</v>
      </c>
      <c r="B406" s="2" t="s">
        <v>378</v>
      </c>
      <c r="C406" s="2" t="s">
        <v>4039</v>
      </c>
      <c r="D406" s="2" t="s">
        <v>15</v>
      </c>
      <c r="E406" s="2">
        <v>105</v>
      </c>
      <c r="F406" s="2">
        <v>1785.318</v>
      </c>
      <c r="G406" s="1">
        <v>46176</v>
      </c>
    </row>
    <row r="407" spans="3:6" x14ac:dyDescent="0.25">
      <c r="C407" s="2" t="s">
        <v>4040</v>
      </c>
      <c r="D407" s="2" t="s">
        <v>36</v>
      </c>
      <c r="E407" s="2">
        <v>45</v>
      </c>
      <c r="F407" s="2">
        <v>798.88</v>
      </c>
    </row>
    <row r="408" spans="3:6" x14ac:dyDescent="0.25">
      <c r="C408" s="2" t="s">
        <v>4041</v>
      </c>
      <c r="D408" s="2" t="s">
        <v>36</v>
      </c>
      <c r="E408" s="2">
        <v>60</v>
      </c>
      <c r="F408" s="2">
        <v>1105.53</v>
      </c>
    </row>
    <row r="409" spans="3:6" x14ac:dyDescent="0.25">
      <c r="C409" s="2" t="s">
        <v>4042</v>
      </c>
      <c r="D409" s="2" t="s">
        <v>26</v>
      </c>
      <c r="E409" s="2">
        <v>56</v>
      </c>
      <c r="F409" s="2">
        <v>1115.24</v>
      </c>
    </row>
    <row r="410" spans="3:6" x14ac:dyDescent="0.25">
      <c r="C410" s="2" t="s">
        <v>4043</v>
      </c>
      <c r="D410" s="2" t="s">
        <v>26</v>
      </c>
      <c r="E410" s="2">
        <v>100</v>
      </c>
      <c r="F410" s="2">
        <v>1917.768</v>
      </c>
    </row>
    <row r="411" spans="3:6" x14ac:dyDescent="0.25">
      <c r="C411" s="2" t="s">
        <v>4044</v>
      </c>
      <c r="D411" s="2" t="s">
        <v>26</v>
      </c>
      <c r="E411" s="2">
        <v>56</v>
      </c>
      <c r="F411" s="2">
        <v>1044.582</v>
      </c>
    </row>
    <row r="412" spans="3:6" x14ac:dyDescent="0.25">
      <c r="C412" s="2" t="s">
        <v>4045</v>
      </c>
      <c r="D412" s="2" t="s">
        <v>26</v>
      </c>
      <c r="E412" s="2">
        <v>100</v>
      </c>
      <c r="F412" s="2">
        <v>1918.739</v>
      </c>
    </row>
    <row r="413" spans="3:6" x14ac:dyDescent="0.25">
      <c r="C413" s="2" t="s">
        <v>4046</v>
      </c>
      <c r="D413" s="2" t="s">
        <v>30</v>
      </c>
      <c r="E413" s="2">
        <v>163</v>
      </c>
      <c r="F413" s="2">
        <v>3068.71</v>
      </c>
    </row>
    <row r="414" spans="3:6" x14ac:dyDescent="0.25">
      <c r="C414" s="2" t="s">
        <v>4047</v>
      </c>
      <c r="D414" s="2" t="s">
        <v>30</v>
      </c>
      <c r="E414" s="2">
        <v>163</v>
      </c>
      <c r="F414" s="2">
        <v>3213.159</v>
      </c>
    </row>
    <row r="415" spans="3:6" x14ac:dyDescent="0.25">
      <c r="C415" s="2" t="s">
        <v>4048</v>
      </c>
      <c r="D415" s="2" t="s">
        <v>36</v>
      </c>
      <c r="E415" s="2">
        <v>80</v>
      </c>
      <c r="F415" s="2">
        <v>1577.91</v>
      </c>
    </row>
    <row r="416" spans="3:6" x14ac:dyDescent="0.25">
      <c r="C416" s="2" t="s">
        <v>4049</v>
      </c>
      <c r="D416" s="2" t="s">
        <v>36</v>
      </c>
      <c r="E416" s="2">
        <v>25</v>
      </c>
      <c r="F416" s="2">
        <v>484.52</v>
      </c>
    </row>
    <row r="417" spans="3:6" x14ac:dyDescent="0.25">
      <c r="C417" s="2" t="s">
        <v>4050</v>
      </c>
      <c r="D417" s="2" t="s">
        <v>15</v>
      </c>
      <c r="E417" s="2">
        <v>105</v>
      </c>
      <c r="F417" s="2">
        <v>2035.78</v>
      </c>
    </row>
    <row r="418" spans="3:6" x14ac:dyDescent="0.25">
      <c r="C418" s="2" t="s">
        <v>4051</v>
      </c>
      <c r="D418" s="2" t="s">
        <v>15</v>
      </c>
      <c r="E418" s="2">
        <v>105</v>
      </c>
      <c r="F418" s="2">
        <v>2011.699</v>
      </c>
    </row>
    <row r="419" spans="3:6" x14ac:dyDescent="0.25">
      <c r="C419" s="2" t="s">
        <v>4052</v>
      </c>
      <c r="D419" s="2" t="s">
        <v>15</v>
      </c>
      <c r="E419" s="2">
        <v>105</v>
      </c>
      <c r="F419" s="2">
        <v>2084.218</v>
      </c>
    </row>
    <row r="420" spans="3:6" x14ac:dyDescent="0.25">
      <c r="C420" s="2" t="s">
        <v>4053</v>
      </c>
      <c r="D420" s="2" t="s">
        <v>15</v>
      </c>
      <c r="E420" s="2">
        <v>105</v>
      </c>
      <c r="F420" s="2">
        <v>1873.39</v>
      </c>
    </row>
    <row r="421" spans="3:6" x14ac:dyDescent="0.25">
      <c r="C421" s="2" t="s">
        <v>4054</v>
      </c>
      <c r="D421" s="2" t="s">
        <v>15</v>
      </c>
      <c r="E421" s="2">
        <v>163</v>
      </c>
      <c r="F421" s="2">
        <v>3126.887</v>
      </c>
    </row>
    <row r="422" spans="3:6" x14ac:dyDescent="0.25">
      <c r="C422" s="2" t="s">
        <v>4055</v>
      </c>
      <c r="D422" s="2" t="s">
        <v>26</v>
      </c>
      <c r="E422" s="2">
        <v>56</v>
      </c>
      <c r="F422" s="2">
        <v>1120.68</v>
      </c>
    </row>
    <row r="423" spans="3:6" x14ac:dyDescent="0.25">
      <c r="C423" s="2" t="s">
        <v>4056</v>
      </c>
      <c r="D423" s="2" t="s">
        <v>15</v>
      </c>
      <c r="E423" s="2">
        <v>163</v>
      </c>
      <c r="F423" s="2">
        <v>2997.25</v>
      </c>
    </row>
    <row r="424" spans="3:6" x14ac:dyDescent="0.25">
      <c r="C424" s="2" t="s">
        <v>4057</v>
      </c>
      <c r="D424" s="2" t="s">
        <v>15</v>
      </c>
      <c r="E424" s="2">
        <v>163</v>
      </c>
      <c r="F424" s="2">
        <v>3127.8</v>
      </c>
    </row>
    <row r="425" spans="3:6" x14ac:dyDescent="0.25">
      <c r="C425" s="2" t="s">
        <v>4058</v>
      </c>
      <c r="D425" s="2" t="s">
        <v>15</v>
      </c>
      <c r="E425" s="2">
        <v>163</v>
      </c>
      <c r="F425" s="2">
        <v>3193.708</v>
      </c>
    </row>
    <row r="426" spans="3:6" x14ac:dyDescent="0.25">
      <c r="C426" s="2" t="s">
        <v>4059</v>
      </c>
      <c r="D426" s="2" t="s">
        <v>15</v>
      </c>
      <c r="E426" s="2">
        <v>163</v>
      </c>
      <c r="F426" s="2">
        <v>3167.999</v>
      </c>
    </row>
    <row r="427" spans="3:6" x14ac:dyDescent="0.25">
      <c r="C427" s="2" t="s">
        <v>4060</v>
      </c>
      <c r="D427" s="2" t="s">
        <v>15</v>
      </c>
      <c r="E427" s="2">
        <v>163</v>
      </c>
      <c r="F427" s="2">
        <v>3203.44</v>
      </c>
    </row>
    <row r="428" spans="3:6" x14ac:dyDescent="0.25">
      <c r="C428" s="2" t="s">
        <v>4061</v>
      </c>
      <c r="D428" s="2" t="s">
        <v>26</v>
      </c>
      <c r="E428" s="2">
        <v>56</v>
      </c>
      <c r="F428" s="2">
        <v>1142.403</v>
      </c>
    </row>
    <row r="429" spans="3:6" x14ac:dyDescent="0.25">
      <c r="C429" s="2" t="s">
        <v>4062</v>
      </c>
      <c r="D429" s="2" t="s">
        <v>26</v>
      </c>
      <c r="E429" s="2">
        <v>100</v>
      </c>
      <c r="F429" s="2">
        <v>1878.889</v>
      </c>
    </row>
    <row r="430" spans="3:6" x14ac:dyDescent="0.25">
      <c r="C430" s="2" t="s">
        <v>4063</v>
      </c>
      <c r="D430" s="2" t="s">
        <v>26</v>
      </c>
      <c r="E430" s="2">
        <v>56</v>
      </c>
      <c r="F430" s="2">
        <v>1087.509</v>
      </c>
    </row>
    <row r="431" spans="3:6" x14ac:dyDescent="0.25">
      <c r="C431" s="2" t="s">
        <v>4064</v>
      </c>
      <c r="D431" s="2" t="s">
        <v>26</v>
      </c>
      <c r="E431" s="2">
        <v>100</v>
      </c>
      <c r="F431" s="2">
        <v>1873.351</v>
      </c>
    </row>
    <row r="432" spans="3:6" x14ac:dyDescent="0.25">
      <c r="C432" s="2" t="s">
        <v>4065</v>
      </c>
      <c r="D432" s="2" t="s">
        <v>26</v>
      </c>
      <c r="E432" s="2">
        <v>100</v>
      </c>
      <c r="F432" s="2">
        <v>2035.538</v>
      </c>
    </row>
    <row r="433" spans="3:6" x14ac:dyDescent="0.25">
      <c r="C433" s="2" t="s">
        <v>4066</v>
      </c>
      <c r="D433" s="2" t="s">
        <v>30</v>
      </c>
      <c r="E433" s="2">
        <v>134</v>
      </c>
      <c r="F433" s="2">
        <v>2661.899</v>
      </c>
    </row>
    <row r="434" spans="3:6" x14ac:dyDescent="0.25">
      <c r="C434" s="2" t="s">
        <v>4067</v>
      </c>
      <c r="D434" s="2" t="s">
        <v>30</v>
      </c>
      <c r="E434" s="2">
        <v>134</v>
      </c>
      <c r="F434" s="2">
        <v>2614.22</v>
      </c>
    </row>
    <row r="435" spans="3:6" x14ac:dyDescent="0.25">
      <c r="C435" s="2" t="s">
        <v>4068</v>
      </c>
      <c r="D435" s="2" t="s">
        <v>30</v>
      </c>
      <c r="E435" s="2">
        <v>134</v>
      </c>
      <c r="F435" s="2">
        <v>2786.83</v>
      </c>
    </row>
    <row r="436" spans="3:6" x14ac:dyDescent="0.25">
      <c r="C436" s="2" t="s">
        <v>4069</v>
      </c>
      <c r="D436" s="2" t="s">
        <v>30</v>
      </c>
      <c r="E436" s="2">
        <v>134</v>
      </c>
      <c r="F436" s="2">
        <v>2632.16</v>
      </c>
    </row>
    <row r="437" spans="3:6" x14ac:dyDescent="0.25">
      <c r="C437" s="2" t="s">
        <v>4070</v>
      </c>
      <c r="D437" s="2" t="s">
        <v>30</v>
      </c>
      <c r="E437" s="2">
        <v>134</v>
      </c>
      <c r="F437" s="2">
        <v>2710.24</v>
      </c>
    </row>
    <row r="438" spans="3:6" x14ac:dyDescent="0.25">
      <c r="C438" s="2" t="s">
        <v>4071</v>
      </c>
      <c r="D438" s="2" t="s">
        <v>30</v>
      </c>
      <c r="E438" s="2">
        <v>134</v>
      </c>
      <c r="F438" s="2">
        <v>2732.44</v>
      </c>
    </row>
    <row r="439" spans="3:6" x14ac:dyDescent="0.25">
      <c r="C439" s="2" t="s">
        <v>4072</v>
      </c>
      <c r="D439" s="2" t="s">
        <v>15</v>
      </c>
      <c r="E439" s="2">
        <v>163</v>
      </c>
      <c r="F439" s="2">
        <v>3057.918</v>
      </c>
    </row>
    <row r="440" spans="3:6" x14ac:dyDescent="0.25">
      <c r="C440" s="2" t="s">
        <v>4073</v>
      </c>
      <c r="D440" s="2" t="s">
        <v>15</v>
      </c>
      <c r="E440" s="2">
        <v>163</v>
      </c>
      <c r="F440" s="2">
        <v>3110.23</v>
      </c>
    </row>
    <row r="441" spans="3:6" x14ac:dyDescent="0.25">
      <c r="C441" s="2" t="s">
        <v>4074</v>
      </c>
      <c r="D441" s="2" t="s">
        <v>15</v>
      </c>
      <c r="E441" s="2">
        <v>34</v>
      </c>
      <c r="F441" s="2">
        <v>644</v>
      </c>
    </row>
    <row r="443" spans="2:7" x14ac:dyDescent="0.25">
      <c r="B443" s="2" t="s">
        <v>48</v>
      </c>
      <c r="C443" s="2" t="s">
        <v>4075</v>
      </c>
      <c r="D443" s="2" t="s">
        <v>26</v>
      </c>
      <c r="E443" s="2">
        <v>156</v>
      </c>
      <c r="F443" s="2">
        <v>2498.839</v>
      </c>
      <c r="G443" s="1">
        <v>46176</v>
      </c>
    </row>
    <row r="444" spans="3:6" x14ac:dyDescent="0.25">
      <c r="C444" s="2" t="s">
        <v>4076</v>
      </c>
      <c r="D444" s="2" t="s">
        <v>30</v>
      </c>
      <c r="E444" s="2">
        <v>156</v>
      </c>
      <c r="F444" s="2">
        <v>2887.459</v>
      </c>
    </row>
    <row r="445" spans="3:6" x14ac:dyDescent="0.25">
      <c r="C445" s="2" t="s">
        <v>4077</v>
      </c>
      <c r="D445" s="2" t="s">
        <v>30</v>
      </c>
      <c r="E445" s="2">
        <v>105</v>
      </c>
      <c r="F445" s="2">
        <v>1810.818</v>
      </c>
    </row>
    <row r="447" spans="1:7" x14ac:dyDescent="0.25">
      <c r="A447" s="1">
        <v>46176</v>
      </c>
      <c r="B447" s="2" t="s">
        <v>420</v>
      </c>
      <c r="C447" s="2" t="s">
        <v>4078</v>
      </c>
      <c r="D447" s="2" t="s">
        <v>59</v>
      </c>
      <c r="E447" s="2">
        <v>105</v>
      </c>
      <c r="F447" s="2">
        <v>2097.009</v>
      </c>
      <c r="G447" s="1">
        <v>46175</v>
      </c>
    </row>
    <row r="448" spans="3:6" x14ac:dyDescent="0.25">
      <c r="C448" s="2" t="s">
        <v>4079</v>
      </c>
      <c r="D448" s="2" t="s">
        <v>59</v>
      </c>
      <c r="E448" s="2">
        <v>252</v>
      </c>
      <c r="F448" s="2">
        <v>3905.748</v>
      </c>
    </row>
    <row r="449" spans="3:6" x14ac:dyDescent="0.25">
      <c r="C449" s="2" t="s">
        <v>4080</v>
      </c>
      <c r="D449" s="2" t="s">
        <v>59</v>
      </c>
      <c r="E449" s="2">
        <v>138</v>
      </c>
      <c r="F449" s="2">
        <v>2819.6</v>
      </c>
    </row>
    <row r="450" spans="3:6" x14ac:dyDescent="0.25">
      <c r="C450" s="2" t="s">
        <v>4081</v>
      </c>
      <c r="D450" s="2" t="s">
        <v>59</v>
      </c>
      <c r="E450" s="2">
        <v>163</v>
      </c>
      <c r="F450" s="2">
        <v>3082.139</v>
      </c>
    </row>
    <row r="451" spans="3:6" x14ac:dyDescent="0.25">
      <c r="C451" s="2" t="s">
        <v>4082</v>
      </c>
      <c r="D451" s="2" t="s">
        <v>59</v>
      </c>
      <c r="E451" s="2">
        <v>163</v>
      </c>
      <c r="F451" s="2">
        <v>2993.848</v>
      </c>
    </row>
    <row r="452" spans="3:6" x14ac:dyDescent="0.25">
      <c r="C452" s="2" t="s">
        <v>4083</v>
      </c>
      <c r="D452" s="2" t="s">
        <v>59</v>
      </c>
      <c r="E452" s="2">
        <v>163</v>
      </c>
      <c r="F452" s="2">
        <v>3121.366</v>
      </c>
    </row>
    <row r="453" spans="3:6" x14ac:dyDescent="0.25">
      <c r="C453" s="2" t="s">
        <v>4084</v>
      </c>
      <c r="D453" s="2" t="s">
        <v>59</v>
      </c>
      <c r="E453" s="2">
        <v>105</v>
      </c>
      <c r="F453" s="2">
        <v>2254.31</v>
      </c>
    </row>
    <row r="454" spans="3:6" x14ac:dyDescent="0.25">
      <c r="C454" s="2" t="s">
        <v>4085</v>
      </c>
      <c r="D454" s="2" t="s">
        <v>59</v>
      </c>
      <c r="E454" s="2">
        <v>105</v>
      </c>
      <c r="F454" s="2">
        <v>2085.78</v>
      </c>
    </row>
    <row r="456" spans="1:7" x14ac:dyDescent="0.25">
      <c r="A456" s="1">
        <v>46176</v>
      </c>
      <c r="B456" s="2" t="s">
        <v>427</v>
      </c>
      <c r="C456" s="2" t="s">
        <v>4086</v>
      </c>
      <c r="D456" s="2" t="s">
        <v>59</v>
      </c>
      <c r="E456" s="2">
        <v>149</v>
      </c>
      <c r="F456" s="2">
        <v>2876.078</v>
      </c>
      <c r="G456" s="1">
        <v>46174</v>
      </c>
    </row>
    <row r="457" spans="3:6" x14ac:dyDescent="0.25">
      <c r="C457" s="2" t="s">
        <v>4087</v>
      </c>
      <c r="D457" s="2" t="s">
        <v>59</v>
      </c>
      <c r="E457" s="2">
        <v>142</v>
      </c>
      <c r="F457" s="2">
        <v>3021.48</v>
      </c>
    </row>
    <row r="458" spans="3:6" x14ac:dyDescent="0.25">
      <c r="C458" s="2" t="s">
        <v>4088</v>
      </c>
      <c r="D458" s="2" t="s">
        <v>59</v>
      </c>
      <c r="E458" s="2">
        <v>142</v>
      </c>
      <c r="F458" s="2">
        <v>3017.04</v>
      </c>
    </row>
    <row r="459" spans="3:6" x14ac:dyDescent="0.25">
      <c r="C459" s="2" t="s">
        <v>4089</v>
      </c>
      <c r="D459" s="2" t="s">
        <v>59</v>
      </c>
      <c r="E459" s="2">
        <v>142</v>
      </c>
      <c r="F459" s="2">
        <v>2976.92</v>
      </c>
    </row>
    <row r="460" spans="3:6" x14ac:dyDescent="0.25">
      <c r="C460" s="2" t="s">
        <v>4090</v>
      </c>
      <c r="D460" s="2" t="s">
        <v>59</v>
      </c>
      <c r="E460" s="2">
        <v>149</v>
      </c>
      <c r="F460" s="2">
        <v>2752.2</v>
      </c>
    </row>
    <row r="461" spans="3:6" x14ac:dyDescent="0.25">
      <c r="C461" s="2" t="s">
        <v>4091</v>
      </c>
      <c r="D461" s="2" t="s">
        <v>59</v>
      </c>
      <c r="E461" s="2">
        <v>149</v>
      </c>
      <c r="F461" s="2">
        <v>2883.66</v>
      </c>
    </row>
    <row r="462" spans="3:6" x14ac:dyDescent="0.25">
      <c r="C462" s="2" t="s">
        <v>4092</v>
      </c>
      <c r="D462" s="2" t="s">
        <v>59</v>
      </c>
      <c r="E462" s="2">
        <v>149</v>
      </c>
      <c r="F462" s="2">
        <v>2767.06</v>
      </c>
    </row>
    <row r="464" spans="1:7" x14ac:dyDescent="0.25">
      <c r="A464" s="1">
        <v>46177</v>
      </c>
      <c r="B464" s="2" t="s">
        <v>7</v>
      </c>
      <c r="C464" s="2" t="s">
        <v>4093</v>
      </c>
      <c r="D464" s="2" t="s">
        <v>9</v>
      </c>
      <c r="E464" s="2">
        <v>99</v>
      </c>
      <c r="F464" s="2">
        <v>2049.251</v>
      </c>
      <c r="G464" s="1">
        <v>46176</v>
      </c>
    </row>
    <row r="465" spans="3:6" x14ac:dyDescent="0.25">
      <c r="C465" s="2" t="s">
        <v>4094</v>
      </c>
      <c r="D465" s="2" t="s">
        <v>9</v>
      </c>
      <c r="E465" s="2">
        <v>99</v>
      </c>
      <c r="F465" s="2">
        <v>2096.13</v>
      </c>
    </row>
    <row r="467" spans="1:7" x14ac:dyDescent="0.25">
      <c r="A467" s="1">
        <v>46177</v>
      </c>
      <c r="B467" s="2" t="s">
        <v>2084</v>
      </c>
      <c r="C467" s="2" t="s">
        <v>4095</v>
      </c>
      <c r="D467" s="2" t="s">
        <v>4096</v>
      </c>
      <c r="E467" s="2">
        <v>63</v>
      </c>
      <c r="F467" s="2">
        <v>1238.69</v>
      </c>
      <c r="G467" s="1">
        <v>46178</v>
      </c>
    </row>
    <row r="468" spans="3:6" x14ac:dyDescent="0.25">
      <c r="C468" s="2" t="s">
        <v>4097</v>
      </c>
      <c r="D468" s="2" t="s">
        <v>4096</v>
      </c>
      <c r="E468" s="2">
        <v>37</v>
      </c>
      <c r="F468" s="2">
        <v>784.1</v>
      </c>
    </row>
    <row r="470" spans="1:7" x14ac:dyDescent="0.25">
      <c r="A470" s="1">
        <v>46177</v>
      </c>
      <c r="B470" s="2" t="s">
        <v>4098</v>
      </c>
      <c r="C470" s="2" t="s">
        <v>4099</v>
      </c>
      <c r="D470" s="2" t="s">
        <v>59</v>
      </c>
      <c r="E470" s="2">
        <v>105</v>
      </c>
      <c r="F470" s="2">
        <v>2091.87</v>
      </c>
      <c r="G470" s="1">
        <v>46176</v>
      </c>
    </row>
    <row r="471" spans="3:6" x14ac:dyDescent="0.25">
      <c r="C471" s="2" t="s">
        <v>4100</v>
      </c>
      <c r="D471" s="2" t="s">
        <v>59</v>
      </c>
      <c r="E471" s="2">
        <v>235</v>
      </c>
      <c r="F471" s="2">
        <v>4006.926</v>
      </c>
    </row>
    <row r="472" spans="3:6" x14ac:dyDescent="0.25">
      <c r="C472" s="2" t="s">
        <v>4101</v>
      </c>
      <c r="D472" s="2" t="s">
        <v>59</v>
      </c>
      <c r="E472" s="2">
        <v>282</v>
      </c>
      <c r="F472" s="2">
        <v>5734.731</v>
      </c>
    </row>
    <row r="473" spans="3:6" x14ac:dyDescent="0.25">
      <c r="C473" s="2" t="s">
        <v>4102</v>
      </c>
      <c r="D473" s="2" t="s">
        <v>59</v>
      </c>
      <c r="E473" s="2">
        <v>268</v>
      </c>
      <c r="F473" s="2">
        <v>5105.62</v>
      </c>
    </row>
    <row r="474" spans="3:6" x14ac:dyDescent="0.25">
      <c r="C474" s="2" t="s">
        <v>4103</v>
      </c>
      <c r="D474" s="2" t="s">
        <v>59</v>
      </c>
      <c r="E474" s="2">
        <v>105</v>
      </c>
      <c r="F474" s="2">
        <v>2049.5</v>
      </c>
    </row>
    <row r="475" spans="3:6" x14ac:dyDescent="0.25">
      <c r="C475" s="2" t="s">
        <v>4104</v>
      </c>
      <c r="D475" s="2" t="s">
        <v>59</v>
      </c>
      <c r="E475" s="2">
        <v>105</v>
      </c>
      <c r="F475" s="2">
        <v>2003.379</v>
      </c>
    </row>
    <row r="476" spans="3:6" x14ac:dyDescent="0.25">
      <c r="C476" s="2" t="s">
        <v>4105</v>
      </c>
      <c r="D476" s="2" t="s">
        <v>59</v>
      </c>
      <c r="E476" s="2">
        <v>163</v>
      </c>
      <c r="F476" s="2">
        <v>3077.841</v>
      </c>
    </row>
    <row r="477" spans="3:6" x14ac:dyDescent="0.25">
      <c r="C477" s="2" t="s">
        <v>4106</v>
      </c>
      <c r="D477" s="2" t="s">
        <v>59</v>
      </c>
      <c r="E477" s="2">
        <v>269</v>
      </c>
      <c r="F477" s="2">
        <v>5174.02</v>
      </c>
    </row>
    <row r="479" spans="1:7" x14ac:dyDescent="0.25">
      <c r="A479" s="1">
        <v>46178</v>
      </c>
      <c r="B479" s="2" t="s">
        <v>1012</v>
      </c>
      <c r="C479" s="2" t="s">
        <v>4107</v>
      </c>
      <c r="D479" s="2" t="s">
        <v>73</v>
      </c>
      <c r="E479" s="2">
        <v>92</v>
      </c>
      <c r="F479" s="2">
        <v>1843.89</v>
      </c>
      <c r="G479" s="1">
        <v>46178</v>
      </c>
    </row>
    <row r="480" spans="3:6" x14ac:dyDescent="0.25">
      <c r="C480" s="2" t="s">
        <v>4108</v>
      </c>
      <c r="D480" s="2" t="s">
        <v>73</v>
      </c>
      <c r="E480" s="2">
        <v>101</v>
      </c>
      <c r="F480" s="2">
        <v>1976.859</v>
      </c>
    </row>
    <row r="481" spans="3:6" x14ac:dyDescent="0.25">
      <c r="C481" s="2" t="s">
        <v>4109</v>
      </c>
      <c r="D481" s="2" t="s">
        <v>73</v>
      </c>
      <c r="E481" s="2">
        <v>42</v>
      </c>
      <c r="F481" s="2">
        <v>757.129</v>
      </c>
    </row>
    <row r="482" spans="3:6" x14ac:dyDescent="0.25">
      <c r="C482" s="2" t="s">
        <v>4110</v>
      </c>
      <c r="D482" s="2" t="s">
        <v>73</v>
      </c>
      <c r="E482" s="2">
        <v>59</v>
      </c>
      <c r="F482" s="2">
        <v>1141.62</v>
      </c>
    </row>
    <row r="483" spans="3:6" x14ac:dyDescent="0.25">
      <c r="C483" s="2" t="s">
        <v>4111</v>
      </c>
      <c r="D483" s="2" t="s">
        <v>73</v>
      </c>
      <c r="E483" s="2">
        <v>32</v>
      </c>
      <c r="F483" s="2">
        <v>562.08</v>
      </c>
    </row>
    <row r="484" spans="3:6" x14ac:dyDescent="0.25">
      <c r="C484" s="2" t="s">
        <v>4112</v>
      </c>
      <c r="D484" s="2" t="s">
        <v>73</v>
      </c>
      <c r="E484" s="2">
        <v>57</v>
      </c>
      <c r="F484" s="2">
        <v>1113.36</v>
      </c>
    </row>
    <row r="486" spans="1:7" x14ac:dyDescent="0.25">
      <c r="A486" s="1">
        <v>46178</v>
      </c>
      <c r="B486" s="2" t="s">
        <v>71</v>
      </c>
      <c r="C486" s="2" t="s">
        <v>4113</v>
      </c>
      <c r="D486" s="2" t="s">
        <v>73</v>
      </c>
      <c r="E486" s="2">
        <v>62</v>
      </c>
      <c r="F486" s="2">
        <v>1220.649</v>
      </c>
      <c r="G486" s="1">
        <v>46176</v>
      </c>
    </row>
    <row r="487" spans="3:6" x14ac:dyDescent="0.25">
      <c r="C487" s="2" t="s">
        <v>4114</v>
      </c>
      <c r="D487" s="2" t="s">
        <v>73</v>
      </c>
      <c r="E487" s="2">
        <v>39</v>
      </c>
      <c r="F487" s="2">
        <v>641.03</v>
      </c>
    </row>
    <row r="488" spans="3:6" x14ac:dyDescent="0.25">
      <c r="C488" s="2" t="s">
        <v>4115</v>
      </c>
      <c r="D488" s="2" t="s">
        <v>73</v>
      </c>
      <c r="E488" s="2">
        <v>90</v>
      </c>
      <c r="F488" s="2">
        <v>1759.779</v>
      </c>
    </row>
    <row r="489" spans="3:6" x14ac:dyDescent="0.25">
      <c r="C489" s="2" t="s">
        <v>4116</v>
      </c>
      <c r="D489" s="2" t="s">
        <v>73</v>
      </c>
      <c r="E489" s="2">
        <v>101</v>
      </c>
      <c r="F489" s="2">
        <v>1987.179</v>
      </c>
    </row>
    <row r="490" spans="3:6" x14ac:dyDescent="0.25">
      <c r="C490" s="2" t="s">
        <v>4117</v>
      </c>
      <c r="D490" s="2" t="s">
        <v>73</v>
      </c>
      <c r="E490" s="2">
        <v>27</v>
      </c>
      <c r="F490" s="2">
        <v>594.09</v>
      </c>
    </row>
    <row r="491" spans="3:6" x14ac:dyDescent="0.25">
      <c r="C491" s="2" t="s">
        <v>4118</v>
      </c>
      <c r="D491" s="2" t="s">
        <v>73</v>
      </c>
      <c r="E491" s="2">
        <v>69</v>
      </c>
      <c r="F491" s="2">
        <v>1224.32</v>
      </c>
    </row>
    <row r="493" spans="1:7" x14ac:dyDescent="0.25">
      <c r="A493" s="1">
        <v>46178</v>
      </c>
      <c r="B493" s="2" t="s">
        <v>71</v>
      </c>
      <c r="C493" s="2" t="s">
        <v>4119</v>
      </c>
      <c r="D493" s="2" t="s">
        <v>73</v>
      </c>
      <c r="E493" s="2">
        <v>95</v>
      </c>
      <c r="F493" s="2">
        <v>1860.66</v>
      </c>
      <c r="G493" s="1">
        <v>46177</v>
      </c>
    </row>
    <row r="494" spans="3:6" x14ac:dyDescent="0.25">
      <c r="C494" s="2" t="s">
        <v>4120</v>
      </c>
      <c r="D494" s="2" t="s">
        <v>73</v>
      </c>
      <c r="E494" s="2">
        <v>97</v>
      </c>
      <c r="F494" s="2">
        <v>1825.95</v>
      </c>
    </row>
    <row r="495" spans="3:6" x14ac:dyDescent="0.25">
      <c r="C495" s="2" t="s">
        <v>4121</v>
      </c>
      <c r="D495" s="2" t="s">
        <v>73</v>
      </c>
      <c r="E495" s="2">
        <v>32</v>
      </c>
      <c r="F495" s="2">
        <v>566.8</v>
      </c>
    </row>
    <row r="496" spans="3:6" x14ac:dyDescent="0.25">
      <c r="C496" s="2" t="s">
        <v>4122</v>
      </c>
      <c r="D496" s="2" t="s">
        <v>73</v>
      </c>
      <c r="E496" s="2">
        <v>9</v>
      </c>
      <c r="F496" s="2">
        <v>184.13</v>
      </c>
    </row>
    <row r="497" spans="3:6" x14ac:dyDescent="0.25">
      <c r="C497" s="2" t="s">
        <v>4123</v>
      </c>
      <c r="D497" s="2" t="s">
        <v>73</v>
      </c>
      <c r="E497" s="2">
        <v>23</v>
      </c>
      <c r="F497" s="2">
        <v>512.6</v>
      </c>
    </row>
    <row r="498" spans="3:6" x14ac:dyDescent="0.25">
      <c r="C498" s="2" t="s">
        <v>4124</v>
      </c>
      <c r="D498" s="2" t="s">
        <v>73</v>
      </c>
      <c r="E498" s="2">
        <v>28</v>
      </c>
      <c r="F498" s="2">
        <v>476.53</v>
      </c>
    </row>
    <row r="500" spans="1:7" x14ac:dyDescent="0.25">
      <c r="A500" s="1">
        <v>46178</v>
      </c>
      <c r="B500" s="2" t="s">
        <v>2084</v>
      </c>
      <c r="C500" s="2" t="s">
        <v>4125</v>
      </c>
      <c r="D500" s="2" t="s">
        <v>4096</v>
      </c>
      <c r="E500" s="2">
        <v>41</v>
      </c>
      <c r="F500" s="2">
        <v>839.81</v>
      </c>
      <c r="G500" s="1">
        <v>46178</v>
      </c>
    </row>
    <row r="501" spans="3:6" x14ac:dyDescent="0.25">
      <c r="C501" s="2" t="s">
        <v>4126</v>
      </c>
      <c r="D501" s="2" t="s">
        <v>4096</v>
      </c>
      <c r="E501" s="2">
        <v>40</v>
      </c>
      <c r="F501" s="2">
        <v>807.3</v>
      </c>
    </row>
    <row r="502" spans="3:6" x14ac:dyDescent="0.25">
      <c r="C502" s="2" t="s">
        <v>4127</v>
      </c>
      <c r="D502" s="2" t="s">
        <v>4096</v>
      </c>
      <c r="E502" s="2">
        <v>19</v>
      </c>
      <c r="F502" s="2">
        <v>410.23</v>
      </c>
    </row>
    <row r="504" spans="1:7" x14ac:dyDescent="0.25">
      <c r="A504" s="1">
        <v>46178</v>
      </c>
      <c r="B504" s="2" t="s">
        <v>229</v>
      </c>
      <c r="C504" s="2" t="s">
        <v>4128</v>
      </c>
      <c r="D504" s="2" t="s">
        <v>82</v>
      </c>
      <c r="E504" s="2">
        <v>121</v>
      </c>
      <c r="F504" s="2">
        <v>2475.317</v>
      </c>
      <c r="G504" s="1">
        <v>46177</v>
      </c>
    </row>
    <row r="505" spans="3:6" x14ac:dyDescent="0.25">
      <c r="C505" s="2" t="s">
        <v>4129</v>
      </c>
      <c r="D505" s="2" t="s">
        <v>82</v>
      </c>
      <c r="E505" s="2">
        <v>121</v>
      </c>
      <c r="F505" s="2">
        <v>2504.94</v>
      </c>
    </row>
    <row r="506" spans="3:6" x14ac:dyDescent="0.25">
      <c r="C506" s="2" t="s">
        <v>4130</v>
      </c>
      <c r="D506" s="2" t="s">
        <v>82</v>
      </c>
      <c r="E506" s="2">
        <v>121</v>
      </c>
      <c r="F506" s="2">
        <v>2442.64</v>
      </c>
    </row>
    <row r="507" spans="3:6" x14ac:dyDescent="0.25">
      <c r="C507" s="2" t="s">
        <v>4131</v>
      </c>
      <c r="D507" s="2" t="s">
        <v>82</v>
      </c>
      <c r="E507" s="2">
        <v>48</v>
      </c>
      <c r="F507" s="2">
        <v>951.8</v>
      </c>
    </row>
    <row r="508" spans="3:6" x14ac:dyDescent="0.25">
      <c r="C508" s="2" t="s">
        <v>4132</v>
      </c>
      <c r="D508" s="2" t="s">
        <v>82</v>
      </c>
      <c r="E508" s="2">
        <v>30</v>
      </c>
      <c r="F508" s="2">
        <v>576.43</v>
      </c>
    </row>
    <row r="509" spans="3:6" x14ac:dyDescent="0.25">
      <c r="C509" s="2" t="s">
        <v>4133</v>
      </c>
      <c r="D509" s="2" t="s">
        <v>82</v>
      </c>
      <c r="E509" s="2">
        <v>43</v>
      </c>
      <c r="F509" s="2">
        <v>830.05</v>
      </c>
    </row>
    <row r="510" spans="3:6" x14ac:dyDescent="0.25">
      <c r="C510" s="2" t="s">
        <v>4134</v>
      </c>
      <c r="D510" s="2" t="s">
        <v>82</v>
      </c>
      <c r="E510" s="2">
        <v>134</v>
      </c>
      <c r="F510" s="2">
        <v>2698.07</v>
      </c>
    </row>
    <row r="511" spans="3:6" x14ac:dyDescent="0.25">
      <c r="C511" s="2" t="s">
        <v>4135</v>
      </c>
      <c r="D511" s="2" t="s">
        <v>82</v>
      </c>
      <c r="E511" s="2">
        <v>141</v>
      </c>
      <c r="F511" s="2">
        <v>2941.66</v>
      </c>
    </row>
    <row r="512" spans="3:6" x14ac:dyDescent="0.25">
      <c r="C512" s="2" t="s">
        <v>4136</v>
      </c>
      <c r="D512" s="2" t="s">
        <v>82</v>
      </c>
      <c r="E512" s="2">
        <v>141</v>
      </c>
      <c r="F512" s="2">
        <v>2784.099</v>
      </c>
    </row>
    <row r="513" spans="3:6" x14ac:dyDescent="0.25">
      <c r="C513" s="2" t="s">
        <v>4137</v>
      </c>
      <c r="D513" s="2" t="s">
        <v>82</v>
      </c>
      <c r="E513" s="2">
        <v>102</v>
      </c>
      <c r="F513" s="2">
        <v>2123.52</v>
      </c>
    </row>
    <row r="514" spans="3:6" x14ac:dyDescent="0.25">
      <c r="C514" s="2" t="s">
        <v>4138</v>
      </c>
      <c r="D514" s="2" t="s">
        <v>82</v>
      </c>
      <c r="E514" s="2">
        <v>21</v>
      </c>
      <c r="F514" s="2">
        <f>306.16+70.5</f>
        <v>376.66</v>
      </c>
    </row>
    <row r="515" spans="3:6" x14ac:dyDescent="0.25">
      <c r="C515" s="2" t="s">
        <v>4139</v>
      </c>
      <c r="D515" s="2" t="s">
        <v>82</v>
      </c>
      <c r="E515" s="2">
        <v>28</v>
      </c>
      <c r="F515" s="2">
        <f>460.6+31.75</f>
        <v>492.35</v>
      </c>
    </row>
    <row r="516" spans="3:6" x14ac:dyDescent="0.25">
      <c r="C516" s="2" t="s">
        <v>4140</v>
      </c>
      <c r="D516" s="2" t="s">
        <v>82</v>
      </c>
      <c r="E516" s="2">
        <v>28</v>
      </c>
      <c r="F516" s="2">
        <f>20.59+549.15</f>
        <v>569.74</v>
      </c>
    </row>
    <row r="517" spans="3:6" x14ac:dyDescent="0.25">
      <c r="C517" s="2" t="s">
        <v>4141</v>
      </c>
      <c r="D517" s="2" t="s">
        <v>82</v>
      </c>
      <c r="E517" s="2">
        <v>60</v>
      </c>
      <c r="F517" s="2">
        <v>266.25</v>
      </c>
    </row>
    <row r="518" spans="3:6" x14ac:dyDescent="0.25">
      <c r="C518" s="2" t="s">
        <v>4142</v>
      </c>
      <c r="D518" s="2" t="s">
        <v>82</v>
      </c>
      <c r="E518" s="2">
        <v>70</v>
      </c>
      <c r="F518" s="2">
        <v>309.409</v>
      </c>
    </row>
    <row r="519" spans="3:6" x14ac:dyDescent="0.25">
      <c r="C519" s="2" t="s">
        <v>4143</v>
      </c>
      <c r="D519" s="2" t="s">
        <v>82</v>
      </c>
      <c r="E519" s="2">
        <v>48</v>
      </c>
      <c r="F519" s="2">
        <v>892.88</v>
      </c>
    </row>
    <row r="520" spans="3:6" x14ac:dyDescent="0.25">
      <c r="C520" s="2" t="s">
        <v>4144</v>
      </c>
      <c r="D520" s="2" t="s">
        <v>82</v>
      </c>
      <c r="E520" s="2">
        <v>33</v>
      </c>
      <c r="F520" s="2">
        <v>695.14</v>
      </c>
    </row>
    <row r="521" spans="3:6" x14ac:dyDescent="0.25">
      <c r="C521" s="2" t="s">
        <v>4145</v>
      </c>
      <c r="D521" s="2" t="s">
        <v>82</v>
      </c>
      <c r="E521" s="2">
        <v>16</v>
      </c>
      <c r="F521" s="2">
        <v>260.39</v>
      </c>
    </row>
    <row r="522" spans="3:6" x14ac:dyDescent="0.25">
      <c r="C522" s="2" t="s">
        <v>4146</v>
      </c>
      <c r="D522" s="2" t="s">
        <v>82</v>
      </c>
      <c r="E522" s="2">
        <v>44</v>
      </c>
      <c r="F522" s="2">
        <v>883.6</v>
      </c>
    </row>
    <row r="523" spans="3:6" x14ac:dyDescent="0.25">
      <c r="C523" s="2" t="s">
        <v>4147</v>
      </c>
      <c r="D523" s="2" t="s">
        <v>82</v>
      </c>
      <c r="E523" s="2">
        <v>81</v>
      </c>
      <c r="F523" s="2">
        <v>1678.377</v>
      </c>
    </row>
    <row r="524" spans="3:6" x14ac:dyDescent="0.25">
      <c r="C524" s="2" t="s">
        <v>4148</v>
      </c>
      <c r="D524" s="2" t="s">
        <v>82</v>
      </c>
      <c r="E524" s="2">
        <v>61</v>
      </c>
      <c r="F524" s="2">
        <v>1177.322</v>
      </c>
    </row>
    <row r="525" spans="3:6" x14ac:dyDescent="0.25">
      <c r="C525" s="2" t="s">
        <v>4149</v>
      </c>
      <c r="D525" s="2" t="s">
        <v>82</v>
      </c>
      <c r="E525" s="2">
        <v>21</v>
      </c>
      <c r="F525" s="2">
        <v>455.3</v>
      </c>
    </row>
    <row r="526" spans="3:6" x14ac:dyDescent="0.25">
      <c r="C526" s="2" t="s">
        <v>4150</v>
      </c>
      <c r="D526" s="2" t="s">
        <v>82</v>
      </c>
      <c r="E526" s="2">
        <v>81</v>
      </c>
      <c r="F526" s="2">
        <v>1476.209</v>
      </c>
    </row>
    <row r="527" spans="3:6" x14ac:dyDescent="0.25">
      <c r="C527" s="2" t="s">
        <v>4151</v>
      </c>
      <c r="D527" s="2" t="s">
        <v>82</v>
      </c>
      <c r="E527" s="2">
        <v>64</v>
      </c>
      <c r="F527" s="2">
        <v>1245.46</v>
      </c>
    </row>
    <row r="528" spans="3:6" x14ac:dyDescent="0.25">
      <c r="C528" s="2" t="s">
        <v>4152</v>
      </c>
      <c r="D528" s="2" t="s">
        <v>82</v>
      </c>
      <c r="E528" s="2">
        <v>38</v>
      </c>
      <c r="F528" s="2">
        <v>797.24</v>
      </c>
    </row>
    <row r="529" spans="3:6" x14ac:dyDescent="0.25">
      <c r="C529" s="2" t="s">
        <v>4153</v>
      </c>
      <c r="D529" s="2" t="s">
        <v>82</v>
      </c>
      <c r="E529" s="2">
        <v>141</v>
      </c>
      <c r="F529" s="2">
        <v>2808.35</v>
      </c>
    </row>
    <row r="530" spans="3:6" x14ac:dyDescent="0.25">
      <c r="C530" s="2" t="s">
        <v>4154</v>
      </c>
      <c r="D530" s="2" t="s">
        <v>82</v>
      </c>
      <c r="E530" s="2">
        <v>141</v>
      </c>
      <c r="F530" s="2">
        <v>2885.039</v>
      </c>
    </row>
    <row r="531" spans="3:6" x14ac:dyDescent="0.25">
      <c r="C531" s="2" t="s">
        <v>4155</v>
      </c>
      <c r="D531" s="2" t="s">
        <v>82</v>
      </c>
      <c r="E531" s="2">
        <v>141</v>
      </c>
      <c r="F531" s="2">
        <v>3062.72</v>
      </c>
    </row>
    <row r="532" spans="3:6" x14ac:dyDescent="0.25">
      <c r="C532" s="2" t="s">
        <v>4156</v>
      </c>
      <c r="D532" s="2" t="s">
        <v>82</v>
      </c>
      <c r="E532" s="2">
        <v>19</v>
      </c>
      <c r="F532" s="2">
        <f>364.09+39.35</f>
        <v>403.44</v>
      </c>
    </row>
    <row r="533" spans="3:6" x14ac:dyDescent="0.25">
      <c r="C533" s="2" t="s">
        <v>4157</v>
      </c>
      <c r="D533" s="2" t="s">
        <v>82</v>
      </c>
      <c r="E533" s="2">
        <v>21</v>
      </c>
      <c r="F533" s="2">
        <v>444.51</v>
      </c>
    </row>
    <row r="534" spans="3:6" x14ac:dyDescent="0.25">
      <c r="C534" s="2" t="s">
        <v>4158</v>
      </c>
      <c r="D534" s="2" t="s">
        <v>82</v>
      </c>
      <c r="E534" s="2">
        <v>37</v>
      </c>
      <c r="F534" s="2">
        <v>736.2</v>
      </c>
    </row>
    <row r="535" spans="3:6" x14ac:dyDescent="0.25">
      <c r="C535" s="2" t="s">
        <v>4159</v>
      </c>
      <c r="D535" s="2" t="s">
        <v>82</v>
      </c>
      <c r="E535" s="2">
        <v>66</v>
      </c>
      <c r="F535" s="2">
        <v>1336.999</v>
      </c>
    </row>
    <row r="536" spans="3:6" x14ac:dyDescent="0.25">
      <c r="C536" s="2" t="s">
        <v>4160</v>
      </c>
      <c r="D536" s="2" t="s">
        <v>82</v>
      </c>
      <c r="E536" s="2">
        <v>141</v>
      </c>
      <c r="F536" s="2">
        <v>2823.049</v>
      </c>
    </row>
    <row r="537" spans="3:6" x14ac:dyDescent="0.25">
      <c r="C537" s="2" t="s">
        <v>4161</v>
      </c>
      <c r="D537" s="2" t="s">
        <v>82</v>
      </c>
      <c r="E537" s="2">
        <v>11</v>
      </c>
      <c r="F537" s="2">
        <v>207.97</v>
      </c>
    </row>
    <row r="538" spans="3:6" x14ac:dyDescent="0.25">
      <c r="C538" s="2" t="s">
        <v>4162</v>
      </c>
      <c r="D538" s="2" t="s">
        <v>82</v>
      </c>
      <c r="E538" s="2">
        <v>36</v>
      </c>
      <c r="F538" s="2">
        <v>756.35</v>
      </c>
    </row>
    <row r="539" spans="3:6" x14ac:dyDescent="0.25">
      <c r="C539" s="2" t="s">
        <v>4163</v>
      </c>
      <c r="D539" s="2" t="s">
        <v>82</v>
      </c>
      <c r="E539" s="2">
        <v>27</v>
      </c>
      <c r="F539" s="2">
        <v>545.96</v>
      </c>
    </row>
    <row r="540" spans="3:6" x14ac:dyDescent="0.25">
      <c r="C540" s="2" t="s">
        <v>4164</v>
      </c>
      <c r="D540" s="2" t="s">
        <v>82</v>
      </c>
      <c r="E540" s="2">
        <v>67</v>
      </c>
      <c r="F540" s="2">
        <v>1395.59</v>
      </c>
    </row>
    <row r="541" spans="3:6" x14ac:dyDescent="0.25">
      <c r="C541" s="2" t="s">
        <v>4165</v>
      </c>
      <c r="D541" s="2" t="s">
        <v>82</v>
      </c>
      <c r="E541" s="2">
        <v>104</v>
      </c>
      <c r="F541" s="2">
        <v>1997.17</v>
      </c>
    </row>
    <row r="542" spans="3:6" x14ac:dyDescent="0.25">
      <c r="C542" s="2" t="s">
        <v>4166</v>
      </c>
      <c r="D542" s="2" t="s">
        <v>82</v>
      </c>
      <c r="E542" s="2" t="s">
        <v>4167</v>
      </c>
      <c r="F542" s="2" t="s">
        <v>4167</v>
      </c>
    </row>
    <row r="543" spans="3:6" x14ac:dyDescent="0.25">
      <c r="C543" s="2" t="s">
        <v>4168</v>
      </c>
      <c r="D543" s="2" t="s">
        <v>82</v>
      </c>
      <c r="E543" s="2" t="s">
        <v>4167</v>
      </c>
      <c r="F543" s="2" t="s">
        <v>4167</v>
      </c>
    </row>
    <row r="544" spans="3:6" x14ac:dyDescent="0.25">
      <c r="C544" s="2" t="s">
        <v>4169</v>
      </c>
      <c r="D544" s="2" t="s">
        <v>82</v>
      </c>
      <c r="E544" s="2">
        <v>141</v>
      </c>
      <c r="F544" s="2">
        <v>2940.71</v>
      </c>
    </row>
    <row r="545" spans="3:6" x14ac:dyDescent="0.25">
      <c r="C545" s="2" t="s">
        <v>4170</v>
      </c>
      <c r="D545" s="2" t="s">
        <v>82</v>
      </c>
      <c r="E545" s="2">
        <v>22</v>
      </c>
      <c r="F545" s="2">
        <v>431.14</v>
      </c>
    </row>
    <row r="546" spans="3:6" x14ac:dyDescent="0.25">
      <c r="C546" s="2" t="s">
        <v>4171</v>
      </c>
      <c r="D546" s="2" t="s">
        <v>82</v>
      </c>
      <c r="E546" s="2">
        <v>120</v>
      </c>
      <c r="F546" s="2">
        <v>2394.52</v>
      </c>
    </row>
    <row r="548" spans="1:7" x14ac:dyDescent="0.25">
      <c r="A548" s="1">
        <v>46178</v>
      </c>
      <c r="B548" s="2" t="s">
        <v>897</v>
      </c>
      <c r="C548" s="2" t="s">
        <v>4172</v>
      </c>
      <c r="D548" s="2" t="s">
        <v>292</v>
      </c>
      <c r="E548" s="2">
        <v>123</v>
      </c>
      <c r="F548" s="2">
        <v>2532.49</v>
      </c>
      <c r="G548" s="1">
        <v>46179</v>
      </c>
    </row>
    <row r="549" spans="3:6" x14ac:dyDescent="0.25">
      <c r="C549" s="2" t="s">
        <v>4173</v>
      </c>
      <c r="D549" s="2" t="s">
        <v>292</v>
      </c>
      <c r="E549" s="2">
        <v>91</v>
      </c>
      <c r="F549" s="2">
        <v>1486.387</v>
      </c>
    </row>
    <row r="550" spans="3:6" x14ac:dyDescent="0.25">
      <c r="C550" s="2" t="s">
        <v>4174</v>
      </c>
      <c r="D550" s="2" t="s">
        <v>292</v>
      </c>
      <c r="E550" s="2">
        <v>31</v>
      </c>
      <c r="F550" s="2">
        <v>531.75</v>
      </c>
    </row>
    <row r="551" spans="3:6" x14ac:dyDescent="0.25">
      <c r="C551" s="2" t="s">
        <v>4175</v>
      </c>
      <c r="D551" s="2" t="s">
        <v>292</v>
      </c>
      <c r="E551" s="2">
        <v>141</v>
      </c>
      <c r="F551" s="2">
        <v>1726.68</v>
      </c>
    </row>
    <row r="552" spans="3:6" x14ac:dyDescent="0.25">
      <c r="C552" s="2" t="s">
        <v>4176</v>
      </c>
      <c r="D552" s="2" t="s">
        <v>292</v>
      </c>
      <c r="E552" s="2">
        <v>84</v>
      </c>
      <c r="F552" s="2">
        <v>1829.62</v>
      </c>
    </row>
    <row r="553" spans="3:6" x14ac:dyDescent="0.25">
      <c r="C553" s="2" t="s">
        <v>4177</v>
      </c>
      <c r="D553" s="2" t="s">
        <v>292</v>
      </c>
      <c r="E553" s="2">
        <v>39</v>
      </c>
      <c r="F553" s="2">
        <v>741.6</v>
      </c>
    </row>
    <row r="554" spans="3:6" x14ac:dyDescent="0.25">
      <c r="C554" s="2" t="s">
        <v>4178</v>
      </c>
      <c r="D554" s="2" t="s">
        <v>292</v>
      </c>
      <c r="E554" s="2">
        <v>128</v>
      </c>
      <c r="F554" s="2">
        <v>2428.413</v>
      </c>
    </row>
    <row r="555" spans="3:6" x14ac:dyDescent="0.25">
      <c r="C555" s="2" t="s">
        <v>4179</v>
      </c>
      <c r="D555" s="2" t="s">
        <v>292</v>
      </c>
      <c r="E555" s="2">
        <v>141</v>
      </c>
      <c r="F555" s="2">
        <v>2743.99</v>
      </c>
    </row>
    <row r="556" spans="3:6" x14ac:dyDescent="0.25">
      <c r="C556" s="2" t="s">
        <v>4180</v>
      </c>
      <c r="D556" s="2" t="s">
        <v>292</v>
      </c>
      <c r="E556" s="2">
        <v>50</v>
      </c>
      <c r="F556" s="2">
        <v>265.23</v>
      </c>
    </row>
    <row r="557" spans="3:6" x14ac:dyDescent="0.25">
      <c r="C557" s="2" t="s">
        <v>4181</v>
      </c>
      <c r="D557" s="2" t="s">
        <v>292</v>
      </c>
      <c r="E557" s="2">
        <v>51</v>
      </c>
      <c r="F557" s="2">
        <v>1064.88</v>
      </c>
    </row>
    <row r="558" spans="3:6" x14ac:dyDescent="0.25">
      <c r="C558" s="2" t="s">
        <v>4182</v>
      </c>
      <c r="D558" s="2" t="s">
        <v>292</v>
      </c>
      <c r="E558" s="2">
        <v>90</v>
      </c>
      <c r="F558" s="2">
        <v>1671.16</v>
      </c>
    </row>
    <row r="559" spans="3:6" x14ac:dyDescent="0.25">
      <c r="C559" s="2" t="s">
        <v>4183</v>
      </c>
      <c r="D559" s="2" t="s">
        <v>292</v>
      </c>
      <c r="E559" s="2">
        <v>123</v>
      </c>
      <c r="F559" s="2">
        <v>2451.39</v>
      </c>
    </row>
    <row r="560" spans="3:6" x14ac:dyDescent="0.25">
      <c r="C560" s="2" t="s">
        <v>4184</v>
      </c>
      <c r="D560" s="2" t="s">
        <v>292</v>
      </c>
      <c r="E560" s="2">
        <v>18</v>
      </c>
      <c r="F560" s="2">
        <v>385.49</v>
      </c>
    </row>
    <row r="561" spans="3:6" x14ac:dyDescent="0.25">
      <c r="C561" s="2" t="s">
        <v>4185</v>
      </c>
      <c r="D561" s="2" t="s">
        <v>292</v>
      </c>
      <c r="E561" s="2">
        <v>78</v>
      </c>
      <c r="F561" s="2">
        <v>1602.449</v>
      </c>
    </row>
    <row r="562" spans="3:6" x14ac:dyDescent="0.25">
      <c r="C562" s="2" t="s">
        <v>4186</v>
      </c>
      <c r="D562" s="2" t="s">
        <v>292</v>
      </c>
      <c r="E562" s="2">
        <v>63</v>
      </c>
      <c r="F562" s="2">
        <v>1221.25</v>
      </c>
    </row>
    <row r="563" spans="3:6" x14ac:dyDescent="0.25">
      <c r="C563" s="2" t="s">
        <v>4187</v>
      </c>
      <c r="D563" s="2" t="s">
        <v>292</v>
      </c>
      <c r="E563" s="2">
        <v>71</v>
      </c>
      <c r="F563" s="2">
        <v>1501.25</v>
      </c>
    </row>
    <row r="564" spans="3:6" x14ac:dyDescent="0.25">
      <c r="C564" s="2" t="s">
        <v>4188</v>
      </c>
      <c r="D564" s="2" t="s">
        <v>292</v>
      </c>
      <c r="E564" s="2">
        <v>61</v>
      </c>
      <c r="F564" s="2">
        <v>1199.81</v>
      </c>
    </row>
    <row r="565" spans="3:6" x14ac:dyDescent="0.25">
      <c r="C565" s="2" t="s">
        <v>4189</v>
      </c>
      <c r="D565" s="2" t="s">
        <v>292</v>
      </c>
      <c r="E565" s="2">
        <v>10</v>
      </c>
      <c r="F565" s="2">
        <v>132.04</v>
      </c>
    </row>
    <row r="566" spans="3:6" x14ac:dyDescent="0.25">
      <c r="C566" s="2" t="s">
        <v>4190</v>
      </c>
      <c r="D566" s="2" t="s">
        <v>292</v>
      </c>
      <c r="E566" s="2">
        <v>60</v>
      </c>
      <c r="F566" s="2">
        <v>305.31</v>
      </c>
    </row>
    <row r="567" spans="3:6" x14ac:dyDescent="0.25">
      <c r="C567" s="2" t="s">
        <v>4191</v>
      </c>
      <c r="D567" s="2" t="s">
        <v>292</v>
      </c>
      <c r="E567" s="2">
        <v>120</v>
      </c>
      <c r="F567" s="2">
        <v>2433.22</v>
      </c>
    </row>
    <row r="568" spans="3:6" x14ac:dyDescent="0.25">
      <c r="C568" s="2" t="s">
        <v>4192</v>
      </c>
      <c r="D568" s="2" t="s">
        <v>292</v>
      </c>
      <c r="E568" s="2">
        <v>21</v>
      </c>
      <c r="F568" s="2">
        <v>433.02</v>
      </c>
    </row>
    <row r="569" spans="3:6" x14ac:dyDescent="0.25">
      <c r="C569" s="2" t="s">
        <v>4193</v>
      </c>
      <c r="D569" s="2" t="s">
        <v>292</v>
      </c>
      <c r="E569" s="2">
        <v>141</v>
      </c>
      <c r="F569" s="2">
        <v>3008.52</v>
      </c>
    </row>
    <row r="570" spans="3:6" x14ac:dyDescent="0.25">
      <c r="C570" s="2" t="s">
        <v>4194</v>
      </c>
      <c r="D570" s="2" t="s">
        <v>292</v>
      </c>
      <c r="E570" s="2">
        <v>99</v>
      </c>
      <c r="F570" s="2">
        <v>2004.29</v>
      </c>
    </row>
    <row r="571" spans="3:6" x14ac:dyDescent="0.25">
      <c r="C571" s="2" t="s">
        <v>4195</v>
      </c>
      <c r="D571" s="2" t="s">
        <v>292</v>
      </c>
      <c r="E571" s="2">
        <v>42</v>
      </c>
      <c r="F571" s="2">
        <v>872.45</v>
      </c>
    </row>
    <row r="572" spans="3:6" x14ac:dyDescent="0.25">
      <c r="C572" s="2" t="s">
        <v>4196</v>
      </c>
      <c r="D572" s="2" t="s">
        <v>292</v>
      </c>
      <c r="E572" s="2">
        <v>45</v>
      </c>
      <c r="F572" s="2">
        <v>211.87</v>
      </c>
    </row>
    <row r="573" spans="3:6" x14ac:dyDescent="0.25">
      <c r="C573" s="2" t="s">
        <v>4197</v>
      </c>
      <c r="D573" s="2" t="s">
        <v>292</v>
      </c>
      <c r="E573" s="2">
        <v>102</v>
      </c>
      <c r="F573" s="2">
        <v>2086.26</v>
      </c>
    </row>
    <row r="574" spans="3:6" x14ac:dyDescent="0.25">
      <c r="C574" s="2" t="s">
        <v>4198</v>
      </c>
      <c r="D574" s="2" t="s">
        <v>292</v>
      </c>
      <c r="E574" s="2">
        <v>30</v>
      </c>
      <c r="F574" s="2">
        <v>376.422</v>
      </c>
    </row>
    <row r="575" spans="3:6" x14ac:dyDescent="0.25">
      <c r="C575" s="2" t="s">
        <v>4199</v>
      </c>
      <c r="D575" s="2" t="s">
        <v>292</v>
      </c>
      <c r="E575" s="2">
        <v>84</v>
      </c>
      <c r="F575" s="2">
        <v>1795.701</v>
      </c>
    </row>
    <row r="576" spans="3:6" x14ac:dyDescent="0.25">
      <c r="C576" s="2" t="s">
        <v>4200</v>
      </c>
      <c r="D576" s="2" t="s">
        <v>292</v>
      </c>
      <c r="E576" s="2">
        <v>37</v>
      </c>
      <c r="F576" s="2">
        <v>727.884</v>
      </c>
    </row>
    <row r="577" spans="3:6" x14ac:dyDescent="0.25">
      <c r="C577" s="2" t="s">
        <v>4201</v>
      </c>
      <c r="D577" s="2" t="s">
        <v>292</v>
      </c>
      <c r="E577" s="2">
        <v>14</v>
      </c>
      <c r="F577" s="2">
        <v>246.68</v>
      </c>
    </row>
    <row r="578" spans="3:6" x14ac:dyDescent="0.25">
      <c r="C578" s="2" t="s">
        <v>4202</v>
      </c>
      <c r="D578" s="2" t="s">
        <v>292</v>
      </c>
      <c r="E578" s="2">
        <v>25</v>
      </c>
      <c r="F578" s="2">
        <v>466.42</v>
      </c>
    </row>
    <row r="579" spans="3:6" x14ac:dyDescent="0.25">
      <c r="C579" s="2" t="s">
        <v>4203</v>
      </c>
      <c r="D579" s="2" t="s">
        <v>292</v>
      </c>
      <c r="E579" s="2">
        <v>102</v>
      </c>
      <c r="F579" s="2">
        <v>2123.1</v>
      </c>
    </row>
    <row r="580" spans="3:6" x14ac:dyDescent="0.25">
      <c r="C580" s="2" t="s">
        <v>4204</v>
      </c>
      <c r="D580" s="2" t="s">
        <v>292</v>
      </c>
      <c r="E580" s="2">
        <v>102</v>
      </c>
      <c r="F580" s="2">
        <v>2107.43</v>
      </c>
    </row>
    <row r="581" spans="3:6" x14ac:dyDescent="0.25">
      <c r="C581" s="2" t="s">
        <v>4205</v>
      </c>
      <c r="D581" s="2" t="s">
        <v>292</v>
      </c>
      <c r="E581" s="2">
        <v>141</v>
      </c>
      <c r="F581" s="2">
        <v>2829.619</v>
      </c>
    </row>
    <row r="582" spans="3:6" x14ac:dyDescent="0.25">
      <c r="C582" s="2" t="s">
        <v>4206</v>
      </c>
      <c r="D582" s="2" t="s">
        <v>292</v>
      </c>
      <c r="E582" s="2">
        <v>141</v>
      </c>
      <c r="F582" s="2">
        <v>2872.59</v>
      </c>
    </row>
    <row r="583" spans="3:6" x14ac:dyDescent="0.25">
      <c r="C583" s="2" t="s">
        <v>4207</v>
      </c>
      <c r="D583" s="2" t="s">
        <v>292</v>
      </c>
      <c r="E583" s="2">
        <v>102</v>
      </c>
      <c r="F583" s="2">
        <v>2116.41</v>
      </c>
    </row>
    <row r="584" spans="3:6" x14ac:dyDescent="0.25">
      <c r="C584" s="2" t="s">
        <v>4208</v>
      </c>
      <c r="D584" s="2" t="s">
        <v>292</v>
      </c>
      <c r="E584" s="2">
        <v>102</v>
      </c>
      <c r="F584" s="2">
        <v>2100.56</v>
      </c>
    </row>
    <row r="585" spans="3:6" x14ac:dyDescent="0.25">
      <c r="C585" s="2" t="s">
        <v>4209</v>
      </c>
      <c r="D585" s="2" t="s">
        <v>292</v>
      </c>
      <c r="E585" s="2">
        <v>102</v>
      </c>
      <c r="F585" s="2">
        <v>2096.48</v>
      </c>
    </row>
    <row r="587" spans="1:7" x14ac:dyDescent="0.25">
      <c r="A587" s="1">
        <v>46178</v>
      </c>
      <c r="B587" s="2" t="s">
        <v>290</v>
      </c>
      <c r="C587" s="2" t="s">
        <v>4210</v>
      </c>
      <c r="D587" s="2" t="s">
        <v>178</v>
      </c>
      <c r="E587" s="2">
        <v>123</v>
      </c>
      <c r="F587" s="2">
        <v>2434.02</v>
      </c>
      <c r="G587" s="1">
        <v>46178</v>
      </c>
    </row>
    <row r="588" spans="3:6" x14ac:dyDescent="0.25">
      <c r="C588" s="2" t="s">
        <v>4211</v>
      </c>
      <c r="D588" s="2" t="s">
        <v>178</v>
      </c>
      <c r="E588" s="2">
        <v>102</v>
      </c>
      <c r="F588" s="2">
        <v>1998.87</v>
      </c>
    </row>
    <row r="589" spans="3:6" x14ac:dyDescent="0.25">
      <c r="C589" s="2" t="s">
        <v>4212</v>
      </c>
      <c r="D589" s="2" t="s">
        <v>178</v>
      </c>
      <c r="E589" s="2">
        <v>102</v>
      </c>
      <c r="F589" s="2">
        <v>2060.789</v>
      </c>
    </row>
    <row r="590" spans="3:6" x14ac:dyDescent="0.25">
      <c r="C590" s="2" t="s">
        <v>4213</v>
      </c>
      <c r="D590" s="2" t="s">
        <v>178</v>
      </c>
      <c r="E590" s="2">
        <v>204</v>
      </c>
      <c r="F590" s="2">
        <v>4243.4</v>
      </c>
    </row>
    <row r="591" spans="3:6" x14ac:dyDescent="0.25">
      <c r="C591" s="2" t="s">
        <v>4214</v>
      </c>
      <c r="D591" s="2" t="s">
        <v>178</v>
      </c>
      <c r="E591" s="2">
        <v>123</v>
      </c>
      <c r="F591" s="2">
        <v>2456.57</v>
      </c>
    </row>
    <row r="592" spans="3:6" x14ac:dyDescent="0.25">
      <c r="C592" s="2" t="s">
        <v>4215</v>
      </c>
      <c r="D592" s="2" t="s">
        <v>178</v>
      </c>
      <c r="E592" s="2">
        <v>134</v>
      </c>
      <c r="F592" s="2">
        <v>2735.429</v>
      </c>
    </row>
    <row r="593" spans="3:6" x14ac:dyDescent="0.25">
      <c r="C593" s="2" t="s">
        <v>4216</v>
      </c>
      <c r="D593" s="2" t="s">
        <v>178</v>
      </c>
      <c r="E593" s="2">
        <v>141</v>
      </c>
      <c r="F593" s="2">
        <v>2891.43</v>
      </c>
    </row>
    <row r="594" spans="3:6" x14ac:dyDescent="0.25">
      <c r="C594" s="2" t="s">
        <v>4217</v>
      </c>
      <c r="D594" s="2" t="s">
        <v>178</v>
      </c>
      <c r="E594" s="2">
        <v>102</v>
      </c>
      <c r="F594" s="2">
        <v>2093.799</v>
      </c>
    </row>
    <row r="595" spans="3:6" x14ac:dyDescent="0.25">
      <c r="C595" s="2" t="s">
        <v>4218</v>
      </c>
      <c r="D595" s="2" t="s">
        <v>178</v>
      </c>
      <c r="E595" s="2">
        <v>60</v>
      </c>
      <c r="F595" s="2">
        <v>250.219</v>
      </c>
    </row>
    <row r="596" spans="3:6" x14ac:dyDescent="0.25">
      <c r="C596" s="2" t="s">
        <v>4219</v>
      </c>
      <c r="D596" s="2" t="s">
        <v>178</v>
      </c>
      <c r="E596" s="2">
        <v>141</v>
      </c>
      <c r="F596" s="2">
        <v>2904.02</v>
      </c>
    </row>
    <row r="597" spans="3:6" x14ac:dyDescent="0.25">
      <c r="C597" s="2" t="s">
        <v>4220</v>
      </c>
      <c r="D597" s="2" t="s">
        <v>178</v>
      </c>
      <c r="E597" s="2">
        <v>141</v>
      </c>
      <c r="F597" s="2">
        <v>2799.91</v>
      </c>
    </row>
    <row r="598" spans="3:6" x14ac:dyDescent="0.25">
      <c r="C598" s="2" t="s">
        <v>4221</v>
      </c>
      <c r="D598" s="2" t="s">
        <v>178</v>
      </c>
      <c r="E598" s="2">
        <v>141</v>
      </c>
      <c r="F598" s="2">
        <v>2784.549</v>
      </c>
    </row>
    <row r="599" spans="3:6" x14ac:dyDescent="0.25">
      <c r="C599" s="2" t="s">
        <v>4222</v>
      </c>
      <c r="D599" s="2" t="s">
        <v>178</v>
      </c>
      <c r="E599" s="2">
        <v>102</v>
      </c>
      <c r="F599" s="2">
        <v>2060.54</v>
      </c>
    </row>
    <row r="600" spans="3:6" x14ac:dyDescent="0.25">
      <c r="C600" s="2" t="s">
        <v>4223</v>
      </c>
      <c r="D600" s="2" t="s">
        <v>178</v>
      </c>
      <c r="E600" s="2">
        <v>30</v>
      </c>
      <c r="F600" s="2">
        <v>132.199</v>
      </c>
    </row>
    <row r="601" spans="3:6" x14ac:dyDescent="0.25">
      <c r="C601" s="2" t="s">
        <v>4224</v>
      </c>
      <c r="D601" s="2" t="s">
        <v>178</v>
      </c>
      <c r="E601" s="2">
        <v>141</v>
      </c>
      <c r="F601" s="2">
        <v>2963.69</v>
      </c>
    </row>
    <row r="602" spans="3:6" x14ac:dyDescent="0.25">
      <c r="C602" s="2" t="s">
        <v>4225</v>
      </c>
      <c r="D602" s="2" t="s">
        <v>178</v>
      </c>
      <c r="E602" s="2">
        <v>141</v>
      </c>
      <c r="F602" s="2">
        <v>2973.66</v>
      </c>
    </row>
    <row r="603" spans="3:6" x14ac:dyDescent="0.25">
      <c r="C603" s="2" t="s">
        <v>4226</v>
      </c>
      <c r="D603" s="2" t="s">
        <v>178</v>
      </c>
      <c r="E603" s="2">
        <v>124</v>
      </c>
      <c r="F603" s="2">
        <v>2571.33</v>
      </c>
    </row>
    <row r="604" spans="3:6" x14ac:dyDescent="0.25">
      <c r="C604" s="2" t="s">
        <v>4227</v>
      </c>
      <c r="D604" s="2" t="s">
        <v>178</v>
      </c>
      <c r="E604" s="2">
        <v>75</v>
      </c>
      <c r="F604" s="2">
        <v>1545.75</v>
      </c>
    </row>
    <row r="605" spans="3:6" x14ac:dyDescent="0.25">
      <c r="C605" s="2" t="s">
        <v>4228</v>
      </c>
      <c r="D605" s="2" t="s">
        <v>178</v>
      </c>
      <c r="E605" s="2">
        <v>48</v>
      </c>
      <c r="F605" s="2">
        <v>1002.82</v>
      </c>
    </row>
    <row r="606" spans="3:6" x14ac:dyDescent="0.25">
      <c r="C606" s="2" t="s">
        <v>4229</v>
      </c>
      <c r="D606" s="2" t="s">
        <v>178</v>
      </c>
      <c r="E606" s="2">
        <v>143</v>
      </c>
      <c r="F606" s="2">
        <v>2799.15</v>
      </c>
    </row>
    <row r="607" spans="3:6" x14ac:dyDescent="0.25">
      <c r="C607" s="2" t="s">
        <v>4230</v>
      </c>
      <c r="D607" s="2" t="s">
        <v>178</v>
      </c>
      <c r="E607" s="2">
        <v>48</v>
      </c>
      <c r="F607" s="2">
        <v>1020.78</v>
      </c>
    </row>
    <row r="608" spans="3:6" x14ac:dyDescent="0.25">
      <c r="C608" s="2" t="s">
        <v>4231</v>
      </c>
      <c r="D608" s="2" t="s">
        <v>178</v>
      </c>
      <c r="E608" s="2">
        <v>94</v>
      </c>
      <c r="F608" s="2">
        <v>1903.74</v>
      </c>
    </row>
    <row r="609" spans="3:6" x14ac:dyDescent="0.25">
      <c r="C609" s="2" t="s">
        <v>4232</v>
      </c>
      <c r="D609" s="2" t="s">
        <v>178</v>
      </c>
      <c r="E609" s="2">
        <v>12</v>
      </c>
      <c r="F609" s="2">
        <v>148.79</v>
      </c>
    </row>
    <row r="610" spans="3:6" x14ac:dyDescent="0.25">
      <c r="C610" s="2" t="s">
        <v>4233</v>
      </c>
      <c r="D610" s="2" t="s">
        <v>178</v>
      </c>
      <c r="E610" s="2">
        <v>10</v>
      </c>
      <c r="F610" s="2">
        <v>168.15</v>
      </c>
    </row>
    <row r="611" spans="3:6" x14ac:dyDescent="0.25">
      <c r="C611" s="2" t="s">
        <v>4234</v>
      </c>
      <c r="D611" s="2" t="s">
        <v>178</v>
      </c>
      <c r="F611" s="2">
        <v>108.94</v>
      </c>
    </row>
    <row r="612" spans="3:6" x14ac:dyDescent="0.25">
      <c r="C612" s="2" t="s">
        <v>4235</v>
      </c>
      <c r="D612" s="2" t="s">
        <v>178</v>
      </c>
      <c r="E612" s="2">
        <v>5</v>
      </c>
      <c r="F612" s="2">
        <v>99.23</v>
      </c>
    </row>
    <row r="613" spans="3:6" x14ac:dyDescent="0.25">
      <c r="C613" s="2" t="s">
        <v>4236</v>
      </c>
      <c r="D613" s="2" t="s">
        <v>178</v>
      </c>
      <c r="E613" s="2">
        <v>5</v>
      </c>
      <c r="F613" s="2">
        <v>94.19</v>
      </c>
    </row>
    <row r="614" spans="3:6" x14ac:dyDescent="0.25">
      <c r="C614" s="2" t="s">
        <v>4237</v>
      </c>
      <c r="D614" s="2" t="s">
        <v>178</v>
      </c>
      <c r="E614" s="2">
        <v>40</v>
      </c>
      <c r="F614" s="2">
        <v>824.76</v>
      </c>
    </row>
    <row r="615" spans="3:6" x14ac:dyDescent="0.25">
      <c r="C615" s="2" t="s">
        <v>4238</v>
      </c>
      <c r="D615" s="2" t="s">
        <v>178</v>
      </c>
      <c r="E615" s="2">
        <v>141</v>
      </c>
      <c r="F615" s="2">
        <v>2844.7</v>
      </c>
    </row>
    <row r="616" spans="3:6" x14ac:dyDescent="0.25">
      <c r="C616" s="2" t="s">
        <v>4239</v>
      </c>
      <c r="D616" s="2" t="s">
        <v>178</v>
      </c>
      <c r="E616" s="2">
        <v>282</v>
      </c>
      <c r="F616" s="2">
        <v>5951.92</v>
      </c>
    </row>
    <row r="617" spans="3:6" x14ac:dyDescent="0.25">
      <c r="C617" s="2" t="s">
        <v>4240</v>
      </c>
      <c r="D617" s="2" t="s">
        <v>178</v>
      </c>
      <c r="E617" s="2">
        <v>141</v>
      </c>
      <c r="F617" s="2">
        <v>3002.15</v>
      </c>
    </row>
    <row r="618" spans="3:6" x14ac:dyDescent="0.25">
      <c r="C618" s="2" t="s">
        <v>4241</v>
      </c>
      <c r="D618" s="2" t="s">
        <v>178</v>
      </c>
      <c r="E618" s="2">
        <v>141</v>
      </c>
      <c r="F618" s="2">
        <v>2921</v>
      </c>
    </row>
    <row r="619" spans="3:6" x14ac:dyDescent="0.25">
      <c r="C619" s="2" t="s">
        <v>4242</v>
      </c>
      <c r="D619" s="2" t="s">
        <v>178</v>
      </c>
      <c r="E619" s="2">
        <v>243</v>
      </c>
      <c r="F619" s="2">
        <v>4990.98</v>
      </c>
    </row>
    <row r="620" spans="3:6" x14ac:dyDescent="0.25">
      <c r="C620" s="2" t="s">
        <v>4243</v>
      </c>
      <c r="D620" s="2" t="s">
        <v>178</v>
      </c>
      <c r="E620" s="2">
        <v>26</v>
      </c>
      <c r="F620" s="2">
        <v>525.25</v>
      </c>
    </row>
    <row r="621" spans="3:6" x14ac:dyDescent="0.25">
      <c r="C621" s="2" t="s">
        <v>4244</v>
      </c>
      <c r="D621" s="2" t="s">
        <v>178</v>
      </c>
      <c r="E621" s="2">
        <v>31</v>
      </c>
      <c r="F621" s="2">
        <v>594.07</v>
      </c>
    </row>
    <row r="622" spans="3:6" x14ac:dyDescent="0.25">
      <c r="C622" s="2" t="s">
        <v>4245</v>
      </c>
      <c r="D622" s="2" t="s">
        <v>178</v>
      </c>
      <c r="E622" s="2">
        <v>84</v>
      </c>
      <c r="F622" s="2">
        <v>1674.18</v>
      </c>
    </row>
    <row r="623" spans="3:6" x14ac:dyDescent="0.25">
      <c r="C623" s="2" t="s">
        <v>4246</v>
      </c>
      <c r="D623" s="2" t="s">
        <v>178</v>
      </c>
      <c r="E623" s="2">
        <v>69</v>
      </c>
      <c r="F623" s="2">
        <v>1357.339</v>
      </c>
    </row>
    <row r="624" spans="3:6" x14ac:dyDescent="0.25">
      <c r="C624" s="2" t="s">
        <v>4247</v>
      </c>
      <c r="D624" s="2" t="s">
        <v>178</v>
      </c>
      <c r="E624" s="2">
        <v>72</v>
      </c>
      <c r="F624" s="2">
        <v>1478.09</v>
      </c>
    </row>
    <row r="625" spans="3:6" x14ac:dyDescent="0.25">
      <c r="C625" s="2" t="s">
        <v>4248</v>
      </c>
      <c r="D625" s="2" t="s">
        <v>178</v>
      </c>
      <c r="E625" s="2">
        <v>141</v>
      </c>
      <c r="F625" s="2">
        <v>2882.96</v>
      </c>
    </row>
    <row r="627" spans="1:7" x14ac:dyDescent="0.25">
      <c r="A627" s="1">
        <v>46178</v>
      </c>
      <c r="B627" s="2" t="s">
        <v>989</v>
      </c>
      <c r="C627" s="2" t="s">
        <v>4249</v>
      </c>
      <c r="D627" s="2" t="s">
        <v>9</v>
      </c>
      <c r="E627" s="2">
        <v>143</v>
      </c>
      <c r="F627" s="2">
        <v>2948.767</v>
      </c>
      <c r="G627" s="1">
        <v>46178</v>
      </c>
    </row>
    <row r="628" spans="3:6" x14ac:dyDescent="0.25">
      <c r="C628" s="2" t="s">
        <v>4250</v>
      </c>
      <c r="D628" s="2" t="s">
        <v>9</v>
      </c>
      <c r="E628" s="2">
        <v>143</v>
      </c>
      <c r="F628" s="2">
        <v>2950.84</v>
      </c>
    </row>
    <row r="629" spans="3:6" x14ac:dyDescent="0.25">
      <c r="C629" s="2" t="s">
        <v>4251</v>
      </c>
      <c r="D629" s="2" t="s">
        <v>9</v>
      </c>
      <c r="E629" s="2">
        <v>90</v>
      </c>
      <c r="F629" s="2">
        <v>1749.168</v>
      </c>
    </row>
    <row r="631" spans="1:7" x14ac:dyDescent="0.25">
      <c r="A631" s="1">
        <v>46178</v>
      </c>
      <c r="B631" s="2" t="s">
        <v>7</v>
      </c>
      <c r="C631" s="2" t="s">
        <v>4252</v>
      </c>
      <c r="D631" s="2" t="s">
        <v>9</v>
      </c>
      <c r="E631" s="2">
        <v>74</v>
      </c>
      <c r="F631" s="2">
        <v>1353.33</v>
      </c>
      <c r="G631" s="1">
        <v>46178</v>
      </c>
    </row>
    <row r="632" spans="3:6" x14ac:dyDescent="0.25">
      <c r="C632" s="2" t="s">
        <v>4253</v>
      </c>
      <c r="D632" s="2" t="s">
        <v>9</v>
      </c>
      <c r="E632" s="2">
        <v>73</v>
      </c>
      <c r="F632" s="2">
        <v>1453.794</v>
      </c>
    </row>
    <row r="634" spans="1:7" x14ac:dyDescent="0.25">
      <c r="A634" s="1">
        <v>46178</v>
      </c>
      <c r="B634" s="2" t="s">
        <v>4254</v>
      </c>
      <c r="C634" s="2" t="s">
        <v>4255</v>
      </c>
      <c r="D634" s="2" t="s">
        <v>4096</v>
      </c>
      <c r="E634" s="2">
        <v>46</v>
      </c>
      <c r="F634" s="2">
        <v>901.64</v>
      </c>
      <c r="G634" s="1">
        <v>46178</v>
      </c>
    </row>
    <row r="635" spans="3:6" x14ac:dyDescent="0.25">
      <c r="C635" s="2" t="s">
        <v>4256</v>
      </c>
      <c r="D635" s="2" t="s">
        <v>4096</v>
      </c>
      <c r="E635" s="2">
        <v>54</v>
      </c>
      <c r="F635" s="2">
        <v>1112.99</v>
      </c>
    </row>
    <row r="637" spans="1:7" x14ac:dyDescent="0.25">
      <c r="A637" s="1">
        <v>46178</v>
      </c>
      <c r="B637" s="2" t="s">
        <v>4257</v>
      </c>
      <c r="C637" s="2" t="s">
        <v>4258</v>
      </c>
      <c r="D637" s="2" t="s">
        <v>3848</v>
      </c>
      <c r="E637" s="2">
        <v>67</v>
      </c>
      <c r="F637" s="2">
        <v>1425.487</v>
      </c>
      <c r="G637" s="1">
        <v>46178</v>
      </c>
    </row>
    <row r="639" spans="1:7" x14ac:dyDescent="0.25">
      <c r="A639" s="1">
        <v>46178</v>
      </c>
      <c r="B639" s="2" t="s">
        <v>4259</v>
      </c>
      <c r="C639" s="2" t="s">
        <v>4260</v>
      </c>
      <c r="D639" s="2" t="s">
        <v>36</v>
      </c>
      <c r="E639" s="2">
        <v>25</v>
      </c>
      <c r="F639" s="2">
        <v>473.5</v>
      </c>
      <c r="G639" s="1">
        <v>46178</v>
      </c>
    </row>
    <row r="640" spans="3:6" x14ac:dyDescent="0.25">
      <c r="C640" s="2" t="s">
        <v>4261</v>
      </c>
      <c r="D640" s="2" t="s">
        <v>36</v>
      </c>
      <c r="E640" s="2">
        <v>80</v>
      </c>
      <c r="F640" s="2">
        <v>1581.64</v>
      </c>
    </row>
    <row r="641" spans="3:6" x14ac:dyDescent="0.25">
      <c r="C641" s="2" t="s">
        <v>4262</v>
      </c>
      <c r="D641" s="2" t="s">
        <v>26</v>
      </c>
      <c r="E641" s="2">
        <v>100</v>
      </c>
      <c r="F641" s="2">
        <v>1987.905</v>
      </c>
    </row>
    <row r="642" spans="3:6" x14ac:dyDescent="0.25">
      <c r="C642" s="2" t="s">
        <v>4263</v>
      </c>
      <c r="D642" s="2" t="s">
        <v>26</v>
      </c>
      <c r="E642" s="2">
        <v>56</v>
      </c>
      <c r="F642" s="2">
        <v>936.885</v>
      </c>
    </row>
    <row r="643" spans="3:6" x14ac:dyDescent="0.25">
      <c r="C643" s="2" t="s">
        <v>4264</v>
      </c>
      <c r="D643" s="2" t="s">
        <v>30</v>
      </c>
      <c r="E643" s="2">
        <v>53</v>
      </c>
      <c r="F643" s="2">
        <v>1048.21</v>
      </c>
    </row>
    <row r="644" spans="3:6" x14ac:dyDescent="0.25">
      <c r="C644" s="2" t="s">
        <v>4265</v>
      </c>
      <c r="D644" s="2" t="s">
        <v>30</v>
      </c>
      <c r="E644" s="2">
        <v>54</v>
      </c>
      <c r="F644" s="2">
        <v>954.5</v>
      </c>
    </row>
    <row r="645" spans="3:6" x14ac:dyDescent="0.25">
      <c r="C645" s="2" t="s">
        <v>4266</v>
      </c>
      <c r="D645" s="2" t="s">
        <v>15</v>
      </c>
      <c r="E645" s="2">
        <v>112</v>
      </c>
      <c r="F645" s="2">
        <v>2163.44</v>
      </c>
    </row>
    <row r="646" spans="3:6" x14ac:dyDescent="0.25">
      <c r="C646" s="2" t="s">
        <v>4267</v>
      </c>
      <c r="D646" s="2" t="s">
        <v>42</v>
      </c>
      <c r="E646" s="2">
        <v>69</v>
      </c>
      <c r="F646" s="2">
        <v>1291.229</v>
      </c>
    </row>
    <row r="647" spans="3:6" x14ac:dyDescent="0.25">
      <c r="C647" s="2" t="s">
        <v>4268</v>
      </c>
      <c r="D647" s="2" t="s">
        <v>42</v>
      </c>
      <c r="E647" s="2">
        <v>51</v>
      </c>
      <c r="F647" s="2">
        <v>904.689</v>
      </c>
    </row>
    <row r="648" spans="3:6" x14ac:dyDescent="0.25">
      <c r="C648" s="2" t="s">
        <v>4269</v>
      </c>
      <c r="D648" s="2" t="s">
        <v>42</v>
      </c>
      <c r="E648" s="2">
        <v>36</v>
      </c>
      <c r="F648" s="2">
        <v>684.59</v>
      </c>
    </row>
    <row r="649" spans="3:6" x14ac:dyDescent="0.25">
      <c r="C649" s="2" t="s">
        <v>4270</v>
      </c>
      <c r="D649" s="2" t="s">
        <v>36</v>
      </c>
      <c r="E649" s="2">
        <v>60</v>
      </c>
      <c r="F649" s="2">
        <v>1053.78</v>
      </c>
    </row>
    <row r="650" spans="3:6" x14ac:dyDescent="0.25">
      <c r="C650" s="2" t="s">
        <v>4271</v>
      </c>
      <c r="D650" s="2" t="s">
        <v>36</v>
      </c>
      <c r="E650" s="2">
        <v>45</v>
      </c>
      <c r="F650" s="2">
        <v>845.53</v>
      </c>
    </row>
    <row r="651" spans="3:6" x14ac:dyDescent="0.25">
      <c r="C651" s="2" t="s">
        <v>4272</v>
      </c>
      <c r="D651" s="2" t="s">
        <v>30</v>
      </c>
      <c r="E651" s="2">
        <v>163</v>
      </c>
      <c r="F651" s="2">
        <v>3092.158</v>
      </c>
    </row>
    <row r="652" spans="3:6" x14ac:dyDescent="0.25">
      <c r="C652" s="2" t="s">
        <v>4273</v>
      </c>
      <c r="D652" s="2" t="s">
        <v>30</v>
      </c>
      <c r="E652" s="2">
        <v>163</v>
      </c>
      <c r="F652" s="2">
        <v>3173.789</v>
      </c>
    </row>
    <row r="653" spans="3:6" x14ac:dyDescent="0.25">
      <c r="C653" s="2" t="s">
        <v>4274</v>
      </c>
      <c r="D653" s="2" t="s">
        <v>26</v>
      </c>
      <c r="E653" s="2">
        <v>100</v>
      </c>
      <c r="F653" s="2">
        <v>1894.928</v>
      </c>
    </row>
    <row r="654" spans="3:6" x14ac:dyDescent="0.25">
      <c r="C654" s="2" t="s">
        <v>4275</v>
      </c>
      <c r="D654" s="2" t="s">
        <v>26</v>
      </c>
      <c r="E654" s="2">
        <v>56</v>
      </c>
      <c r="F654" s="2">
        <v>1143.514</v>
      </c>
    </row>
    <row r="655" spans="3:6" x14ac:dyDescent="0.25">
      <c r="C655" s="2" t="s">
        <v>4276</v>
      </c>
      <c r="D655" s="2" t="s">
        <v>26</v>
      </c>
      <c r="E655" s="2">
        <v>100</v>
      </c>
      <c r="F655" s="2">
        <v>1976.627</v>
      </c>
    </row>
    <row r="656" spans="3:6" x14ac:dyDescent="0.25">
      <c r="C656" s="2" t="s">
        <v>4277</v>
      </c>
      <c r="D656" s="2" t="s">
        <v>26</v>
      </c>
      <c r="E656" s="2">
        <v>56</v>
      </c>
      <c r="F656" s="2">
        <v>1044.079</v>
      </c>
    </row>
    <row r="657" spans="3:6" x14ac:dyDescent="0.25">
      <c r="C657" s="2" t="s">
        <v>4278</v>
      </c>
      <c r="D657" s="2" t="s">
        <v>42</v>
      </c>
      <c r="E657" s="2">
        <v>100</v>
      </c>
      <c r="F657" s="2">
        <v>1867.794</v>
      </c>
    </row>
    <row r="658" spans="3:6" x14ac:dyDescent="0.25">
      <c r="C658" s="2" t="s">
        <v>4279</v>
      </c>
      <c r="D658" s="2" t="s">
        <v>42</v>
      </c>
      <c r="E658" s="2">
        <v>56</v>
      </c>
      <c r="F658" s="2">
        <v>1103.653</v>
      </c>
    </row>
    <row r="659" spans="3:6" x14ac:dyDescent="0.25">
      <c r="C659" s="2" t="s">
        <v>4280</v>
      </c>
      <c r="D659" s="2" t="s">
        <v>15</v>
      </c>
      <c r="E659" s="2">
        <v>134</v>
      </c>
      <c r="F659" s="2">
        <v>2632.279</v>
      </c>
    </row>
    <row r="660" spans="3:6" x14ac:dyDescent="0.25">
      <c r="C660" s="2" t="s">
        <v>4281</v>
      </c>
      <c r="D660" s="2" t="s">
        <v>26</v>
      </c>
      <c r="E660" s="2">
        <v>56</v>
      </c>
      <c r="F660" s="2">
        <v>1084.73</v>
      </c>
    </row>
    <row r="661" spans="3:6" x14ac:dyDescent="0.25">
      <c r="C661" s="2" t="s">
        <v>4282</v>
      </c>
      <c r="D661" s="2" t="s">
        <v>26</v>
      </c>
      <c r="E661" s="2">
        <v>100</v>
      </c>
      <c r="F661" s="2">
        <v>1890.36</v>
      </c>
    </row>
    <row r="662" spans="3:6" x14ac:dyDescent="0.25">
      <c r="C662" s="2" t="s">
        <v>4283</v>
      </c>
      <c r="D662" s="2" t="s">
        <v>26</v>
      </c>
      <c r="E662" s="2">
        <v>56</v>
      </c>
      <c r="F662" s="2">
        <v>1005.977</v>
      </c>
    </row>
    <row r="663" spans="3:6" x14ac:dyDescent="0.25">
      <c r="C663" s="2" t="s">
        <v>4284</v>
      </c>
      <c r="D663" s="2" t="s">
        <v>26</v>
      </c>
      <c r="E663" s="2">
        <v>100</v>
      </c>
      <c r="F663" s="2">
        <v>1907.165</v>
      </c>
    </row>
    <row r="664" spans="3:6" x14ac:dyDescent="0.25">
      <c r="C664" s="2" t="s">
        <v>4285</v>
      </c>
      <c r="D664" s="2" t="s">
        <v>30</v>
      </c>
      <c r="E664" s="2">
        <v>163</v>
      </c>
      <c r="F664" s="2">
        <v>3213.99</v>
      </c>
    </row>
    <row r="665" spans="3:6" x14ac:dyDescent="0.25">
      <c r="C665" s="2" t="s">
        <v>4286</v>
      </c>
      <c r="D665" s="2" t="s">
        <v>30</v>
      </c>
      <c r="E665" s="2">
        <v>163</v>
      </c>
      <c r="F665" s="2">
        <v>3220.84</v>
      </c>
    </row>
    <row r="666" spans="3:6" x14ac:dyDescent="0.25">
      <c r="C666" s="2" t="s">
        <v>4287</v>
      </c>
      <c r="D666" s="2" t="s">
        <v>30</v>
      </c>
      <c r="E666" s="2">
        <v>163</v>
      </c>
      <c r="F666" s="2">
        <v>3158.46</v>
      </c>
    </row>
    <row r="667" spans="3:6" x14ac:dyDescent="0.25">
      <c r="C667" s="2" t="s">
        <v>4288</v>
      </c>
      <c r="D667" s="2" t="s">
        <v>15</v>
      </c>
      <c r="E667" s="2">
        <v>257</v>
      </c>
      <c r="F667" s="2">
        <v>733.407</v>
      </c>
    </row>
    <row r="668" spans="3:6" x14ac:dyDescent="0.25">
      <c r="C668" s="2" t="s">
        <v>4289</v>
      </c>
      <c r="D668" s="2" t="s">
        <v>15</v>
      </c>
      <c r="E668" s="2">
        <v>36</v>
      </c>
      <c r="F668" s="2">
        <v>657.1</v>
      </c>
    </row>
    <row r="669" spans="3:6" x14ac:dyDescent="0.25">
      <c r="C669" s="2" t="s">
        <v>4290</v>
      </c>
      <c r="D669" s="2" t="s">
        <v>15</v>
      </c>
      <c r="E669" s="2">
        <v>134</v>
      </c>
      <c r="F669" s="2">
        <v>2665.91</v>
      </c>
    </row>
    <row r="670" spans="3:6" x14ac:dyDescent="0.25">
      <c r="C670" s="2" t="s">
        <v>4291</v>
      </c>
      <c r="D670" s="2" t="s">
        <v>15</v>
      </c>
      <c r="E670" s="2">
        <v>134</v>
      </c>
      <c r="F670" s="2">
        <v>2666.778</v>
      </c>
    </row>
    <row r="671" spans="3:6" x14ac:dyDescent="0.25">
      <c r="C671" s="2" t="s">
        <v>4292</v>
      </c>
      <c r="D671" s="2" t="s">
        <v>15</v>
      </c>
      <c r="E671" s="2">
        <v>134</v>
      </c>
      <c r="F671" s="2">
        <v>2705.909</v>
      </c>
    </row>
    <row r="672" spans="3:6" x14ac:dyDescent="0.25">
      <c r="C672" s="2" t="s">
        <v>4293</v>
      </c>
      <c r="D672" s="2" t="s">
        <v>15</v>
      </c>
      <c r="E672" s="2">
        <v>134</v>
      </c>
      <c r="F672" s="2">
        <v>2652.87</v>
      </c>
    </row>
    <row r="673" spans="3:6" x14ac:dyDescent="0.25">
      <c r="C673" s="2" t="s">
        <v>4294</v>
      </c>
      <c r="D673" s="2" t="s">
        <v>15</v>
      </c>
      <c r="E673" s="2">
        <v>134</v>
      </c>
      <c r="F673" s="2">
        <v>2755.77</v>
      </c>
    </row>
    <row r="674" spans="3:6" x14ac:dyDescent="0.25">
      <c r="C674" s="2" t="s">
        <v>4051</v>
      </c>
      <c r="D674" s="2" t="s">
        <v>15</v>
      </c>
      <c r="E674" s="2">
        <v>105</v>
      </c>
      <c r="F674" s="2">
        <v>2011.699</v>
      </c>
    </row>
    <row r="675" spans="3:6" x14ac:dyDescent="0.25">
      <c r="C675" s="2" t="s">
        <v>4295</v>
      </c>
      <c r="D675" s="2" t="s">
        <v>136</v>
      </c>
      <c r="E675" s="2">
        <v>31</v>
      </c>
      <c r="F675" s="2">
        <v>548.189</v>
      </c>
    </row>
    <row r="676" spans="3:6" x14ac:dyDescent="0.25">
      <c r="C676" s="2" t="s">
        <v>4296</v>
      </c>
      <c r="D676" s="2" t="s">
        <v>136</v>
      </c>
      <c r="E676" s="2">
        <v>74</v>
      </c>
      <c r="F676" s="2">
        <v>1343.879</v>
      </c>
    </row>
    <row r="677" spans="3:6" x14ac:dyDescent="0.25">
      <c r="C677" s="2" t="s">
        <v>4297</v>
      </c>
      <c r="D677" s="2" t="s">
        <v>42</v>
      </c>
      <c r="E677" s="2">
        <v>63</v>
      </c>
      <c r="F677" s="2">
        <v>1204.579</v>
      </c>
    </row>
    <row r="678" spans="3:6" x14ac:dyDescent="0.25">
      <c r="C678" s="2" t="s">
        <v>4298</v>
      </c>
      <c r="D678" s="2" t="s">
        <v>42</v>
      </c>
      <c r="E678" s="2">
        <v>25</v>
      </c>
      <c r="F678" s="2">
        <v>450.368</v>
      </c>
    </row>
    <row r="679" spans="3:6" x14ac:dyDescent="0.25">
      <c r="C679" s="2" t="s">
        <v>4299</v>
      </c>
      <c r="D679" s="2" t="s">
        <v>42</v>
      </c>
      <c r="E679" s="2">
        <v>17</v>
      </c>
      <c r="F679" s="2">
        <v>317.119</v>
      </c>
    </row>
    <row r="680" spans="3:6" x14ac:dyDescent="0.25">
      <c r="C680" s="2" t="s">
        <v>4300</v>
      </c>
      <c r="D680" s="2" t="s">
        <v>15</v>
      </c>
      <c r="E680" s="2">
        <v>51</v>
      </c>
      <c r="F680" s="2">
        <v>997.77</v>
      </c>
    </row>
    <row r="682" spans="2:6" x14ac:dyDescent="0.25">
      <c r="B682" s="2" t="s">
        <v>48</v>
      </c>
      <c r="C682" s="2" t="s">
        <v>4301</v>
      </c>
      <c r="D682" s="2" t="s">
        <v>30</v>
      </c>
      <c r="E682" s="2">
        <v>18</v>
      </c>
      <c r="F682" s="2">
        <v>240.96</v>
      </c>
    </row>
    <row r="683" spans="3:6" x14ac:dyDescent="0.25">
      <c r="C683" s="2" t="s">
        <v>4302</v>
      </c>
      <c r="D683" s="2" t="s">
        <v>30</v>
      </c>
      <c r="E683" s="2">
        <v>87</v>
      </c>
      <c r="F683" s="2">
        <v>1560.66</v>
      </c>
    </row>
    <row r="684" spans="3:6" x14ac:dyDescent="0.25">
      <c r="C684" s="2" t="s">
        <v>4303</v>
      </c>
      <c r="D684" s="2" t="s">
        <v>30</v>
      </c>
      <c r="E684" s="2">
        <v>149</v>
      </c>
      <c r="F684" s="2">
        <v>2532.109</v>
      </c>
    </row>
    <row r="685" spans="3:6" x14ac:dyDescent="0.25">
      <c r="C685" s="2" t="s">
        <v>4304</v>
      </c>
      <c r="D685" s="2" t="s">
        <v>26</v>
      </c>
      <c r="E685" s="2">
        <v>156</v>
      </c>
      <c r="F685" s="2">
        <v>2736.95</v>
      </c>
    </row>
    <row r="686" spans="3:6" x14ac:dyDescent="0.25">
      <c r="C686" s="2" t="s">
        <v>4305</v>
      </c>
      <c r="D686" s="2" t="s">
        <v>53</v>
      </c>
      <c r="E686" s="2">
        <v>156</v>
      </c>
      <c r="F686" s="2">
        <v>2948.128</v>
      </c>
    </row>
    <row r="688" spans="1:7" x14ac:dyDescent="0.25">
      <c r="A688" s="1">
        <v>46178</v>
      </c>
      <c r="B688" s="2" t="s">
        <v>420</v>
      </c>
      <c r="C688" s="2" t="s">
        <v>4306</v>
      </c>
      <c r="D688" s="2" t="s">
        <v>59</v>
      </c>
      <c r="E688" s="2">
        <v>105</v>
      </c>
      <c r="F688" s="2">
        <v>1944.14</v>
      </c>
      <c r="G688" s="1">
        <v>46177</v>
      </c>
    </row>
    <row r="689" spans="3:6" x14ac:dyDescent="0.25">
      <c r="C689" s="2" t="s">
        <v>4307</v>
      </c>
      <c r="D689" s="2" t="s">
        <v>59</v>
      </c>
      <c r="E689" s="2">
        <v>297</v>
      </c>
      <c r="F689" s="2">
        <v>5432.226</v>
      </c>
    </row>
    <row r="690" spans="3:6" x14ac:dyDescent="0.25">
      <c r="C690" s="2" t="s">
        <v>4308</v>
      </c>
      <c r="D690" s="2" t="s">
        <v>59</v>
      </c>
      <c r="E690" s="2">
        <v>105</v>
      </c>
      <c r="F690" s="2">
        <v>2137.82</v>
      </c>
    </row>
    <row r="691" spans="3:6" x14ac:dyDescent="0.25">
      <c r="C691" s="2" t="s">
        <v>4309</v>
      </c>
      <c r="D691" s="2" t="s">
        <v>59</v>
      </c>
      <c r="E691" s="2">
        <v>90</v>
      </c>
      <c r="F691" s="2">
        <v>1327.564</v>
      </c>
    </row>
    <row r="692" spans="3:6" x14ac:dyDescent="0.25">
      <c r="C692" s="2" t="s">
        <v>4310</v>
      </c>
      <c r="D692" s="2" t="s">
        <v>59</v>
      </c>
      <c r="E692" s="2">
        <v>163</v>
      </c>
      <c r="F692" s="2">
        <v>3184.429</v>
      </c>
    </row>
    <row r="693" spans="3:6" x14ac:dyDescent="0.25">
      <c r="C693" s="2" t="s">
        <v>4311</v>
      </c>
      <c r="D693" s="2" t="s">
        <v>59</v>
      </c>
      <c r="E693" s="2">
        <v>138</v>
      </c>
      <c r="F693" s="2">
        <v>2811.471</v>
      </c>
    </row>
    <row r="694" spans="3:6" x14ac:dyDescent="0.25">
      <c r="C694" s="2" t="s">
        <v>4312</v>
      </c>
      <c r="D694" s="2" t="s">
        <v>59</v>
      </c>
      <c r="E694" s="2">
        <v>163</v>
      </c>
      <c r="F694" s="2">
        <v>3122.308</v>
      </c>
    </row>
    <row r="695" spans="3:6" x14ac:dyDescent="0.25">
      <c r="C695" s="2" t="s">
        <v>4313</v>
      </c>
      <c r="D695" s="2" t="s">
        <v>59</v>
      </c>
      <c r="E695" s="2">
        <v>105</v>
      </c>
      <c r="F695" s="2">
        <v>2003.613</v>
      </c>
    </row>
    <row r="696" spans="3:6" x14ac:dyDescent="0.25">
      <c r="C696" s="2" t="s">
        <v>4314</v>
      </c>
      <c r="D696" s="2" t="s">
        <v>59</v>
      </c>
      <c r="E696" s="2">
        <v>163</v>
      </c>
      <c r="F696" s="2">
        <v>3342.699</v>
      </c>
    </row>
    <row r="697" spans="3:6" x14ac:dyDescent="0.25">
      <c r="C697" s="2" t="s">
        <v>4315</v>
      </c>
      <c r="D697" s="2" t="s">
        <v>59</v>
      </c>
      <c r="E697" s="2">
        <v>105</v>
      </c>
      <c r="F697" s="2">
        <v>2098.22</v>
      </c>
    </row>
    <row r="699" spans="1:7" x14ac:dyDescent="0.25">
      <c r="A699" s="1">
        <v>46178</v>
      </c>
      <c r="B699" s="2" t="s">
        <v>1626</v>
      </c>
      <c r="C699" s="2" t="s">
        <v>4316</v>
      </c>
      <c r="D699" s="2" t="s">
        <v>59</v>
      </c>
      <c r="E699" s="2">
        <v>300</v>
      </c>
      <c r="F699" s="2">
        <v>4542.281</v>
      </c>
      <c r="G699" s="1">
        <v>46178</v>
      </c>
    </row>
    <row r="700" spans="3:6" x14ac:dyDescent="0.25">
      <c r="C700" s="2" t="s">
        <v>4317</v>
      </c>
      <c r="D700" s="2" t="s">
        <v>59</v>
      </c>
      <c r="E700" s="2">
        <v>102</v>
      </c>
      <c r="F700" s="2">
        <v>2076.12</v>
      </c>
    </row>
    <row r="701" spans="3:6" x14ac:dyDescent="0.25">
      <c r="C701" s="2" t="s">
        <v>4318</v>
      </c>
      <c r="D701" s="2" t="s">
        <v>59</v>
      </c>
      <c r="E701" s="2">
        <v>102</v>
      </c>
      <c r="F701" s="2">
        <v>2027.45</v>
      </c>
    </row>
    <row r="702" spans="3:6" x14ac:dyDescent="0.25">
      <c r="C702" s="2" t="s">
        <v>4319</v>
      </c>
      <c r="D702" s="2" t="s">
        <v>59</v>
      </c>
      <c r="E702" s="2">
        <v>149</v>
      </c>
      <c r="F702" s="2">
        <v>2832.548</v>
      </c>
    </row>
    <row r="704" spans="1:7" x14ac:dyDescent="0.25">
      <c r="A704" s="1">
        <v>46178</v>
      </c>
      <c r="B704" s="2" t="s">
        <v>666</v>
      </c>
      <c r="C704" s="2" t="s">
        <v>4320</v>
      </c>
      <c r="D704" s="2" t="s">
        <v>59</v>
      </c>
      <c r="E704" s="2">
        <v>142</v>
      </c>
      <c r="F704" s="2">
        <v>3187.92</v>
      </c>
      <c r="G704" s="1">
        <v>46176</v>
      </c>
    </row>
    <row r="706" spans="1:7" x14ac:dyDescent="0.25">
      <c r="A706" s="1">
        <v>46179</v>
      </c>
      <c r="B706" s="2" t="s">
        <v>4321</v>
      </c>
      <c r="C706" s="2" t="s">
        <v>4322</v>
      </c>
      <c r="D706" s="2" t="s">
        <v>4096</v>
      </c>
      <c r="E706" s="2">
        <v>42</v>
      </c>
      <c r="F706" s="2">
        <v>872.729</v>
      </c>
      <c r="G706" s="1">
        <v>46179</v>
      </c>
    </row>
    <row r="707" spans="3:6" x14ac:dyDescent="0.25">
      <c r="C707" s="2" t="s">
        <v>4323</v>
      </c>
      <c r="D707" s="2" t="s">
        <v>4096</v>
      </c>
      <c r="E707" s="2">
        <v>34</v>
      </c>
      <c r="F707" s="2">
        <v>671.45</v>
      </c>
    </row>
    <row r="708" spans="3:6" x14ac:dyDescent="0.25">
      <c r="C708" s="2" t="s">
        <v>4324</v>
      </c>
      <c r="D708" s="2" t="s">
        <v>4096</v>
      </c>
      <c r="E708" s="2">
        <v>24</v>
      </c>
      <c r="F708" s="2">
        <v>442.42</v>
      </c>
    </row>
    <row r="709" spans="3:6" x14ac:dyDescent="0.25">
      <c r="C709" s="2" t="s">
        <v>4325</v>
      </c>
      <c r="D709" s="2" t="s">
        <v>4096</v>
      </c>
      <c r="E709" s="2">
        <v>141</v>
      </c>
      <c r="F709" s="2">
        <v>2851.48</v>
      </c>
    </row>
    <row r="711" spans="3:7" x14ac:dyDescent="0.25">
      <c r="C711" s="2" t="s">
        <v>4322</v>
      </c>
      <c r="D711" s="2" t="s">
        <v>4096</v>
      </c>
      <c r="E711" s="2">
        <v>42</v>
      </c>
      <c r="F711" s="2">
        <v>872.729</v>
      </c>
      <c r="G711" s="1">
        <v>46179</v>
      </c>
    </row>
    <row r="712" spans="3:6" x14ac:dyDescent="0.25">
      <c r="C712" s="2" t="s">
        <v>4323</v>
      </c>
      <c r="D712" s="2" t="s">
        <v>4096</v>
      </c>
      <c r="E712" s="2">
        <v>34</v>
      </c>
      <c r="F712" s="2">
        <v>671.45</v>
      </c>
    </row>
    <row r="713" spans="3:6" x14ac:dyDescent="0.25">
      <c r="C713" s="2" t="s">
        <v>4324</v>
      </c>
      <c r="D713" s="2" t="s">
        <v>4096</v>
      </c>
      <c r="E713" s="2">
        <v>24</v>
      </c>
      <c r="F713" s="2">
        <v>442.42</v>
      </c>
    </row>
    <row r="715" spans="3:7" x14ac:dyDescent="0.25">
      <c r="C715" s="2" t="s">
        <v>4325</v>
      </c>
      <c r="D715" s="2" t="s">
        <v>4096</v>
      </c>
      <c r="E715" s="2">
        <v>141</v>
      </c>
      <c r="F715" s="2">
        <v>2851.48</v>
      </c>
      <c r="G715" s="1">
        <v>46179</v>
      </c>
    </row>
    <row r="717" spans="1:7" x14ac:dyDescent="0.25">
      <c r="A717" s="1">
        <v>46179</v>
      </c>
      <c r="B717" s="2" t="s">
        <v>1009</v>
      </c>
      <c r="C717" s="2" t="s">
        <v>4326</v>
      </c>
      <c r="D717" s="2" t="s">
        <v>73</v>
      </c>
      <c r="E717" s="2">
        <v>45</v>
      </c>
      <c r="F717" s="2">
        <v>2684</v>
      </c>
      <c r="G717" s="1">
        <v>46179</v>
      </c>
    </row>
    <row r="718" spans="3:6" x14ac:dyDescent="0.25">
      <c r="C718" s="2" t="s">
        <v>4327</v>
      </c>
      <c r="D718" s="2" t="s">
        <v>73</v>
      </c>
      <c r="E718" s="2">
        <v>56</v>
      </c>
      <c r="F718" s="2">
        <v>882</v>
      </c>
    </row>
    <row r="719" spans="3:6" x14ac:dyDescent="0.25">
      <c r="C719" s="2" t="s">
        <v>4328</v>
      </c>
      <c r="D719" s="2" t="s">
        <v>73</v>
      </c>
      <c r="E719" s="2">
        <v>73</v>
      </c>
      <c r="F719" s="2">
        <v>2040</v>
      </c>
    </row>
    <row r="720" spans="3:5" x14ac:dyDescent="0.25">
      <c r="C720" s="2" t="s">
        <v>4329</v>
      </c>
      <c r="D720" s="2" t="s">
        <v>73</v>
      </c>
      <c r="E720" s="2">
        <v>28</v>
      </c>
    </row>
    <row r="721" spans="3:6" x14ac:dyDescent="0.25">
      <c r="C721" s="2" t="s">
        <v>4330</v>
      </c>
      <c r="D721" s="2" t="s">
        <v>73</v>
      </c>
      <c r="E721" s="2">
        <v>101</v>
      </c>
      <c r="F721" s="2">
        <v>2862</v>
      </c>
    </row>
    <row r="722" spans="3:6" x14ac:dyDescent="0.25">
      <c r="C722" s="2" t="s">
        <v>4331</v>
      </c>
      <c r="D722" s="2" t="s">
        <v>73</v>
      </c>
      <c r="E722" s="2">
        <v>101</v>
      </c>
      <c r="F722" s="2">
        <v>3167</v>
      </c>
    </row>
    <row r="724" spans="1:7" x14ac:dyDescent="0.25">
      <c r="A724" s="1">
        <v>46179</v>
      </c>
      <c r="B724" s="2" t="s">
        <v>2368</v>
      </c>
      <c r="C724" s="2" t="s">
        <v>4332</v>
      </c>
      <c r="D724" s="2" t="s">
        <v>292</v>
      </c>
      <c r="E724" s="2">
        <v>89</v>
      </c>
      <c r="F724" s="2">
        <v>1801.101</v>
      </c>
      <c r="G724" s="1">
        <v>65</v>
      </c>
    </row>
    <row r="726" spans="1:7" x14ac:dyDescent="0.25">
      <c r="A726" s="1">
        <v>46179</v>
      </c>
      <c r="B726" s="2" t="s">
        <v>2084</v>
      </c>
      <c r="C726" s="2" t="s">
        <v>4333</v>
      </c>
      <c r="D726" s="2" t="s">
        <v>4334</v>
      </c>
      <c r="E726" s="2">
        <v>100</v>
      </c>
      <c r="F726" s="2">
        <v>1956.16</v>
      </c>
      <c r="G726" s="1">
        <v>46178</v>
      </c>
    </row>
    <row r="728" spans="1:7" x14ac:dyDescent="0.25">
      <c r="A728" s="1">
        <v>46179</v>
      </c>
      <c r="B728" s="2" t="s">
        <v>4335</v>
      </c>
      <c r="C728" s="2" t="s">
        <v>4336</v>
      </c>
      <c r="D728" s="2" t="s">
        <v>82</v>
      </c>
      <c r="E728" s="2">
        <v>141</v>
      </c>
      <c r="F728" s="2">
        <v>2915.72</v>
      </c>
      <c r="G728" s="1">
        <v>46178</v>
      </c>
    </row>
    <row r="729" spans="3:6" x14ac:dyDescent="0.25">
      <c r="C729" s="2" t="s">
        <v>4337</v>
      </c>
      <c r="D729" s="2" t="s">
        <v>82</v>
      </c>
      <c r="E729" s="2">
        <v>141</v>
      </c>
      <c r="F729" s="2">
        <v>2944.13</v>
      </c>
    </row>
    <row r="730" spans="3:6" x14ac:dyDescent="0.25">
      <c r="C730" s="2" t="s">
        <v>4338</v>
      </c>
      <c r="D730" s="2" t="s">
        <v>82</v>
      </c>
      <c r="E730" s="2">
        <v>141</v>
      </c>
      <c r="F730" s="2">
        <v>2734.95</v>
      </c>
    </row>
    <row r="731" spans="3:6" x14ac:dyDescent="0.25">
      <c r="C731" s="2" t="s">
        <v>4339</v>
      </c>
      <c r="D731" s="2" t="s">
        <v>82</v>
      </c>
      <c r="E731" s="2">
        <v>89</v>
      </c>
      <c r="F731" s="2">
        <v>1835.41</v>
      </c>
    </row>
    <row r="732" spans="3:6" x14ac:dyDescent="0.25">
      <c r="C732" s="2" t="s">
        <v>4340</v>
      </c>
      <c r="D732" s="2" t="s">
        <v>82</v>
      </c>
      <c r="E732" s="2">
        <v>52</v>
      </c>
      <c r="F732" s="2">
        <v>1052.79</v>
      </c>
    </row>
    <row r="733" spans="3:6" x14ac:dyDescent="0.25">
      <c r="C733" s="2" t="s">
        <v>4341</v>
      </c>
      <c r="D733" s="2" t="s">
        <v>82</v>
      </c>
      <c r="E733" s="2">
        <v>102</v>
      </c>
      <c r="F733" s="2">
        <v>2095.99</v>
      </c>
    </row>
    <row r="734" spans="3:6" x14ac:dyDescent="0.25">
      <c r="C734" s="2" t="s">
        <v>4342</v>
      </c>
      <c r="D734" s="2" t="s">
        <v>82</v>
      </c>
      <c r="E734" s="2">
        <v>102</v>
      </c>
      <c r="F734" s="2">
        <v>2156.31</v>
      </c>
    </row>
    <row r="735" spans="3:6" x14ac:dyDescent="0.25">
      <c r="C735" s="2" t="s">
        <v>4343</v>
      </c>
      <c r="D735" s="2" t="s">
        <v>82</v>
      </c>
      <c r="E735" s="2">
        <v>60</v>
      </c>
      <c r="F735" s="2">
        <v>257.83</v>
      </c>
    </row>
    <row r="736" spans="3:6" x14ac:dyDescent="0.25">
      <c r="C736" s="2" t="s">
        <v>4344</v>
      </c>
      <c r="D736" s="2" t="s">
        <v>82</v>
      </c>
      <c r="E736" s="2">
        <v>45</v>
      </c>
      <c r="F736" s="2">
        <v>196.22</v>
      </c>
    </row>
    <row r="737" spans="3:6" x14ac:dyDescent="0.25">
      <c r="C737" s="2" t="s">
        <v>4345</v>
      </c>
      <c r="D737" s="2" t="s">
        <v>82</v>
      </c>
      <c r="E737" s="2">
        <v>75</v>
      </c>
      <c r="F737" s="2">
        <v>338.699</v>
      </c>
    </row>
    <row r="738" spans="3:6" x14ac:dyDescent="0.25">
      <c r="C738" s="2" t="s">
        <v>4346</v>
      </c>
      <c r="D738" s="2" t="s">
        <v>82</v>
      </c>
      <c r="E738" s="2">
        <v>113</v>
      </c>
      <c r="F738" s="2">
        <v>2281.29</v>
      </c>
    </row>
    <row r="739" spans="3:6" x14ac:dyDescent="0.25">
      <c r="C739" s="2" t="s">
        <v>4347</v>
      </c>
      <c r="D739" s="2" t="s">
        <v>82</v>
      </c>
      <c r="E739" s="2">
        <v>8</v>
      </c>
      <c r="F739" s="2">
        <v>166.31</v>
      </c>
    </row>
    <row r="740" spans="3:6" x14ac:dyDescent="0.25">
      <c r="C740" s="2" t="s">
        <v>4348</v>
      </c>
      <c r="D740" s="2" t="s">
        <v>82</v>
      </c>
      <c r="E740" s="2">
        <v>69</v>
      </c>
      <c r="F740" s="2">
        <v>1402.19</v>
      </c>
    </row>
    <row r="741" spans="3:6" x14ac:dyDescent="0.25">
      <c r="C741" s="2" t="s">
        <v>4349</v>
      </c>
      <c r="D741" s="2" t="s">
        <v>82</v>
      </c>
      <c r="E741" s="2">
        <v>35</v>
      </c>
      <c r="F741" s="2">
        <v>259.091</v>
      </c>
    </row>
    <row r="742" spans="3:6" x14ac:dyDescent="0.25">
      <c r="C742" s="2" t="s">
        <v>4350</v>
      </c>
      <c r="D742" s="2" t="s">
        <v>82</v>
      </c>
      <c r="E742" s="2">
        <v>11</v>
      </c>
      <c r="F742" s="2">
        <v>162.809</v>
      </c>
    </row>
    <row r="743" spans="3:6" x14ac:dyDescent="0.25">
      <c r="C743" s="2" t="s">
        <v>4351</v>
      </c>
      <c r="D743" s="2" t="s">
        <v>82</v>
      </c>
      <c r="E743" s="2">
        <v>100</v>
      </c>
      <c r="F743" s="2">
        <v>2040.21</v>
      </c>
    </row>
    <row r="744" spans="3:6" x14ac:dyDescent="0.25">
      <c r="C744" s="2" t="s">
        <v>4352</v>
      </c>
      <c r="D744" s="2" t="s">
        <v>82</v>
      </c>
      <c r="E744" s="2">
        <v>21</v>
      </c>
      <c r="F744" s="2">
        <v>422.54</v>
      </c>
    </row>
    <row r="745" spans="3:6" x14ac:dyDescent="0.25">
      <c r="C745" s="2" t="s">
        <v>4353</v>
      </c>
      <c r="D745" s="2" t="s">
        <v>82</v>
      </c>
      <c r="E745" s="2">
        <v>121</v>
      </c>
      <c r="F745" s="2">
        <v>2514.44</v>
      </c>
    </row>
    <row r="746" spans="3:6" x14ac:dyDescent="0.25">
      <c r="C746" s="2" t="s">
        <v>4354</v>
      </c>
      <c r="D746" s="2" t="s">
        <v>82</v>
      </c>
      <c r="E746" s="2">
        <v>50</v>
      </c>
      <c r="F746" s="2">
        <v>910.29</v>
      </c>
    </row>
    <row r="747" spans="3:6" x14ac:dyDescent="0.25">
      <c r="C747" s="2" t="s">
        <v>4355</v>
      </c>
      <c r="D747" s="2" t="s">
        <v>82</v>
      </c>
      <c r="E747" s="2">
        <v>85</v>
      </c>
      <c r="F747" s="2">
        <v>1638.959</v>
      </c>
    </row>
    <row r="748" spans="3:6" x14ac:dyDescent="0.25">
      <c r="C748" s="2" t="s">
        <v>4356</v>
      </c>
      <c r="D748" s="2" t="s">
        <v>82</v>
      </c>
      <c r="E748" s="2">
        <v>141</v>
      </c>
      <c r="F748" s="2">
        <v>2733.149</v>
      </c>
    </row>
    <row r="749" spans="3:6" x14ac:dyDescent="0.25">
      <c r="C749" s="2" t="s">
        <v>4357</v>
      </c>
      <c r="D749" s="2" t="s">
        <v>82</v>
      </c>
      <c r="E749" s="2">
        <v>39</v>
      </c>
      <c r="F749" s="2">
        <v>758.529</v>
      </c>
    </row>
    <row r="750" spans="3:6" x14ac:dyDescent="0.25">
      <c r="C750" s="2" t="s">
        <v>4358</v>
      </c>
      <c r="D750" s="2" t="s">
        <v>82</v>
      </c>
      <c r="E750" s="2">
        <v>41</v>
      </c>
      <c r="F750" s="2">
        <v>771.759</v>
      </c>
    </row>
    <row r="751" spans="3:6" x14ac:dyDescent="0.25">
      <c r="C751" s="2" t="s">
        <v>4359</v>
      </c>
      <c r="D751" s="2" t="s">
        <v>82</v>
      </c>
      <c r="E751" s="2">
        <v>63</v>
      </c>
      <c r="F751" s="2">
        <v>1055.131</v>
      </c>
    </row>
    <row r="752" spans="3:6" x14ac:dyDescent="0.25">
      <c r="C752" s="2" t="s">
        <v>4360</v>
      </c>
      <c r="D752" s="2" t="s">
        <v>82</v>
      </c>
      <c r="E752" s="2">
        <v>26</v>
      </c>
      <c r="F752" s="2">
        <v>516.78</v>
      </c>
    </row>
    <row r="753" spans="3:6" x14ac:dyDescent="0.25">
      <c r="C753" s="2" t="s">
        <v>4361</v>
      </c>
      <c r="D753" s="2" t="s">
        <v>82</v>
      </c>
      <c r="E753" s="2">
        <v>22</v>
      </c>
      <c r="F753" s="2">
        <v>408.41</v>
      </c>
    </row>
    <row r="754" spans="3:6" x14ac:dyDescent="0.25">
      <c r="C754" s="2" t="s">
        <v>4362</v>
      </c>
      <c r="D754" s="2" t="s">
        <v>82</v>
      </c>
      <c r="E754" s="2">
        <v>17</v>
      </c>
      <c r="F754" s="2">
        <v>328.25</v>
      </c>
    </row>
    <row r="755" spans="3:6" x14ac:dyDescent="0.25">
      <c r="C755" s="2" t="s">
        <v>4363</v>
      </c>
      <c r="D755" s="2" t="s">
        <v>82</v>
      </c>
      <c r="E755" s="2">
        <v>38</v>
      </c>
      <c r="F755" s="2">
        <v>789.17</v>
      </c>
    </row>
    <row r="756" spans="3:6" x14ac:dyDescent="0.25">
      <c r="C756" s="2" t="s">
        <v>4364</v>
      </c>
      <c r="D756" s="2" t="s">
        <v>82</v>
      </c>
      <c r="E756" s="2">
        <v>102</v>
      </c>
      <c r="F756" s="2">
        <v>2133.45</v>
      </c>
    </row>
    <row r="757" spans="3:6" x14ac:dyDescent="0.25">
      <c r="C757" s="2" t="s">
        <v>4365</v>
      </c>
      <c r="D757" s="2" t="s">
        <v>82</v>
      </c>
      <c r="E757" s="2">
        <v>20</v>
      </c>
      <c r="F757" s="2">
        <v>404.04</v>
      </c>
    </row>
    <row r="758" spans="3:6" x14ac:dyDescent="0.25">
      <c r="C758" s="2" t="s">
        <v>4366</v>
      </c>
      <c r="D758" s="2" t="s">
        <v>82</v>
      </c>
      <c r="E758" s="2">
        <v>28</v>
      </c>
      <c r="F758" s="2">
        <v>540.44</v>
      </c>
    </row>
    <row r="759" spans="3:6" x14ac:dyDescent="0.25">
      <c r="C759" s="2" t="s">
        <v>4367</v>
      </c>
      <c r="D759" s="2" t="s">
        <v>82</v>
      </c>
      <c r="E759" s="2">
        <v>27</v>
      </c>
      <c r="F759" s="2">
        <v>555.97</v>
      </c>
    </row>
    <row r="761" spans="1:7" x14ac:dyDescent="0.25">
      <c r="A761" s="1">
        <v>46179</v>
      </c>
      <c r="B761" s="2" t="s">
        <v>7</v>
      </c>
      <c r="C761" s="2" t="s">
        <v>4368</v>
      </c>
      <c r="D761" s="2" t="s">
        <v>9</v>
      </c>
      <c r="E761" s="2">
        <v>99</v>
      </c>
      <c r="F761" s="2">
        <v>1800.22</v>
      </c>
      <c r="G761" s="1">
        <v>46178</v>
      </c>
    </row>
    <row r="762" spans="3:6" x14ac:dyDescent="0.25">
      <c r="C762" s="2" t="s">
        <v>4369</v>
      </c>
      <c r="D762" s="2" t="s">
        <v>9</v>
      </c>
      <c r="E762" s="2">
        <v>99</v>
      </c>
      <c r="F762" s="2">
        <v>1978.42</v>
      </c>
    </row>
    <row r="764" spans="1:7" x14ac:dyDescent="0.25">
      <c r="A764" s="1">
        <v>46179</v>
      </c>
      <c r="B764" s="2" t="s">
        <v>2368</v>
      </c>
      <c r="C764" s="2" t="s">
        <v>4332</v>
      </c>
      <c r="D764" s="2" t="s">
        <v>292</v>
      </c>
      <c r="E764" s="2">
        <v>89</v>
      </c>
      <c r="F764" s="2">
        <v>1801.1</v>
      </c>
      <c r="G764" s="1">
        <v>46178</v>
      </c>
    </row>
    <row r="766" spans="1:7" x14ac:dyDescent="0.25">
      <c r="A766" s="1">
        <v>46179</v>
      </c>
      <c r="B766" s="2" t="s">
        <v>4370</v>
      </c>
      <c r="C766" s="2" t="s">
        <v>4371</v>
      </c>
      <c r="D766" s="2" t="s">
        <v>4096</v>
      </c>
      <c r="E766" s="2">
        <v>101</v>
      </c>
      <c r="F766" s="2">
        <v>1990.51</v>
      </c>
      <c r="G766" s="1">
        <v>46178</v>
      </c>
    </row>
    <row r="767" spans="3:6" x14ac:dyDescent="0.25">
      <c r="C767" s="2" t="s">
        <v>4372</v>
      </c>
      <c r="D767" s="2" t="s">
        <v>3848</v>
      </c>
      <c r="E767" s="2">
        <v>50</v>
      </c>
      <c r="F767" s="2">
        <v>1514</v>
      </c>
    </row>
    <row r="769" spans="1:7" x14ac:dyDescent="0.25">
      <c r="A769" s="1">
        <v>46179</v>
      </c>
      <c r="B769" s="2" t="s">
        <v>12</v>
      </c>
      <c r="C769" s="2" t="s">
        <v>4373</v>
      </c>
      <c r="D769" s="2" t="s">
        <v>15</v>
      </c>
      <c r="E769" s="2">
        <v>58</v>
      </c>
      <c r="F769" s="2">
        <v>1115.45</v>
      </c>
      <c r="G769" s="1">
        <v>46179</v>
      </c>
    </row>
    <row r="770" spans="3:6" x14ac:dyDescent="0.25">
      <c r="C770" s="2" t="s">
        <v>4374</v>
      </c>
      <c r="D770" s="2" t="s">
        <v>15</v>
      </c>
      <c r="E770" s="2">
        <v>47</v>
      </c>
      <c r="F770" s="2">
        <v>921.8</v>
      </c>
    </row>
    <row r="771" spans="3:6" x14ac:dyDescent="0.25">
      <c r="C771" s="2" t="s">
        <v>4375</v>
      </c>
      <c r="D771" s="2" t="s">
        <v>15</v>
      </c>
      <c r="E771" s="2">
        <v>105</v>
      </c>
      <c r="F771" s="2">
        <v>2008.785</v>
      </c>
    </row>
    <row r="772" spans="3:6" x14ac:dyDescent="0.25">
      <c r="C772" s="2" t="s">
        <v>4376</v>
      </c>
      <c r="D772" s="2" t="s">
        <v>15</v>
      </c>
      <c r="E772" s="2">
        <v>311</v>
      </c>
      <c r="F772" s="2">
        <v>857.856</v>
      </c>
    </row>
    <row r="773" spans="3:6" x14ac:dyDescent="0.25">
      <c r="C773" s="2" t="s">
        <v>4377</v>
      </c>
      <c r="D773" s="2" t="s">
        <v>15</v>
      </c>
      <c r="E773" s="2">
        <v>156</v>
      </c>
      <c r="F773" s="2">
        <v>2725.73</v>
      </c>
    </row>
    <row r="774" spans="3:6" x14ac:dyDescent="0.25">
      <c r="C774" s="2" t="s">
        <v>4378</v>
      </c>
      <c r="D774" s="2" t="s">
        <v>15</v>
      </c>
      <c r="E774" s="2">
        <v>163</v>
      </c>
      <c r="F774" s="2">
        <v>3038.768</v>
      </c>
    </row>
    <row r="775" spans="3:6" x14ac:dyDescent="0.25">
      <c r="C775" s="2" t="s">
        <v>4379</v>
      </c>
      <c r="D775" s="2" t="s">
        <v>26</v>
      </c>
      <c r="E775" s="2">
        <v>100</v>
      </c>
      <c r="F775" s="2">
        <v>1872.16</v>
      </c>
    </row>
    <row r="776" spans="3:6" x14ac:dyDescent="0.25">
      <c r="C776" s="2" t="s">
        <v>4380</v>
      </c>
      <c r="D776" s="2" t="s">
        <v>26</v>
      </c>
      <c r="E776" s="2">
        <v>56</v>
      </c>
      <c r="F776" s="2">
        <v>1054.075</v>
      </c>
    </row>
    <row r="777" spans="3:6" x14ac:dyDescent="0.25">
      <c r="C777" s="2" t="s">
        <v>4381</v>
      </c>
      <c r="D777" s="2" t="s">
        <v>26</v>
      </c>
      <c r="E777" s="2">
        <v>56</v>
      </c>
      <c r="F777" s="2">
        <v>1093.348</v>
      </c>
    </row>
    <row r="778" spans="3:6" x14ac:dyDescent="0.25">
      <c r="C778" s="2" t="s">
        <v>4382</v>
      </c>
      <c r="D778" s="2" t="s">
        <v>26</v>
      </c>
      <c r="E778" s="2">
        <v>100</v>
      </c>
      <c r="F778" s="2">
        <v>1994.102</v>
      </c>
    </row>
    <row r="779" spans="3:6" x14ac:dyDescent="0.25">
      <c r="C779" s="2" t="s">
        <v>4383</v>
      </c>
      <c r="D779" s="2" t="s">
        <v>26</v>
      </c>
      <c r="E779" s="2">
        <v>56</v>
      </c>
      <c r="F779" s="2">
        <v>1055.13</v>
      </c>
    </row>
    <row r="780" spans="3:6" x14ac:dyDescent="0.25">
      <c r="C780" s="2" t="s">
        <v>4384</v>
      </c>
      <c r="D780" s="2" t="s">
        <v>26</v>
      </c>
      <c r="E780" s="2">
        <v>100</v>
      </c>
      <c r="F780" s="2">
        <v>1864.054</v>
      </c>
    </row>
    <row r="781" spans="3:6" x14ac:dyDescent="0.25">
      <c r="C781" s="2" t="s">
        <v>4385</v>
      </c>
      <c r="D781" s="2" t="s">
        <v>26</v>
      </c>
      <c r="E781" s="2">
        <v>100</v>
      </c>
      <c r="F781" s="2">
        <v>1927.76</v>
      </c>
    </row>
    <row r="782" spans="3:6" x14ac:dyDescent="0.25">
      <c r="C782" s="2" t="s">
        <v>4386</v>
      </c>
      <c r="D782" s="2" t="s">
        <v>26</v>
      </c>
      <c r="E782" s="2">
        <v>56</v>
      </c>
      <c r="F782" s="2">
        <v>1089.158</v>
      </c>
    </row>
    <row r="783" spans="3:6" x14ac:dyDescent="0.25">
      <c r="C783" s="2" t="s">
        <v>4387</v>
      </c>
      <c r="D783" s="2" t="s">
        <v>26</v>
      </c>
      <c r="E783" s="2">
        <v>105</v>
      </c>
      <c r="F783" s="2">
        <v>2037.02</v>
      </c>
    </row>
    <row r="784" spans="3:6" x14ac:dyDescent="0.25">
      <c r="C784" s="2" t="s">
        <v>4388</v>
      </c>
      <c r="D784" s="2" t="s">
        <v>26</v>
      </c>
      <c r="E784" s="2">
        <v>105</v>
      </c>
      <c r="F784" s="2">
        <v>2037.42</v>
      </c>
    </row>
    <row r="785" spans="3:6" x14ac:dyDescent="0.25">
      <c r="C785" s="2" t="s">
        <v>4389</v>
      </c>
      <c r="D785" s="2" t="s">
        <v>30</v>
      </c>
      <c r="E785" s="2">
        <v>156</v>
      </c>
      <c r="F785" s="2">
        <v>3161.72</v>
      </c>
    </row>
    <row r="786" spans="3:6" x14ac:dyDescent="0.25">
      <c r="C786" s="2" t="s">
        <v>4390</v>
      </c>
      <c r="D786" s="2" t="s">
        <v>30</v>
      </c>
      <c r="E786" s="2">
        <v>134</v>
      </c>
      <c r="F786" s="2">
        <v>2690.3</v>
      </c>
    </row>
    <row r="787" spans="3:6" x14ac:dyDescent="0.25">
      <c r="C787" s="2" t="s">
        <v>4391</v>
      </c>
      <c r="D787" s="2" t="s">
        <v>30</v>
      </c>
      <c r="E787" s="2">
        <v>134</v>
      </c>
      <c r="F787" s="2">
        <v>2733.68</v>
      </c>
    </row>
    <row r="788" spans="3:6" x14ac:dyDescent="0.25">
      <c r="C788" s="2" t="s">
        <v>4392</v>
      </c>
      <c r="D788" s="2" t="s">
        <v>30</v>
      </c>
      <c r="E788" s="2">
        <v>134</v>
      </c>
      <c r="F788" s="2">
        <v>2686.36</v>
      </c>
    </row>
    <row r="789" spans="3:6" x14ac:dyDescent="0.25">
      <c r="C789" s="2" t="s">
        <v>4393</v>
      </c>
      <c r="D789" s="2" t="s">
        <v>30</v>
      </c>
      <c r="E789" s="2">
        <v>134</v>
      </c>
      <c r="F789" s="2">
        <v>2704.4</v>
      </c>
    </row>
    <row r="790" spans="3:6" x14ac:dyDescent="0.25">
      <c r="C790" s="2" t="s">
        <v>4394</v>
      </c>
      <c r="D790" s="2" t="s">
        <v>30</v>
      </c>
      <c r="E790" s="2">
        <v>134</v>
      </c>
      <c r="F790" s="2">
        <v>2656.448</v>
      </c>
    </row>
    <row r="791" spans="3:6" x14ac:dyDescent="0.25">
      <c r="C791" s="2" t="s">
        <v>4395</v>
      </c>
      <c r="D791" s="2" t="s">
        <v>30</v>
      </c>
      <c r="E791" s="2">
        <v>134</v>
      </c>
      <c r="F791" s="2">
        <v>2517.1</v>
      </c>
    </row>
    <row r="792" spans="3:6" x14ac:dyDescent="0.25">
      <c r="C792" s="2" t="s">
        <v>4396</v>
      </c>
      <c r="D792" s="2" t="s">
        <v>30</v>
      </c>
      <c r="E792" s="2">
        <v>163</v>
      </c>
      <c r="F792" s="2">
        <v>3124.801</v>
      </c>
    </row>
    <row r="793" spans="3:6" x14ac:dyDescent="0.25">
      <c r="C793" s="2" t="s">
        <v>4397</v>
      </c>
      <c r="D793" s="2" t="s">
        <v>30</v>
      </c>
      <c r="E793" s="2">
        <v>163</v>
      </c>
      <c r="F793" s="2">
        <v>3249.62</v>
      </c>
    </row>
    <row r="794" spans="3:6" x14ac:dyDescent="0.25">
      <c r="C794" s="2" t="s">
        <v>4398</v>
      </c>
      <c r="D794" s="2" t="s">
        <v>30</v>
      </c>
      <c r="E794" s="2">
        <v>95</v>
      </c>
      <c r="F794" s="2">
        <v>1854.849</v>
      </c>
    </row>
    <row r="795" spans="3:6" x14ac:dyDescent="0.25">
      <c r="C795" s="2" t="s">
        <v>4399</v>
      </c>
      <c r="D795" s="2" t="s">
        <v>30</v>
      </c>
      <c r="E795" s="2">
        <v>62</v>
      </c>
      <c r="F795" s="2">
        <v>1120.19</v>
      </c>
    </row>
    <row r="796" spans="3:6" x14ac:dyDescent="0.25">
      <c r="C796" s="2" t="s">
        <v>4400</v>
      </c>
      <c r="D796" s="2" t="s">
        <v>30</v>
      </c>
      <c r="E796" s="2">
        <v>44</v>
      </c>
      <c r="F796" s="2">
        <v>965.4</v>
      </c>
    </row>
    <row r="797" spans="3:6" x14ac:dyDescent="0.25">
      <c r="C797" s="2" t="s">
        <v>4271</v>
      </c>
      <c r="D797" s="2" t="s">
        <v>36</v>
      </c>
      <c r="E797" s="2">
        <v>45</v>
      </c>
      <c r="F797" s="2">
        <v>845.53</v>
      </c>
    </row>
    <row r="798" spans="3:6" x14ac:dyDescent="0.25">
      <c r="C798" s="2" t="s">
        <v>4270</v>
      </c>
      <c r="D798" s="2" t="s">
        <v>36</v>
      </c>
      <c r="E798" s="2">
        <v>60</v>
      </c>
      <c r="F798" s="2">
        <v>1053.78</v>
      </c>
    </row>
    <row r="799" spans="3:6" x14ac:dyDescent="0.25">
      <c r="C799" s="2" t="s">
        <v>4401</v>
      </c>
      <c r="D799" s="2" t="s">
        <v>36</v>
      </c>
      <c r="E799" s="2">
        <v>36</v>
      </c>
      <c r="F799" s="2">
        <v>681</v>
      </c>
    </row>
    <row r="800" spans="3:6" x14ac:dyDescent="0.25">
      <c r="C800" s="2" t="s">
        <v>4402</v>
      </c>
      <c r="D800" s="2" t="s">
        <v>36</v>
      </c>
      <c r="E800" s="2">
        <v>60</v>
      </c>
      <c r="F800" s="2">
        <v>1054.599</v>
      </c>
    </row>
    <row r="801" spans="3:6" x14ac:dyDescent="0.25">
      <c r="C801" s="2" t="s">
        <v>4403</v>
      </c>
      <c r="D801" s="2" t="s">
        <v>36</v>
      </c>
      <c r="E801" s="2">
        <v>60</v>
      </c>
      <c r="F801" s="2">
        <v>1142.18</v>
      </c>
    </row>
    <row r="802" spans="3:6" x14ac:dyDescent="0.25">
      <c r="C802" s="2" t="s">
        <v>4404</v>
      </c>
      <c r="D802" s="2" t="s">
        <v>36</v>
      </c>
      <c r="E802" s="2">
        <v>11</v>
      </c>
      <c r="F802" s="2">
        <v>238.35</v>
      </c>
    </row>
    <row r="803" spans="3:6" x14ac:dyDescent="0.25">
      <c r="C803" s="2" t="s">
        <v>4405</v>
      </c>
      <c r="D803" s="2" t="s">
        <v>36</v>
      </c>
      <c r="E803" s="2">
        <v>80</v>
      </c>
      <c r="F803" s="2">
        <v>1571.92</v>
      </c>
    </row>
    <row r="804" spans="3:6" x14ac:dyDescent="0.25">
      <c r="C804" s="2" t="s">
        <v>4406</v>
      </c>
      <c r="D804" s="2" t="s">
        <v>36</v>
      </c>
      <c r="E804" s="2">
        <v>14</v>
      </c>
      <c r="F804" s="2">
        <v>290.74</v>
      </c>
    </row>
    <row r="805" spans="3:6" x14ac:dyDescent="0.25">
      <c r="C805" s="2" t="s">
        <v>4407</v>
      </c>
      <c r="D805" s="2" t="s">
        <v>36</v>
      </c>
      <c r="E805" s="2">
        <v>80</v>
      </c>
      <c r="F805" s="2">
        <v>1559.499</v>
      </c>
    </row>
    <row r="806" spans="3:6" x14ac:dyDescent="0.25">
      <c r="C806" s="2" t="s">
        <v>4408</v>
      </c>
      <c r="D806" s="2" t="s">
        <v>36</v>
      </c>
      <c r="E806" s="2">
        <v>76</v>
      </c>
      <c r="F806" s="2">
        <v>1463.99</v>
      </c>
    </row>
    <row r="807" spans="3:6" x14ac:dyDescent="0.25">
      <c r="C807" s="2" t="s">
        <v>4409</v>
      </c>
      <c r="D807" s="2" t="s">
        <v>42</v>
      </c>
      <c r="E807" s="2">
        <v>100</v>
      </c>
      <c r="F807" s="2">
        <v>1884.611</v>
      </c>
    </row>
    <row r="808" spans="3:6" x14ac:dyDescent="0.25">
      <c r="C808" s="2" t="s">
        <v>4410</v>
      </c>
      <c r="D808" s="2" t="s">
        <v>42</v>
      </c>
      <c r="E808" s="2">
        <v>56</v>
      </c>
      <c r="F808" s="2">
        <v>1085.651</v>
      </c>
    </row>
    <row r="809" spans="3:6" x14ac:dyDescent="0.25">
      <c r="C809" s="2" t="s">
        <v>4411</v>
      </c>
      <c r="D809" s="2" t="s">
        <v>136</v>
      </c>
      <c r="E809" s="2">
        <v>112</v>
      </c>
      <c r="F809" s="2">
        <v>2062.129</v>
      </c>
    </row>
    <row r="810" spans="3:6" x14ac:dyDescent="0.25">
      <c r="C810" s="2" t="s">
        <v>4412</v>
      </c>
      <c r="D810" s="2" t="s">
        <v>136</v>
      </c>
      <c r="E810" s="2">
        <v>44</v>
      </c>
      <c r="F810" s="2">
        <v>736.129</v>
      </c>
    </row>
    <row r="811" spans="3:6" x14ac:dyDescent="0.25">
      <c r="C811" s="2" t="s">
        <v>4413</v>
      </c>
      <c r="D811" s="2" t="s">
        <v>136</v>
      </c>
      <c r="E811" s="2">
        <v>36</v>
      </c>
      <c r="F811" s="2">
        <v>688.36</v>
      </c>
    </row>
    <row r="813" spans="2:7" x14ac:dyDescent="0.25">
      <c r="B813" s="2" t="s">
        <v>48</v>
      </c>
      <c r="C813" s="2" t="s">
        <v>4414</v>
      </c>
      <c r="D813" s="2" t="s">
        <v>30</v>
      </c>
      <c r="E813" s="2">
        <v>149</v>
      </c>
      <c r="F813" s="2">
        <v>2596.059</v>
      </c>
      <c r="G813" s="1">
        <v>46179</v>
      </c>
    </row>
    <row r="814" spans="3:6" x14ac:dyDescent="0.25">
      <c r="C814" s="2" t="s">
        <v>4415</v>
      </c>
      <c r="D814" s="2" t="s">
        <v>30</v>
      </c>
      <c r="E814" s="2">
        <v>105</v>
      </c>
      <c r="F814" s="2">
        <v>1743.409</v>
      </c>
    </row>
    <row r="815" spans="3:6" x14ac:dyDescent="0.25">
      <c r="C815" s="2" t="s">
        <v>4416</v>
      </c>
      <c r="D815" s="2" t="s">
        <v>30</v>
      </c>
      <c r="E815" s="2">
        <v>105</v>
      </c>
      <c r="F815" s="2">
        <v>1976.238</v>
      </c>
    </row>
    <row r="816" spans="3:6" x14ac:dyDescent="0.25">
      <c r="C816" s="2" t="s">
        <v>4417</v>
      </c>
      <c r="D816" s="2" t="s">
        <v>30</v>
      </c>
      <c r="E816" s="2">
        <v>156</v>
      </c>
      <c r="F816" s="2">
        <v>2819.388</v>
      </c>
    </row>
    <row r="817" spans="3:6" x14ac:dyDescent="0.25">
      <c r="C817" s="2" t="s">
        <v>4418</v>
      </c>
      <c r="D817" s="2" t="s">
        <v>53</v>
      </c>
      <c r="E817" s="2">
        <v>156</v>
      </c>
      <c r="F817" s="2">
        <v>2941.52</v>
      </c>
    </row>
    <row r="819" spans="1:7" x14ac:dyDescent="0.25">
      <c r="A819" s="1">
        <v>46179</v>
      </c>
      <c r="B819" s="2" t="s">
        <v>4419</v>
      </c>
      <c r="C819" s="2" t="s">
        <v>4420</v>
      </c>
      <c r="D819" s="2" t="s">
        <v>15</v>
      </c>
      <c r="E819" s="2">
        <v>105</v>
      </c>
      <c r="F819" s="2">
        <v>2034.83</v>
      </c>
      <c r="G819" s="1">
        <v>46179</v>
      </c>
    </row>
    <row r="820" spans="3:6" x14ac:dyDescent="0.25">
      <c r="C820" s="2" t="s">
        <v>4421</v>
      </c>
      <c r="D820" s="2" t="s">
        <v>15</v>
      </c>
      <c r="E820" s="2">
        <v>134</v>
      </c>
      <c r="F820" s="2">
        <v>2689.059</v>
      </c>
    </row>
    <row r="821" spans="3:6" x14ac:dyDescent="0.25">
      <c r="C821" s="2" t="s">
        <v>4422</v>
      </c>
      <c r="D821" s="2" t="s">
        <v>15</v>
      </c>
      <c r="E821" s="2">
        <v>36</v>
      </c>
      <c r="F821" s="2">
        <v>560.56</v>
      </c>
    </row>
    <row r="822" spans="3:6" x14ac:dyDescent="0.25">
      <c r="C822" s="2" t="s">
        <v>4423</v>
      </c>
      <c r="D822" s="2" t="s">
        <v>15</v>
      </c>
      <c r="E822" s="2">
        <v>50</v>
      </c>
      <c r="F822" s="2">
        <v>999.55</v>
      </c>
    </row>
    <row r="823" spans="3:6" x14ac:dyDescent="0.25">
      <c r="C823" s="2" t="s">
        <v>4424</v>
      </c>
      <c r="D823" s="2" t="s">
        <v>15</v>
      </c>
      <c r="E823" s="2">
        <v>50</v>
      </c>
      <c r="F823" s="2">
        <v>1040.44</v>
      </c>
    </row>
    <row r="824" spans="3:6" x14ac:dyDescent="0.25">
      <c r="C824" s="2" t="s">
        <v>4425</v>
      </c>
      <c r="D824" s="2" t="s">
        <v>15</v>
      </c>
      <c r="E824" s="2">
        <v>209</v>
      </c>
      <c r="F824" s="2">
        <v>575.215</v>
      </c>
    </row>
    <row r="825" spans="3:6" x14ac:dyDescent="0.25">
      <c r="C825" s="2" t="s">
        <v>4426</v>
      </c>
      <c r="D825" s="2" t="s">
        <v>15</v>
      </c>
      <c r="E825" s="2">
        <v>152</v>
      </c>
      <c r="F825" s="2">
        <v>2624.309</v>
      </c>
    </row>
    <row r="826" spans="3:6" x14ac:dyDescent="0.25">
      <c r="C826" s="2" t="s">
        <v>4427</v>
      </c>
      <c r="D826" s="2" t="s">
        <v>15</v>
      </c>
      <c r="E826" s="2">
        <v>156</v>
      </c>
      <c r="F826" s="2">
        <v>3021.1</v>
      </c>
    </row>
    <row r="827" spans="3:6" x14ac:dyDescent="0.25">
      <c r="C827" s="2" t="s">
        <v>4428</v>
      </c>
      <c r="D827" s="2" t="s">
        <v>15</v>
      </c>
      <c r="E827" s="2">
        <v>163</v>
      </c>
      <c r="F827" s="2">
        <v>3082.308</v>
      </c>
    </row>
    <row r="828" spans="3:6" x14ac:dyDescent="0.25">
      <c r="C828" s="2" t="s">
        <v>4429</v>
      </c>
      <c r="D828" s="2" t="s">
        <v>15</v>
      </c>
      <c r="E828" s="2">
        <v>163</v>
      </c>
      <c r="F828" s="2">
        <v>3058.987</v>
      </c>
    </row>
    <row r="829" spans="3:6" x14ac:dyDescent="0.25">
      <c r="C829" s="2" t="s">
        <v>4430</v>
      </c>
      <c r="D829" s="2" t="s">
        <v>15</v>
      </c>
      <c r="E829" s="2">
        <v>163</v>
      </c>
      <c r="F829" s="2">
        <v>3145.488</v>
      </c>
    </row>
    <row r="830" spans="3:6" x14ac:dyDescent="0.25">
      <c r="C830" s="2" t="s">
        <v>4431</v>
      </c>
      <c r="D830" s="2" t="s">
        <v>15</v>
      </c>
      <c r="E830" s="2">
        <v>134</v>
      </c>
      <c r="F830" s="2">
        <v>2699.919</v>
      </c>
    </row>
    <row r="831" spans="3:6" x14ac:dyDescent="0.25">
      <c r="C831" s="2" t="s">
        <v>4432</v>
      </c>
      <c r="D831" s="2" t="s">
        <v>15</v>
      </c>
      <c r="E831" s="2">
        <v>134</v>
      </c>
      <c r="F831" s="2">
        <v>2620.239</v>
      </c>
    </row>
    <row r="832" spans="3:6" x14ac:dyDescent="0.25">
      <c r="C832" s="2" t="s">
        <v>4433</v>
      </c>
      <c r="D832" s="2" t="s">
        <v>15</v>
      </c>
      <c r="E832" s="2">
        <v>134</v>
      </c>
      <c r="F832" s="2">
        <v>2550.029</v>
      </c>
    </row>
    <row r="833" spans="3:6" x14ac:dyDescent="0.25">
      <c r="C833" s="2" t="s">
        <v>4434</v>
      </c>
      <c r="D833" s="2" t="s">
        <v>15</v>
      </c>
      <c r="E833" s="2">
        <v>134</v>
      </c>
      <c r="F833" s="2">
        <v>2655.88</v>
      </c>
    </row>
    <row r="834" spans="3:6" x14ac:dyDescent="0.25">
      <c r="C834" s="2" t="s">
        <v>4435</v>
      </c>
      <c r="D834" s="2" t="s">
        <v>15</v>
      </c>
      <c r="E834" s="2">
        <v>134</v>
      </c>
      <c r="F834" s="2">
        <v>2585.14</v>
      </c>
    </row>
    <row r="835" spans="3:6" x14ac:dyDescent="0.25">
      <c r="C835" s="2" t="s">
        <v>4436</v>
      </c>
      <c r="D835" s="2" t="s">
        <v>15</v>
      </c>
      <c r="E835" s="2">
        <v>163</v>
      </c>
      <c r="F835" s="2">
        <v>3012.509</v>
      </c>
    </row>
    <row r="836" spans="3:6" x14ac:dyDescent="0.25">
      <c r="C836" s="2" t="s">
        <v>4437</v>
      </c>
      <c r="D836" s="2" t="s">
        <v>15</v>
      </c>
      <c r="E836" s="2">
        <v>163</v>
      </c>
      <c r="F836" s="2">
        <v>3149.829</v>
      </c>
    </row>
    <row r="837" spans="3:6" x14ac:dyDescent="0.25">
      <c r="C837" s="2" t="s">
        <v>4438</v>
      </c>
      <c r="D837" s="2" t="s">
        <v>15</v>
      </c>
      <c r="E837" s="2">
        <v>95</v>
      </c>
      <c r="F837" s="2">
        <v>1940.16</v>
      </c>
    </row>
    <row r="838" spans="3:6" x14ac:dyDescent="0.25">
      <c r="C838" s="2" t="s">
        <v>4439</v>
      </c>
      <c r="D838" s="2" t="s">
        <v>15</v>
      </c>
      <c r="E838" s="2">
        <v>100</v>
      </c>
      <c r="F838" s="2">
        <v>1748.2</v>
      </c>
    </row>
    <row r="839" spans="3:6" x14ac:dyDescent="0.25">
      <c r="C839" s="2" t="s">
        <v>4440</v>
      </c>
      <c r="D839" s="2" t="s">
        <v>15</v>
      </c>
      <c r="E839" s="2">
        <v>105</v>
      </c>
      <c r="F839" s="2">
        <v>2125.25</v>
      </c>
    </row>
    <row r="840" spans="3:6" x14ac:dyDescent="0.25">
      <c r="C840" s="2" t="s">
        <v>4441</v>
      </c>
      <c r="D840" s="2" t="s">
        <v>15</v>
      </c>
      <c r="E840" s="2">
        <v>105</v>
      </c>
      <c r="F840" s="2">
        <v>2071.6</v>
      </c>
    </row>
    <row r="841" spans="3:6" x14ac:dyDescent="0.25">
      <c r="C841" s="2" t="s">
        <v>4442</v>
      </c>
      <c r="D841" s="2" t="s">
        <v>15</v>
      </c>
      <c r="E841" s="2">
        <v>105</v>
      </c>
      <c r="F841" s="2">
        <v>1941.428</v>
      </c>
    </row>
    <row r="842" spans="3:6" x14ac:dyDescent="0.25">
      <c r="C842" s="2" t="s">
        <v>4443</v>
      </c>
      <c r="D842" s="2" t="s">
        <v>15</v>
      </c>
      <c r="E842" s="2">
        <v>105</v>
      </c>
      <c r="F842" s="2">
        <v>1953.85</v>
      </c>
    </row>
    <row r="843" spans="3:6" x14ac:dyDescent="0.25">
      <c r="C843" s="2" t="s">
        <v>4444</v>
      </c>
      <c r="D843" s="2" t="s">
        <v>15</v>
      </c>
      <c r="E843" s="2">
        <v>105</v>
      </c>
      <c r="F843" s="2">
        <v>2047.859</v>
      </c>
    </row>
    <row r="844" spans="3:6" x14ac:dyDescent="0.25">
      <c r="C844" s="2" t="s">
        <v>4445</v>
      </c>
      <c r="D844" s="2" t="s">
        <v>15</v>
      </c>
      <c r="E844" s="2">
        <v>105</v>
      </c>
      <c r="F844" s="2">
        <v>2111.19</v>
      </c>
    </row>
    <row r="845" spans="3:6" x14ac:dyDescent="0.25">
      <c r="C845" s="2" t="s">
        <v>4446</v>
      </c>
      <c r="D845" s="2" t="s">
        <v>15</v>
      </c>
      <c r="E845" s="2">
        <v>105</v>
      </c>
      <c r="F845" s="2">
        <v>2025.41</v>
      </c>
    </row>
    <row r="846" spans="3:6" x14ac:dyDescent="0.25">
      <c r="C846" s="2" t="s">
        <v>4447</v>
      </c>
      <c r="D846" s="2" t="s">
        <v>15</v>
      </c>
      <c r="E846" s="2">
        <v>163</v>
      </c>
      <c r="F846" s="2">
        <v>2996.77</v>
      </c>
    </row>
    <row r="847" spans="3:6" x14ac:dyDescent="0.25">
      <c r="C847" s="2" t="s">
        <v>4448</v>
      </c>
      <c r="D847" s="2" t="s">
        <v>15</v>
      </c>
      <c r="E847" s="2">
        <v>163</v>
      </c>
      <c r="F847" s="2">
        <v>3111.518</v>
      </c>
    </row>
    <row r="848" spans="3:6" x14ac:dyDescent="0.25">
      <c r="C848" s="2" t="s">
        <v>4449</v>
      </c>
      <c r="D848" s="2" t="s">
        <v>15</v>
      </c>
      <c r="E848" s="2">
        <v>163</v>
      </c>
      <c r="F848" s="2">
        <v>2930.609</v>
      </c>
    </row>
    <row r="849" spans="3:6" x14ac:dyDescent="0.25">
      <c r="C849" s="2" t="s">
        <v>4450</v>
      </c>
      <c r="D849" s="2" t="s">
        <v>15</v>
      </c>
      <c r="E849" s="2">
        <v>163</v>
      </c>
      <c r="F849" s="2">
        <v>3154.019</v>
      </c>
    </row>
    <row r="850" spans="3:6" x14ac:dyDescent="0.25">
      <c r="C850" s="2" t="s">
        <v>4451</v>
      </c>
      <c r="D850" s="2" t="s">
        <v>15</v>
      </c>
      <c r="E850" s="2">
        <v>163</v>
      </c>
      <c r="F850" s="2">
        <v>3195.449</v>
      </c>
    </row>
    <row r="851" spans="3:6" x14ac:dyDescent="0.25">
      <c r="C851" s="2" t="s">
        <v>4452</v>
      </c>
      <c r="D851" s="2" t="s">
        <v>15</v>
      </c>
      <c r="E851" s="2">
        <v>163</v>
      </c>
      <c r="F851" s="2">
        <v>3139.077</v>
      </c>
    </row>
    <row r="852" spans="3:6" x14ac:dyDescent="0.25">
      <c r="C852" s="2" t="s">
        <v>4453</v>
      </c>
      <c r="D852" s="2" t="s">
        <v>15</v>
      </c>
      <c r="E852" s="2">
        <v>163</v>
      </c>
      <c r="F852" s="2">
        <v>3127.61</v>
      </c>
    </row>
    <row r="853" spans="3:6" x14ac:dyDescent="0.25">
      <c r="C853" s="2" t="s">
        <v>4454</v>
      </c>
      <c r="D853" s="2" t="s">
        <v>15</v>
      </c>
      <c r="E853" s="2">
        <v>163</v>
      </c>
      <c r="F853" s="2">
        <v>3061.599</v>
      </c>
    </row>
    <row r="854" spans="3:6" x14ac:dyDescent="0.25">
      <c r="C854" s="2" t="s">
        <v>4455</v>
      </c>
      <c r="D854" s="2" t="s">
        <v>15</v>
      </c>
      <c r="E854" s="2">
        <v>163</v>
      </c>
      <c r="F854" s="2">
        <v>3041.858</v>
      </c>
    </row>
    <row r="855" spans="3:6" x14ac:dyDescent="0.25">
      <c r="C855" s="2" t="s">
        <v>4456</v>
      </c>
      <c r="D855" s="2" t="s">
        <v>15</v>
      </c>
      <c r="E855" s="2">
        <v>163</v>
      </c>
      <c r="F855" s="2">
        <v>3171.84</v>
      </c>
    </row>
    <row r="856" spans="3:6" x14ac:dyDescent="0.25">
      <c r="C856" s="2" t="s">
        <v>4457</v>
      </c>
      <c r="D856" s="2" t="s">
        <v>15</v>
      </c>
      <c r="E856" s="2">
        <v>163</v>
      </c>
      <c r="F856" s="2">
        <v>3223.99</v>
      </c>
    </row>
    <row r="857" spans="3:6" x14ac:dyDescent="0.25">
      <c r="C857" s="2" t="s">
        <v>4458</v>
      </c>
      <c r="D857" s="2" t="s">
        <v>15</v>
      </c>
      <c r="E857" s="2">
        <v>163</v>
      </c>
      <c r="F857" s="2">
        <v>3090.16</v>
      </c>
    </row>
    <row r="858" spans="3:6" x14ac:dyDescent="0.25">
      <c r="C858" s="2" t="s">
        <v>4459</v>
      </c>
      <c r="D858" s="2" t="s">
        <v>15</v>
      </c>
      <c r="E858" s="2">
        <v>163</v>
      </c>
      <c r="F858" s="2">
        <v>3062.6</v>
      </c>
    </row>
    <row r="859" spans="3:6" x14ac:dyDescent="0.25">
      <c r="C859" s="2" t="s">
        <v>4460</v>
      </c>
      <c r="D859" s="2" t="s">
        <v>15</v>
      </c>
      <c r="E859" s="2">
        <v>148</v>
      </c>
      <c r="F859" s="2">
        <v>2837.12</v>
      </c>
    </row>
    <row r="860" spans="3:6" x14ac:dyDescent="0.25">
      <c r="C860" s="2" t="s">
        <v>4461</v>
      </c>
      <c r="D860" s="2" t="s">
        <v>15</v>
      </c>
      <c r="E860" s="2">
        <v>163</v>
      </c>
      <c r="F860" s="2">
        <v>3055.02</v>
      </c>
    </row>
    <row r="862" spans="1:7" x14ac:dyDescent="0.25">
      <c r="A862" s="1">
        <v>46179</v>
      </c>
      <c r="B862" s="2" t="s">
        <v>420</v>
      </c>
      <c r="C862" s="2" t="s">
        <v>4462</v>
      </c>
      <c r="D862" s="2" t="s">
        <v>59</v>
      </c>
      <c r="E862" s="2">
        <v>66</v>
      </c>
      <c r="F862" s="2">
        <v>1085.36</v>
      </c>
      <c r="G862" s="1">
        <v>46178</v>
      </c>
    </row>
    <row r="863" spans="3:6" x14ac:dyDescent="0.25">
      <c r="C863" s="2" t="s">
        <v>4463</v>
      </c>
      <c r="D863" s="2" t="s">
        <v>59</v>
      </c>
      <c r="E863" s="2">
        <v>164</v>
      </c>
      <c r="F863" s="2">
        <v>3109.339</v>
      </c>
    </row>
    <row r="864" spans="3:6" x14ac:dyDescent="0.25">
      <c r="C864" s="2" t="s">
        <v>4464</v>
      </c>
      <c r="D864" s="2" t="s">
        <v>59</v>
      </c>
      <c r="E864" s="2">
        <v>116</v>
      </c>
      <c r="F864" s="2">
        <v>2539.162</v>
      </c>
    </row>
    <row r="865" spans="3:6" x14ac:dyDescent="0.25">
      <c r="C865" s="2" t="s">
        <v>4465</v>
      </c>
      <c r="D865" s="2" t="s">
        <v>59</v>
      </c>
      <c r="E865" s="2">
        <v>163</v>
      </c>
      <c r="F865" s="2">
        <v>3092.07</v>
      </c>
    </row>
    <row r="866" spans="3:6" x14ac:dyDescent="0.25">
      <c r="C866" s="2" t="s">
        <v>4466</v>
      </c>
      <c r="D866" s="2" t="s">
        <v>59</v>
      </c>
      <c r="E866" s="2">
        <v>163</v>
      </c>
      <c r="F866" s="2">
        <v>1976.713</v>
      </c>
    </row>
    <row r="867" spans="3:6" x14ac:dyDescent="0.25">
      <c r="C867" s="2" t="s">
        <v>4467</v>
      </c>
      <c r="D867" s="2" t="s">
        <v>59</v>
      </c>
      <c r="E867" s="2">
        <v>163</v>
      </c>
      <c r="F867" s="2">
        <v>3098.348</v>
      </c>
    </row>
    <row r="868" spans="3:6" x14ac:dyDescent="0.25">
      <c r="C868" s="2" t="s">
        <v>4468</v>
      </c>
      <c r="D868" s="2" t="s">
        <v>59</v>
      </c>
      <c r="E868" s="2">
        <v>105</v>
      </c>
      <c r="F868" s="2">
        <v>2267.62</v>
      </c>
    </row>
    <row r="869" spans="3:6" x14ac:dyDescent="0.25">
      <c r="C869" s="2" t="s">
        <v>4469</v>
      </c>
      <c r="D869" s="2" t="s">
        <v>59</v>
      </c>
      <c r="E869" s="2">
        <v>163</v>
      </c>
      <c r="F869" s="2">
        <v>3154.41</v>
      </c>
    </row>
    <row r="870" spans="3:6" x14ac:dyDescent="0.25">
      <c r="C870" s="2" t="s">
        <v>4470</v>
      </c>
      <c r="D870" s="2" t="s">
        <v>59</v>
      </c>
      <c r="E870" s="2">
        <v>258</v>
      </c>
      <c r="F870" s="2">
        <v>5270.682</v>
      </c>
    </row>
    <row r="872" spans="1:7" x14ac:dyDescent="0.25">
      <c r="A872" s="1">
        <v>46180</v>
      </c>
      <c r="B872" s="2" t="s">
        <v>1032</v>
      </c>
      <c r="C872" s="2" t="s">
        <v>4471</v>
      </c>
      <c r="D872" s="2" t="s">
        <v>73</v>
      </c>
      <c r="E872" s="2">
        <v>85</v>
      </c>
      <c r="F872" s="2">
        <v>1804.02</v>
      </c>
      <c r="G872" s="1">
        <v>46179</v>
      </c>
    </row>
    <row r="873" spans="3:6" x14ac:dyDescent="0.25">
      <c r="C873" s="2" t="s">
        <v>4472</v>
      </c>
      <c r="D873" s="2" t="s">
        <v>73</v>
      </c>
      <c r="E873" s="2">
        <v>101</v>
      </c>
      <c r="F873" s="2">
        <v>1944.13</v>
      </c>
    </row>
    <row r="874" spans="3:6" x14ac:dyDescent="0.25">
      <c r="C874" s="2" t="s">
        <v>4473</v>
      </c>
      <c r="D874" s="2" t="s">
        <v>73</v>
      </c>
      <c r="E874" s="2">
        <v>45</v>
      </c>
      <c r="F874" s="2">
        <v>778.83</v>
      </c>
    </row>
    <row r="875" spans="3:6" x14ac:dyDescent="0.25">
      <c r="C875" s="2" t="s">
        <v>4474</v>
      </c>
      <c r="D875" s="2" t="s">
        <v>73</v>
      </c>
      <c r="E875" s="2">
        <v>56</v>
      </c>
      <c r="F875" s="2">
        <v>984.81</v>
      </c>
    </row>
    <row r="877" spans="1:7" x14ac:dyDescent="0.25">
      <c r="A877" s="1">
        <v>46180</v>
      </c>
      <c r="B877" s="2" t="s">
        <v>71</v>
      </c>
      <c r="C877" s="2" t="s">
        <v>4475</v>
      </c>
      <c r="D877" s="2" t="s">
        <v>82</v>
      </c>
      <c r="E877" s="2">
        <v>142</v>
      </c>
      <c r="F877" s="2">
        <v>2739.81</v>
      </c>
      <c r="G877" s="1">
        <v>46179</v>
      </c>
    </row>
    <row r="878" spans="3:6" x14ac:dyDescent="0.25">
      <c r="C878" s="2" t="s">
        <v>4476</v>
      </c>
      <c r="D878" s="2" t="s">
        <v>82</v>
      </c>
      <c r="E878" s="2">
        <v>141</v>
      </c>
      <c r="F878" s="2">
        <v>2902.26</v>
      </c>
    </row>
    <row r="879" spans="3:6" x14ac:dyDescent="0.25">
      <c r="C879" s="2" t="s">
        <v>4477</v>
      </c>
      <c r="D879" s="2" t="s">
        <v>82</v>
      </c>
      <c r="E879" s="2">
        <v>141</v>
      </c>
      <c r="F879" s="2">
        <v>2869.7</v>
      </c>
    </row>
    <row r="880" spans="3:6" x14ac:dyDescent="0.25">
      <c r="C880" s="2" t="s">
        <v>4478</v>
      </c>
      <c r="D880" s="2" t="s">
        <v>82</v>
      </c>
      <c r="E880" s="2">
        <v>43</v>
      </c>
      <c r="F880" s="2">
        <v>792.68</v>
      </c>
    </row>
    <row r="881" spans="3:6" x14ac:dyDescent="0.25">
      <c r="C881" s="2" t="s">
        <v>4479</v>
      </c>
      <c r="D881" s="2" t="s">
        <v>82</v>
      </c>
      <c r="E881" s="2">
        <v>22</v>
      </c>
      <c r="F881" s="2">
        <v>482.83</v>
      </c>
    </row>
    <row r="882" spans="3:6" x14ac:dyDescent="0.25">
      <c r="C882" s="2" t="s">
        <v>4480</v>
      </c>
      <c r="D882" s="2" t="s">
        <v>82</v>
      </c>
      <c r="E882" s="2">
        <v>23</v>
      </c>
      <c r="F882" s="2">
        <v>416.76</v>
      </c>
    </row>
    <row r="883" spans="3:6" x14ac:dyDescent="0.25">
      <c r="C883" s="2" t="s">
        <v>4481</v>
      </c>
      <c r="D883" s="2" t="s">
        <v>82</v>
      </c>
      <c r="E883" s="2">
        <v>54</v>
      </c>
      <c r="F883" s="2">
        <v>1116.86</v>
      </c>
    </row>
    <row r="884" spans="3:6" x14ac:dyDescent="0.25">
      <c r="C884" s="2" t="s">
        <v>4482</v>
      </c>
      <c r="D884" s="2" t="s">
        <v>82</v>
      </c>
      <c r="E884" s="2">
        <v>101</v>
      </c>
      <c r="F884" s="2">
        <v>2044.14</v>
      </c>
    </row>
    <row r="885" spans="3:6" x14ac:dyDescent="0.25">
      <c r="C885" s="2" t="s">
        <v>4483</v>
      </c>
      <c r="D885" s="2" t="s">
        <v>82</v>
      </c>
      <c r="E885" s="2">
        <v>121</v>
      </c>
      <c r="F885" s="2">
        <v>2377.1</v>
      </c>
    </row>
    <row r="886" spans="3:6" x14ac:dyDescent="0.25">
      <c r="C886" s="2" t="s">
        <v>4484</v>
      </c>
      <c r="D886" s="2" t="s">
        <v>82</v>
      </c>
      <c r="E886" s="2">
        <v>122</v>
      </c>
      <c r="F886" s="2">
        <v>2426.75</v>
      </c>
    </row>
    <row r="887" spans="3:6" x14ac:dyDescent="0.25">
      <c r="C887" s="2" t="s">
        <v>4485</v>
      </c>
      <c r="D887" s="2" t="s">
        <v>82</v>
      </c>
      <c r="E887" s="2">
        <v>130</v>
      </c>
      <c r="F887" s="2">
        <v>2630.638</v>
      </c>
    </row>
    <row r="888" spans="3:6" x14ac:dyDescent="0.25">
      <c r="C888" s="2" t="s">
        <v>4486</v>
      </c>
      <c r="D888" s="2" t="s">
        <v>82</v>
      </c>
      <c r="E888" s="2">
        <v>11</v>
      </c>
      <c r="F888" s="2">
        <v>225.13</v>
      </c>
    </row>
    <row r="889" spans="3:6" x14ac:dyDescent="0.25">
      <c r="C889" s="2" t="s">
        <v>4487</v>
      </c>
      <c r="D889" s="2" t="s">
        <v>82</v>
      </c>
      <c r="E889" s="2">
        <v>42</v>
      </c>
      <c r="F889" s="2">
        <v>830.43</v>
      </c>
    </row>
    <row r="890" spans="3:6" x14ac:dyDescent="0.25">
      <c r="C890" s="2" t="s">
        <v>4488</v>
      </c>
      <c r="D890" s="2" t="s">
        <v>82</v>
      </c>
      <c r="E890" s="2">
        <v>99</v>
      </c>
      <c r="F890" s="2">
        <v>2007.89</v>
      </c>
    </row>
    <row r="891" spans="3:6" x14ac:dyDescent="0.25">
      <c r="C891" s="2" t="s">
        <v>4489</v>
      </c>
      <c r="D891" s="2" t="s">
        <v>82</v>
      </c>
      <c r="E891" s="2">
        <v>141</v>
      </c>
      <c r="F891" s="2">
        <v>2580.721</v>
      </c>
    </row>
    <row r="892" spans="3:6" x14ac:dyDescent="0.25">
      <c r="C892" s="2" t="s">
        <v>4490</v>
      </c>
      <c r="D892" s="2" t="s">
        <v>82</v>
      </c>
      <c r="E892" s="2">
        <v>141</v>
      </c>
      <c r="F892" s="2">
        <v>2806.98</v>
      </c>
    </row>
    <row r="893" spans="3:6" x14ac:dyDescent="0.25">
      <c r="C893" s="2" t="s">
        <v>4491</v>
      </c>
      <c r="D893" s="2" t="s">
        <v>82</v>
      </c>
      <c r="E893" s="2">
        <v>80</v>
      </c>
      <c r="F893" s="2">
        <v>2382.002</v>
      </c>
    </row>
    <row r="895" spans="1:7" x14ac:dyDescent="0.25">
      <c r="A895" s="1">
        <v>46180</v>
      </c>
      <c r="B895" s="2" t="s">
        <v>7</v>
      </c>
      <c r="C895" s="2" t="s">
        <v>4492</v>
      </c>
      <c r="D895" s="2" t="s">
        <v>9</v>
      </c>
      <c r="E895" s="2">
        <v>99</v>
      </c>
      <c r="F895" s="2">
        <v>1404.553</v>
      </c>
      <c r="G895" s="1">
        <v>46179</v>
      </c>
    </row>
    <row r="896" spans="3:6" x14ac:dyDescent="0.25">
      <c r="C896" s="2" t="s">
        <v>4493</v>
      </c>
      <c r="D896" s="2" t="s">
        <v>9</v>
      </c>
      <c r="E896" s="2">
        <v>99</v>
      </c>
      <c r="F896" s="2">
        <v>1589.479</v>
      </c>
    </row>
    <row r="898" spans="1:7" x14ac:dyDescent="0.25">
      <c r="A898" s="1">
        <v>46180</v>
      </c>
      <c r="B898" s="2" t="s">
        <v>495</v>
      </c>
      <c r="C898" s="2" t="s">
        <v>4494</v>
      </c>
      <c r="D898" s="2" t="s">
        <v>178</v>
      </c>
      <c r="E898" s="2">
        <v>141</v>
      </c>
      <c r="F898" s="2">
        <v>2936.32</v>
      </c>
      <c r="G898" s="1">
        <v>46179</v>
      </c>
    </row>
    <row r="899" spans="3:6" x14ac:dyDescent="0.25">
      <c r="C899" s="2" t="s">
        <v>4495</v>
      </c>
      <c r="D899" s="2" t="s">
        <v>178</v>
      </c>
      <c r="E899" s="2">
        <v>141</v>
      </c>
      <c r="F899" s="2">
        <v>2851.89</v>
      </c>
    </row>
    <row r="900" spans="3:6" x14ac:dyDescent="0.25">
      <c r="C900" s="2" t="s">
        <v>4496</v>
      </c>
      <c r="D900" s="2" t="s">
        <v>178</v>
      </c>
      <c r="E900" s="2">
        <v>123</v>
      </c>
      <c r="F900" s="2">
        <v>2509.849</v>
      </c>
    </row>
    <row r="901" spans="3:6" x14ac:dyDescent="0.25">
      <c r="C901" s="2" t="s">
        <v>4497</v>
      </c>
      <c r="D901" s="2" t="s">
        <v>178</v>
      </c>
      <c r="E901" s="2">
        <v>102</v>
      </c>
      <c r="F901" s="2">
        <v>2112.06</v>
      </c>
    </row>
    <row r="902" spans="3:6" x14ac:dyDescent="0.25">
      <c r="C902" s="2" t="s">
        <v>4498</v>
      </c>
      <c r="D902" s="2" t="s">
        <v>178</v>
      </c>
      <c r="E902" s="2">
        <v>102</v>
      </c>
      <c r="F902" s="2">
        <v>2100.02</v>
      </c>
    </row>
    <row r="903" spans="3:6" x14ac:dyDescent="0.25">
      <c r="C903" s="2" t="s">
        <v>4499</v>
      </c>
      <c r="D903" s="2" t="s">
        <v>178</v>
      </c>
      <c r="E903" s="2">
        <v>204</v>
      </c>
      <c r="F903" s="2">
        <v>4195.81</v>
      </c>
    </row>
    <row r="904" spans="3:6" x14ac:dyDescent="0.25">
      <c r="C904" s="2" t="s">
        <v>4500</v>
      </c>
      <c r="D904" s="2" t="s">
        <v>178</v>
      </c>
      <c r="E904" s="2">
        <v>141</v>
      </c>
      <c r="F904" s="2">
        <v>2826.66</v>
      </c>
    </row>
    <row r="905" spans="3:6" x14ac:dyDescent="0.25">
      <c r="C905" s="2" t="s">
        <v>4501</v>
      </c>
      <c r="D905" s="2" t="s">
        <v>178</v>
      </c>
      <c r="E905" s="2">
        <v>141</v>
      </c>
      <c r="F905" s="2">
        <v>2845.36</v>
      </c>
    </row>
    <row r="906" spans="3:6" x14ac:dyDescent="0.25">
      <c r="C906" s="2" t="s">
        <v>4502</v>
      </c>
      <c r="D906" s="2" t="s">
        <v>178</v>
      </c>
      <c r="E906" s="2">
        <v>141</v>
      </c>
      <c r="F906" s="2">
        <v>2907.17</v>
      </c>
    </row>
    <row r="907" spans="3:6" x14ac:dyDescent="0.25">
      <c r="C907" s="2" t="s">
        <v>4503</v>
      </c>
      <c r="D907" s="2" t="s">
        <v>178</v>
      </c>
      <c r="E907" s="2">
        <v>75</v>
      </c>
      <c r="F907" s="2">
        <v>336.368</v>
      </c>
    </row>
    <row r="908" spans="3:6" x14ac:dyDescent="0.25">
      <c r="C908" s="2" t="s">
        <v>4504</v>
      </c>
      <c r="D908" s="2" t="s">
        <v>178</v>
      </c>
      <c r="E908" s="2">
        <v>123</v>
      </c>
      <c r="F908" s="2">
        <v>2539.52</v>
      </c>
    </row>
    <row r="909" spans="3:6" x14ac:dyDescent="0.25">
      <c r="C909" s="2" t="s">
        <v>4505</v>
      </c>
      <c r="D909" s="2" t="s">
        <v>178</v>
      </c>
      <c r="E909" s="2">
        <v>141</v>
      </c>
      <c r="F909" s="2">
        <v>2969.63</v>
      </c>
    </row>
    <row r="910" spans="3:6" x14ac:dyDescent="0.25">
      <c r="C910" s="2" t="s">
        <v>4506</v>
      </c>
      <c r="D910" s="2" t="s">
        <v>178</v>
      </c>
      <c r="E910" s="2">
        <v>141</v>
      </c>
      <c r="F910" s="2">
        <v>2854.069</v>
      </c>
    </row>
    <row r="911" spans="3:6" x14ac:dyDescent="0.25">
      <c r="C911" s="2" t="s">
        <v>4507</v>
      </c>
      <c r="D911" s="2" t="s">
        <v>178</v>
      </c>
      <c r="E911" s="2">
        <v>102</v>
      </c>
      <c r="F911" s="2">
        <v>2065.16</v>
      </c>
    </row>
    <row r="912" spans="3:6" x14ac:dyDescent="0.25">
      <c r="C912" s="2" t="s">
        <v>4508</v>
      </c>
      <c r="D912" s="2" t="s">
        <v>178</v>
      </c>
      <c r="E912" s="2">
        <v>72</v>
      </c>
      <c r="F912" s="2">
        <v>1420.05</v>
      </c>
    </row>
    <row r="913" spans="3:6" x14ac:dyDescent="0.25">
      <c r="C913" s="2" t="s">
        <v>4509</v>
      </c>
      <c r="D913" s="2" t="s">
        <v>178</v>
      </c>
      <c r="E913" s="2">
        <v>62</v>
      </c>
      <c r="F913" s="2">
        <v>1240.94</v>
      </c>
    </row>
    <row r="914" spans="3:6" x14ac:dyDescent="0.25">
      <c r="C914" s="2" t="s">
        <v>4510</v>
      </c>
      <c r="D914" s="2" t="s">
        <v>178</v>
      </c>
      <c r="E914" s="2">
        <v>123</v>
      </c>
      <c r="F914" s="2">
        <v>2434.9</v>
      </c>
    </row>
    <row r="915" spans="3:6" x14ac:dyDescent="0.25">
      <c r="C915" s="2" t="s">
        <v>4511</v>
      </c>
      <c r="D915" s="2" t="s">
        <v>178</v>
      </c>
      <c r="E915" s="2">
        <v>43</v>
      </c>
      <c r="F915" s="2">
        <v>815.439</v>
      </c>
    </row>
    <row r="916" spans="3:6" x14ac:dyDescent="0.25">
      <c r="C916" s="2" t="s">
        <v>4512</v>
      </c>
      <c r="D916" s="2" t="s">
        <v>178</v>
      </c>
      <c r="E916" s="2">
        <v>80</v>
      </c>
      <c r="F916" s="2">
        <v>1573.07</v>
      </c>
    </row>
    <row r="917" spans="3:6" x14ac:dyDescent="0.25">
      <c r="C917" s="2" t="s">
        <v>4513</v>
      </c>
      <c r="D917" s="2" t="s">
        <v>178</v>
      </c>
      <c r="E917" s="2">
        <v>65</v>
      </c>
      <c r="F917" s="2">
        <v>1333.69</v>
      </c>
    </row>
    <row r="918" spans="3:6" x14ac:dyDescent="0.25">
      <c r="C918" s="2" t="s">
        <v>4514</v>
      </c>
      <c r="D918" s="2" t="s">
        <v>178</v>
      </c>
      <c r="E918" s="2">
        <v>76</v>
      </c>
      <c r="F918" s="2">
        <v>1564.38</v>
      </c>
    </row>
    <row r="919" spans="3:6" x14ac:dyDescent="0.25">
      <c r="C919" s="2" t="s">
        <v>4515</v>
      </c>
      <c r="D919" s="2" t="s">
        <v>178</v>
      </c>
      <c r="E919" s="2">
        <v>141</v>
      </c>
      <c r="F919" s="2">
        <v>2889.11</v>
      </c>
    </row>
    <row r="920" spans="3:6" x14ac:dyDescent="0.25">
      <c r="C920" s="2" t="s">
        <v>4516</v>
      </c>
      <c r="D920" s="2" t="s">
        <v>178</v>
      </c>
      <c r="E920" s="2">
        <v>141</v>
      </c>
      <c r="F920" s="2">
        <v>2685.856</v>
      </c>
    </row>
    <row r="921" spans="3:6" x14ac:dyDescent="0.25">
      <c r="C921" s="2" t="s">
        <v>4517</v>
      </c>
      <c r="D921" s="2" t="s">
        <v>178</v>
      </c>
      <c r="E921" s="2">
        <v>64</v>
      </c>
      <c r="F921" s="2">
        <v>1221.56</v>
      </c>
    </row>
    <row r="922" spans="3:6" x14ac:dyDescent="0.25">
      <c r="C922" s="2" t="s">
        <v>4518</v>
      </c>
      <c r="D922" s="2" t="s">
        <v>178</v>
      </c>
      <c r="E922" s="2">
        <v>77</v>
      </c>
      <c r="F922" s="2">
        <v>1398.06</v>
      </c>
    </row>
    <row r="923" spans="3:6" x14ac:dyDescent="0.25">
      <c r="C923" s="2" t="s">
        <v>4519</v>
      </c>
      <c r="D923" s="2" t="s">
        <v>178</v>
      </c>
      <c r="E923" s="2">
        <v>102</v>
      </c>
      <c r="F923" s="2">
        <v>1814.849</v>
      </c>
    </row>
    <row r="924" spans="3:6" x14ac:dyDescent="0.25">
      <c r="C924" s="2" t="s">
        <v>4520</v>
      </c>
      <c r="D924" s="2" t="s">
        <v>178</v>
      </c>
      <c r="E924" s="2">
        <v>141</v>
      </c>
      <c r="F924" s="2">
        <v>2638.118</v>
      </c>
    </row>
    <row r="925" spans="3:6" x14ac:dyDescent="0.25">
      <c r="C925" s="2" t="s">
        <v>4521</v>
      </c>
      <c r="D925" s="2" t="s">
        <v>178</v>
      </c>
      <c r="E925" s="2">
        <v>38</v>
      </c>
      <c r="F925" s="2">
        <v>754.87</v>
      </c>
    </row>
    <row r="926" spans="3:6" x14ac:dyDescent="0.25">
      <c r="C926" s="2" t="s">
        <v>4522</v>
      </c>
      <c r="D926" s="2" t="s">
        <v>178</v>
      </c>
      <c r="E926" s="2">
        <v>92</v>
      </c>
      <c r="F926" s="2">
        <v>1762.279</v>
      </c>
    </row>
    <row r="927" spans="3:6" x14ac:dyDescent="0.25">
      <c r="C927" s="2" t="s">
        <v>4523</v>
      </c>
      <c r="D927" s="2" t="s">
        <v>178</v>
      </c>
      <c r="E927" s="2">
        <v>13</v>
      </c>
      <c r="F927" s="2">
        <v>193.82</v>
      </c>
    </row>
    <row r="928" spans="3:6" x14ac:dyDescent="0.25">
      <c r="C928" s="2" t="s">
        <v>4524</v>
      </c>
      <c r="D928" s="2" t="s">
        <v>178</v>
      </c>
      <c r="E928" s="2">
        <v>126</v>
      </c>
      <c r="F928" s="2">
        <v>2320.89</v>
      </c>
    </row>
    <row r="929" spans="3:6" x14ac:dyDescent="0.25">
      <c r="C929" s="2" t="s">
        <v>4525</v>
      </c>
      <c r="D929" s="2" t="s">
        <v>178</v>
      </c>
      <c r="E929" s="2">
        <v>17</v>
      </c>
      <c r="F929" s="2">
        <v>316.57</v>
      </c>
    </row>
    <row r="930" spans="3:6" x14ac:dyDescent="0.25">
      <c r="C930" s="2" t="s">
        <v>4526</v>
      </c>
      <c r="D930" s="2" t="s">
        <v>178</v>
      </c>
      <c r="E930" s="2">
        <v>4</v>
      </c>
      <c r="F930" s="2">
        <v>46.4</v>
      </c>
    </row>
    <row r="931" spans="3:6" x14ac:dyDescent="0.25">
      <c r="C931" s="2" t="s">
        <v>4527</v>
      </c>
      <c r="D931" s="2" t="s">
        <v>178</v>
      </c>
      <c r="E931" s="2">
        <v>39</v>
      </c>
      <c r="F931" s="2">
        <v>810.01</v>
      </c>
    </row>
    <row r="932" spans="3:6" x14ac:dyDescent="0.25">
      <c r="C932" s="2" t="s">
        <v>4528</v>
      </c>
      <c r="D932" s="2" t="s">
        <v>178</v>
      </c>
      <c r="E932" s="2">
        <v>32</v>
      </c>
      <c r="F932" s="2">
        <v>621.81</v>
      </c>
    </row>
    <row r="933" spans="3:6" x14ac:dyDescent="0.25">
      <c r="C933" s="2" t="s">
        <v>4529</v>
      </c>
      <c r="D933" s="2" t="s">
        <v>178</v>
      </c>
      <c r="E933" s="2">
        <v>142</v>
      </c>
      <c r="F933" s="2">
        <v>2441.79</v>
      </c>
    </row>
    <row r="934" spans="3:6" x14ac:dyDescent="0.25">
      <c r="C934" s="2" t="s">
        <v>4530</v>
      </c>
      <c r="D934" s="2" t="s">
        <v>178</v>
      </c>
      <c r="E934" s="2">
        <v>102</v>
      </c>
      <c r="F934" s="2">
        <v>1861.679</v>
      </c>
    </row>
    <row r="935" spans="3:6" x14ac:dyDescent="0.25">
      <c r="C935" s="2" t="s">
        <v>4531</v>
      </c>
      <c r="D935" s="2" t="s">
        <v>178</v>
      </c>
      <c r="E935" s="2" t="s">
        <v>4167</v>
      </c>
      <c r="F935" s="2" t="s">
        <v>4167</v>
      </c>
    </row>
    <row r="936" spans="3:6" x14ac:dyDescent="0.25">
      <c r="C936" s="2" t="s">
        <v>4532</v>
      </c>
      <c r="D936" s="2" t="s">
        <v>178</v>
      </c>
      <c r="E936" s="2" t="s">
        <v>4167</v>
      </c>
      <c r="F936" s="2" t="s">
        <v>4167</v>
      </c>
    </row>
    <row r="938" spans="1:7" x14ac:dyDescent="0.25">
      <c r="A938" s="1">
        <v>46180</v>
      </c>
      <c r="B938" s="2" t="s">
        <v>80</v>
      </c>
      <c r="C938" s="2" t="s">
        <v>4533</v>
      </c>
      <c r="D938" s="2" t="s">
        <v>82</v>
      </c>
      <c r="E938" s="2">
        <v>40</v>
      </c>
      <c r="F938" s="2">
        <v>172.437</v>
      </c>
      <c r="G938" s="1">
        <v>46179</v>
      </c>
    </row>
    <row r="939" spans="3:6" x14ac:dyDescent="0.25">
      <c r="C939" s="2" t="s">
        <v>4534</v>
      </c>
      <c r="D939" s="2" t="s">
        <v>82</v>
      </c>
      <c r="E939" s="2">
        <v>60</v>
      </c>
      <c r="F939" s="2">
        <v>256.868</v>
      </c>
    </row>
    <row r="940" spans="3:6" x14ac:dyDescent="0.25">
      <c r="C940" s="2" t="s">
        <v>4535</v>
      </c>
      <c r="D940" s="2" t="s">
        <v>82</v>
      </c>
      <c r="E940" s="2">
        <v>141</v>
      </c>
      <c r="F940" s="2">
        <v>2923.4</v>
      </c>
    </row>
    <row r="941" spans="3:6" x14ac:dyDescent="0.25">
      <c r="C941" s="2" t="s">
        <v>4536</v>
      </c>
      <c r="D941" s="2" t="s">
        <v>82</v>
      </c>
      <c r="E941" s="2">
        <v>200</v>
      </c>
      <c r="F941" s="2">
        <v>1809.697</v>
      </c>
    </row>
    <row r="942" spans="3:6" x14ac:dyDescent="0.25">
      <c r="C942" s="2" t="s">
        <v>4537</v>
      </c>
      <c r="D942" s="2" t="s">
        <v>82</v>
      </c>
      <c r="E942" s="2">
        <v>141</v>
      </c>
      <c r="F942" s="2">
        <v>2661.349</v>
      </c>
    </row>
    <row r="943" spans="3:6" x14ac:dyDescent="0.25">
      <c r="C943" s="2" t="s">
        <v>4538</v>
      </c>
      <c r="D943" s="2" t="s">
        <v>82</v>
      </c>
      <c r="E943" s="2">
        <v>75</v>
      </c>
      <c r="F943" s="2">
        <v>1498.77</v>
      </c>
    </row>
    <row r="944" spans="3:6" x14ac:dyDescent="0.25">
      <c r="C944" s="2" t="s">
        <v>4539</v>
      </c>
      <c r="D944" s="2" t="s">
        <v>82</v>
      </c>
      <c r="E944" s="2">
        <v>50</v>
      </c>
      <c r="F944" s="2">
        <v>979.48</v>
      </c>
    </row>
    <row r="945" spans="3:6" x14ac:dyDescent="0.25">
      <c r="C945" s="2" t="s">
        <v>4540</v>
      </c>
      <c r="D945" s="2" t="s">
        <v>82</v>
      </c>
      <c r="E945" s="2">
        <v>90</v>
      </c>
      <c r="F945" s="2">
        <v>1215.482</v>
      </c>
    </row>
    <row r="946" spans="3:6" x14ac:dyDescent="0.25">
      <c r="C946" s="2" t="s">
        <v>4541</v>
      </c>
      <c r="D946" s="2" t="s">
        <v>82</v>
      </c>
      <c r="E946" s="2">
        <v>70</v>
      </c>
      <c r="F946" s="2">
        <v>381.342</v>
      </c>
    </row>
    <row r="947" spans="3:6" x14ac:dyDescent="0.25">
      <c r="C947" s="2" t="s">
        <v>4542</v>
      </c>
      <c r="D947" s="2" t="s">
        <v>82</v>
      </c>
      <c r="E947" s="2">
        <v>46</v>
      </c>
      <c r="F947" s="2">
        <v>905.45</v>
      </c>
    </row>
    <row r="948" spans="3:6" x14ac:dyDescent="0.25">
      <c r="C948" s="2" t="s">
        <v>4543</v>
      </c>
      <c r="D948" s="2" t="s">
        <v>82</v>
      </c>
      <c r="E948" s="2">
        <v>34</v>
      </c>
      <c r="F948" s="2">
        <v>645.48</v>
      </c>
    </row>
    <row r="949" spans="3:6" x14ac:dyDescent="0.25">
      <c r="C949" s="2" t="s">
        <v>4544</v>
      </c>
      <c r="D949" s="2" t="s">
        <v>82</v>
      </c>
      <c r="E949" s="2">
        <v>22</v>
      </c>
      <c r="F949" s="2">
        <v>456.07</v>
      </c>
    </row>
    <row r="950" spans="3:6" x14ac:dyDescent="0.25">
      <c r="C950" s="2" t="s">
        <v>4545</v>
      </c>
      <c r="D950" s="2" t="s">
        <v>82</v>
      </c>
      <c r="E950" s="2">
        <v>121</v>
      </c>
      <c r="F950" s="2">
        <v>2493.7</v>
      </c>
    </row>
    <row r="951" spans="3:6" x14ac:dyDescent="0.25">
      <c r="C951" s="2" t="s">
        <v>4546</v>
      </c>
      <c r="D951" s="2" t="s">
        <v>82</v>
      </c>
      <c r="E951" s="2">
        <v>121</v>
      </c>
      <c r="F951" s="2">
        <v>2542.78</v>
      </c>
    </row>
    <row r="952" spans="3:6" x14ac:dyDescent="0.25">
      <c r="C952" s="2" t="s">
        <v>4547</v>
      </c>
      <c r="D952" s="2" t="s">
        <v>82</v>
      </c>
      <c r="E952" s="2">
        <v>121</v>
      </c>
      <c r="F952" s="2">
        <v>2523.91</v>
      </c>
    </row>
    <row r="953" spans="3:6" x14ac:dyDescent="0.25">
      <c r="C953" s="2" t="s">
        <v>4548</v>
      </c>
      <c r="D953" s="2" t="s">
        <v>82</v>
      </c>
      <c r="E953" s="2">
        <v>141</v>
      </c>
      <c r="F953" s="2">
        <v>2894.23</v>
      </c>
    </row>
    <row r="954" spans="3:6" x14ac:dyDescent="0.25">
      <c r="C954" s="2" t="s">
        <v>4549</v>
      </c>
      <c r="D954" s="2" t="s">
        <v>82</v>
      </c>
      <c r="E954" s="2">
        <v>121</v>
      </c>
      <c r="F954" s="2">
        <v>2508.829</v>
      </c>
    </row>
    <row r="955" spans="3:6" x14ac:dyDescent="0.25">
      <c r="C955" s="2" t="s">
        <v>4550</v>
      </c>
      <c r="D955" s="2" t="s">
        <v>82</v>
      </c>
      <c r="E955" s="2">
        <v>134</v>
      </c>
      <c r="F955" s="2">
        <v>2654.448</v>
      </c>
    </row>
    <row r="956" spans="3:6" x14ac:dyDescent="0.25">
      <c r="C956" s="2" t="s">
        <v>4551</v>
      </c>
      <c r="D956" s="2" t="s">
        <v>82</v>
      </c>
      <c r="E956" s="2">
        <v>30</v>
      </c>
      <c r="F956" s="2">
        <v>551.34</v>
      </c>
    </row>
    <row r="957" spans="3:6" x14ac:dyDescent="0.25">
      <c r="C957" s="2" t="s">
        <v>4552</v>
      </c>
      <c r="D957" s="2" t="s">
        <v>82</v>
      </c>
      <c r="E957" s="2">
        <v>72</v>
      </c>
      <c r="F957" s="2">
        <v>1414.76</v>
      </c>
    </row>
    <row r="958" spans="3:6" x14ac:dyDescent="0.25">
      <c r="C958" s="2" t="s">
        <v>4553</v>
      </c>
      <c r="D958" s="2" t="s">
        <v>82</v>
      </c>
      <c r="E958" s="2">
        <v>42</v>
      </c>
      <c r="F958" s="2">
        <v>863.51</v>
      </c>
    </row>
    <row r="959" spans="3:6" x14ac:dyDescent="0.25">
      <c r="C959" s="2" t="s">
        <v>4554</v>
      </c>
      <c r="D959" s="2" t="s">
        <v>82</v>
      </c>
      <c r="E959" s="2">
        <v>60</v>
      </c>
      <c r="F959" s="2">
        <v>1248.05</v>
      </c>
    </row>
    <row r="960" spans="3:6" x14ac:dyDescent="0.25">
      <c r="C960" s="2" t="s">
        <v>4555</v>
      </c>
      <c r="D960" s="2" t="s">
        <v>82</v>
      </c>
      <c r="E960" s="2">
        <v>72</v>
      </c>
      <c r="F960" s="2">
        <v>1451.64</v>
      </c>
    </row>
    <row r="961" spans="3:6" x14ac:dyDescent="0.25">
      <c r="C961" s="2" t="s">
        <v>4556</v>
      </c>
      <c r="D961" s="2" t="s">
        <v>82</v>
      </c>
      <c r="E961" s="2">
        <v>30</v>
      </c>
      <c r="F961" s="2">
        <v>601.3</v>
      </c>
    </row>
    <row r="962" spans="3:6" x14ac:dyDescent="0.25">
      <c r="C962" s="2" t="s">
        <v>4557</v>
      </c>
      <c r="D962" s="2" t="s">
        <v>82</v>
      </c>
      <c r="E962" s="2">
        <v>36</v>
      </c>
      <c r="F962" s="2">
        <v>740.87</v>
      </c>
    </row>
    <row r="963" spans="3:6" x14ac:dyDescent="0.25">
      <c r="C963" s="2" t="s">
        <v>4558</v>
      </c>
      <c r="D963" s="2" t="s">
        <v>82</v>
      </c>
      <c r="E963" s="2">
        <v>24</v>
      </c>
      <c r="F963" s="2">
        <v>486.42</v>
      </c>
    </row>
    <row r="964" spans="3:6" x14ac:dyDescent="0.25">
      <c r="C964" s="2" t="s">
        <v>4559</v>
      </c>
      <c r="D964" s="2" t="s">
        <v>82</v>
      </c>
      <c r="E964" s="2">
        <v>15</v>
      </c>
      <c r="F964" s="2">
        <v>299</v>
      </c>
    </row>
    <row r="965" spans="3:6" x14ac:dyDescent="0.25">
      <c r="C965" s="2" t="s">
        <v>4166</v>
      </c>
      <c r="D965" s="2" t="s">
        <v>82</v>
      </c>
      <c r="E965" s="2">
        <v>75</v>
      </c>
      <c r="F965" s="2">
        <v>333.299</v>
      </c>
    </row>
    <row r="966" spans="3:6" x14ac:dyDescent="0.25">
      <c r="C966" s="2" t="s">
        <v>4560</v>
      </c>
      <c r="D966" s="2" t="s">
        <v>82</v>
      </c>
      <c r="E966" s="2">
        <v>141</v>
      </c>
      <c r="F966" s="2">
        <v>2968.69</v>
      </c>
    </row>
    <row r="967" spans="3:6" x14ac:dyDescent="0.25">
      <c r="C967" s="2" t="s">
        <v>4561</v>
      </c>
      <c r="D967" s="2" t="s">
        <v>82</v>
      </c>
      <c r="E967" s="2">
        <v>141</v>
      </c>
      <c r="F967" s="2">
        <v>2882.11</v>
      </c>
    </row>
    <row r="968" spans="3:6" x14ac:dyDescent="0.25">
      <c r="C968" s="2" t="s">
        <v>4562</v>
      </c>
      <c r="D968" s="2" t="s">
        <v>82</v>
      </c>
      <c r="E968" s="2">
        <v>141</v>
      </c>
      <c r="F968" s="2">
        <v>2761.67</v>
      </c>
    </row>
    <row r="969" spans="3:6" x14ac:dyDescent="0.25">
      <c r="C969" s="2" t="s">
        <v>4563</v>
      </c>
      <c r="D969" s="2" t="s">
        <v>82</v>
      </c>
      <c r="E969" s="2">
        <v>56</v>
      </c>
      <c r="F969" s="2">
        <v>1183.93</v>
      </c>
    </row>
    <row r="970" spans="3:6" x14ac:dyDescent="0.25">
      <c r="C970" s="2" t="s">
        <v>4564</v>
      </c>
      <c r="D970" s="2" t="s">
        <v>82</v>
      </c>
      <c r="E970" s="2">
        <v>63</v>
      </c>
      <c r="F970" s="2">
        <v>1186.26</v>
      </c>
    </row>
    <row r="971" spans="3:6" x14ac:dyDescent="0.25">
      <c r="C971" s="2" t="s">
        <v>4565</v>
      </c>
      <c r="D971" s="2" t="s">
        <v>82</v>
      </c>
      <c r="E971" s="2">
        <v>22</v>
      </c>
      <c r="F971" s="2">
        <v>421.75</v>
      </c>
    </row>
    <row r="972" spans="3:6" x14ac:dyDescent="0.25">
      <c r="C972" s="2" t="s">
        <v>4566</v>
      </c>
      <c r="D972" s="2" t="s">
        <v>82</v>
      </c>
      <c r="E972" s="2">
        <v>64</v>
      </c>
      <c r="F972" s="2">
        <v>1252.53</v>
      </c>
    </row>
    <row r="973" spans="3:6" x14ac:dyDescent="0.25">
      <c r="C973" s="2" t="s">
        <v>4567</v>
      </c>
      <c r="D973" s="2" t="s">
        <v>82</v>
      </c>
      <c r="E973" s="2">
        <v>38</v>
      </c>
      <c r="F973" s="2">
        <v>777.16</v>
      </c>
    </row>
    <row r="974" spans="3:6" x14ac:dyDescent="0.25">
      <c r="C974" s="2" t="s">
        <v>4568</v>
      </c>
      <c r="D974" s="2" t="s">
        <v>82</v>
      </c>
      <c r="E974" s="2">
        <v>66</v>
      </c>
      <c r="F974" s="2">
        <v>1296.53</v>
      </c>
    </row>
    <row r="975" spans="3:6" x14ac:dyDescent="0.25">
      <c r="C975" s="2" t="s">
        <v>4569</v>
      </c>
      <c r="D975" s="2" t="s">
        <v>82</v>
      </c>
      <c r="E975" s="2">
        <v>75</v>
      </c>
      <c r="F975" s="2">
        <v>1558.34</v>
      </c>
    </row>
    <row r="976" spans="3:6" x14ac:dyDescent="0.25">
      <c r="C976" s="2" t="s">
        <v>4570</v>
      </c>
      <c r="D976" s="2" t="s">
        <v>82</v>
      </c>
      <c r="E976" s="2">
        <v>66</v>
      </c>
      <c r="F976" s="2">
        <v>1288.029</v>
      </c>
    </row>
    <row r="977" spans="3:6" x14ac:dyDescent="0.25">
      <c r="C977" s="2" t="s">
        <v>4571</v>
      </c>
      <c r="D977" s="2" t="s">
        <v>82</v>
      </c>
      <c r="E977" s="2">
        <v>45</v>
      </c>
      <c r="F977" s="2">
        <v>837.328</v>
      </c>
    </row>
    <row r="978" spans="3:6" x14ac:dyDescent="0.25">
      <c r="C978" s="2" t="s">
        <v>4572</v>
      </c>
      <c r="D978" s="2" t="s">
        <v>82</v>
      </c>
      <c r="E978" s="2">
        <v>30</v>
      </c>
      <c r="F978" s="2">
        <v>636.75</v>
      </c>
    </row>
    <row r="979" spans="3:6" x14ac:dyDescent="0.25">
      <c r="C979" s="2" t="s">
        <v>4573</v>
      </c>
      <c r="D979" s="2" t="s">
        <v>82</v>
      </c>
      <c r="E979" s="2">
        <v>35</v>
      </c>
      <c r="F979" s="2">
        <v>679.889</v>
      </c>
    </row>
    <row r="980" spans="3:6" x14ac:dyDescent="0.25">
      <c r="C980" s="2" t="s">
        <v>4574</v>
      </c>
      <c r="D980" s="2" t="s">
        <v>82</v>
      </c>
      <c r="E980" s="2">
        <v>56</v>
      </c>
      <c r="F980" s="2">
        <v>1166.54</v>
      </c>
    </row>
    <row r="981" spans="3:6" x14ac:dyDescent="0.25">
      <c r="C981" s="2" t="s">
        <v>4575</v>
      </c>
      <c r="D981" s="2" t="s">
        <v>82</v>
      </c>
      <c r="E981" s="2">
        <v>17</v>
      </c>
      <c r="F981" s="2">
        <v>333.3</v>
      </c>
    </row>
    <row r="982" spans="3:6" x14ac:dyDescent="0.25">
      <c r="C982" s="2" t="s">
        <v>4576</v>
      </c>
      <c r="D982" s="2" t="s">
        <v>82</v>
      </c>
      <c r="E982" s="2">
        <v>33</v>
      </c>
      <c r="F982" s="2">
        <v>682.27</v>
      </c>
    </row>
    <row r="984" spans="1:7" x14ac:dyDescent="0.25">
      <c r="A984" s="1">
        <v>46180</v>
      </c>
      <c r="B984" s="2" t="s">
        <v>122</v>
      </c>
      <c r="C984" s="2" t="s">
        <v>4577</v>
      </c>
      <c r="D984" s="2" t="s">
        <v>9</v>
      </c>
      <c r="E984" s="2">
        <v>84</v>
      </c>
      <c r="F984" s="2">
        <v>1804.58</v>
      </c>
      <c r="G984" s="1">
        <v>46179</v>
      </c>
    </row>
    <row r="985" spans="3:6" x14ac:dyDescent="0.25">
      <c r="C985" s="2" t="s">
        <v>4578</v>
      </c>
      <c r="D985" s="2" t="s">
        <v>9</v>
      </c>
      <c r="E985" s="2">
        <v>156</v>
      </c>
      <c r="F985" s="2">
        <v>2962.102</v>
      </c>
    </row>
    <row r="986" spans="3:6" x14ac:dyDescent="0.25">
      <c r="C986" s="2" t="s">
        <v>4579</v>
      </c>
      <c r="D986" s="2" t="s">
        <v>9</v>
      </c>
      <c r="E986" s="2">
        <v>142</v>
      </c>
      <c r="F986" s="2">
        <v>2954.59</v>
      </c>
    </row>
    <row r="988" spans="1:7" x14ac:dyDescent="0.25">
      <c r="A988" s="1">
        <v>46180</v>
      </c>
      <c r="B988" s="2" t="s">
        <v>4580</v>
      </c>
      <c r="C988" s="2" t="s">
        <v>4581</v>
      </c>
      <c r="D988" s="2" t="s">
        <v>292</v>
      </c>
      <c r="E988" s="2">
        <v>153</v>
      </c>
      <c r="F988" s="2">
        <v>3130.9</v>
      </c>
      <c r="G988" s="1">
        <v>46179</v>
      </c>
    </row>
    <row r="990" spans="1:7" x14ac:dyDescent="0.25">
      <c r="A990" s="1">
        <v>46180</v>
      </c>
      <c r="B990" s="2" t="s">
        <v>2084</v>
      </c>
      <c r="C990" s="2" t="s">
        <v>4582</v>
      </c>
      <c r="D990" s="2" t="s">
        <v>3848</v>
      </c>
      <c r="E990" s="2">
        <v>50</v>
      </c>
      <c r="F990" s="2">
        <v>1788.75</v>
      </c>
      <c r="G990" s="1">
        <v>46179</v>
      </c>
    </row>
    <row r="992" spans="3:7" x14ac:dyDescent="0.25">
      <c r="C992" s="2" t="s">
        <v>4583</v>
      </c>
      <c r="D992" s="2" t="s">
        <v>15</v>
      </c>
      <c r="E992" s="2">
        <v>100</v>
      </c>
      <c r="F992" s="2">
        <v>1907.989</v>
      </c>
      <c r="G992" s="1">
        <v>46179</v>
      </c>
    </row>
    <row r="994" spans="3:7" x14ac:dyDescent="0.25">
      <c r="C994" s="2" t="s">
        <v>4584</v>
      </c>
      <c r="D994" s="2" t="s">
        <v>15</v>
      </c>
      <c r="E994" s="2">
        <v>99</v>
      </c>
      <c r="F994" s="2">
        <v>2288.7</v>
      </c>
      <c r="G994" s="1">
        <v>46179</v>
      </c>
    </row>
    <row r="996" spans="1:7" x14ac:dyDescent="0.25">
      <c r="A996" s="1">
        <v>46181</v>
      </c>
      <c r="B996" s="2" t="s">
        <v>1012</v>
      </c>
      <c r="C996" s="2" t="s">
        <v>4585</v>
      </c>
      <c r="D996" s="2" t="s">
        <v>82</v>
      </c>
      <c r="E996" s="2">
        <v>206</v>
      </c>
      <c r="F996" s="2">
        <v>4287.41</v>
      </c>
      <c r="G996" s="1">
        <v>46180</v>
      </c>
    </row>
    <row r="997" spans="3:6" x14ac:dyDescent="0.25">
      <c r="C997" s="2" t="s">
        <v>4586</v>
      </c>
      <c r="D997" s="2" t="s">
        <v>82</v>
      </c>
      <c r="E997" s="2">
        <v>36</v>
      </c>
      <c r="F997" s="2">
        <v>721.93</v>
      </c>
    </row>
    <row r="998" spans="3:6" x14ac:dyDescent="0.25">
      <c r="C998" s="2" t="s">
        <v>4587</v>
      </c>
      <c r="D998" s="2" t="s">
        <v>82</v>
      </c>
      <c r="E998" s="2">
        <v>141</v>
      </c>
      <c r="F998" s="2">
        <v>2835.629</v>
      </c>
    </row>
    <row r="999" spans="3:6" x14ac:dyDescent="0.25">
      <c r="C999" s="2" t="s">
        <v>4588</v>
      </c>
      <c r="D999" s="2" t="s">
        <v>82</v>
      </c>
      <c r="E999" s="2">
        <v>141</v>
      </c>
      <c r="F999" s="2">
        <v>2876.439</v>
      </c>
    </row>
    <row r="1000" spans="3:6" x14ac:dyDescent="0.25">
      <c r="C1000" s="2" t="s">
        <v>4589</v>
      </c>
      <c r="D1000" s="2" t="s">
        <v>82</v>
      </c>
      <c r="E1000" s="2">
        <v>116</v>
      </c>
      <c r="F1000" s="2">
        <v>2470.589</v>
      </c>
    </row>
    <row r="1001" spans="3:6" x14ac:dyDescent="0.25">
      <c r="C1001" s="2" t="s">
        <v>4590</v>
      </c>
      <c r="D1001" s="2" t="s">
        <v>82</v>
      </c>
      <c r="E1001" s="2">
        <v>25</v>
      </c>
      <c r="F1001" s="2">
        <v>462.959</v>
      </c>
    </row>
    <row r="1002" spans="3:6" x14ac:dyDescent="0.25">
      <c r="C1002" s="2" t="s">
        <v>4591</v>
      </c>
      <c r="D1002" s="2" t="s">
        <v>82</v>
      </c>
      <c r="E1002" s="2">
        <v>70</v>
      </c>
      <c r="F1002" s="2">
        <v>1376.239</v>
      </c>
    </row>
    <row r="1003" spans="3:6" x14ac:dyDescent="0.25">
      <c r="C1003" s="2" t="s">
        <v>4592</v>
      </c>
      <c r="D1003" s="2" t="s">
        <v>82</v>
      </c>
      <c r="E1003" s="2">
        <v>37</v>
      </c>
      <c r="F1003" s="2">
        <v>717.69</v>
      </c>
    </row>
    <row r="1004" spans="3:6" x14ac:dyDescent="0.25">
      <c r="C1004" s="2" t="s">
        <v>4593</v>
      </c>
      <c r="D1004" s="2" t="s">
        <v>82</v>
      </c>
      <c r="E1004" s="2">
        <v>34</v>
      </c>
      <c r="F1004" s="2">
        <v>703.23</v>
      </c>
    </row>
    <row r="1005" spans="3:6" x14ac:dyDescent="0.25">
      <c r="C1005" s="2" t="s">
        <v>4594</v>
      </c>
      <c r="D1005" s="2" t="s">
        <v>82</v>
      </c>
      <c r="E1005" s="2">
        <v>82</v>
      </c>
      <c r="F1005" s="2">
        <v>1575.12</v>
      </c>
    </row>
    <row r="1006" spans="3:6" x14ac:dyDescent="0.25">
      <c r="C1006" s="2" t="s">
        <v>4595</v>
      </c>
      <c r="D1006" s="2" t="s">
        <v>82</v>
      </c>
      <c r="E1006" s="2">
        <v>30</v>
      </c>
      <c r="F1006" s="2">
        <v>590.94</v>
      </c>
    </row>
    <row r="1007" spans="3:6" x14ac:dyDescent="0.25">
      <c r="C1007" s="2" t="s">
        <v>4596</v>
      </c>
      <c r="D1007" s="2" t="s">
        <v>82</v>
      </c>
      <c r="E1007" s="2">
        <v>30</v>
      </c>
      <c r="F1007" s="2">
        <v>550.84</v>
      </c>
    </row>
    <row r="1008" spans="3:6" x14ac:dyDescent="0.25">
      <c r="C1008" s="2" t="s">
        <v>4597</v>
      </c>
      <c r="D1008" s="2" t="s">
        <v>82</v>
      </c>
      <c r="E1008" s="2">
        <v>120</v>
      </c>
      <c r="F1008" s="2">
        <v>2353.238</v>
      </c>
    </row>
    <row r="1009" spans="3:6" x14ac:dyDescent="0.25">
      <c r="C1009" s="2" t="s">
        <v>4598</v>
      </c>
      <c r="D1009" s="2" t="s">
        <v>82</v>
      </c>
      <c r="E1009" s="2">
        <v>22</v>
      </c>
      <c r="F1009" s="2">
        <v>427.53</v>
      </c>
    </row>
    <row r="1010" spans="3:6" x14ac:dyDescent="0.25">
      <c r="C1010" s="2" t="s">
        <v>4599</v>
      </c>
      <c r="D1010" s="2" t="s">
        <v>82</v>
      </c>
      <c r="E1010" s="2">
        <v>36</v>
      </c>
      <c r="F1010" s="2">
        <v>762.78</v>
      </c>
    </row>
    <row r="1011" spans="3:6" x14ac:dyDescent="0.25">
      <c r="C1011" s="2" t="s">
        <v>4600</v>
      </c>
      <c r="D1011" s="2" t="s">
        <v>82</v>
      </c>
      <c r="E1011" s="2">
        <v>16</v>
      </c>
      <c r="F1011" s="2">
        <v>327.62</v>
      </c>
    </row>
    <row r="1012" spans="3:6" x14ac:dyDescent="0.25">
      <c r="C1012" s="2" t="s">
        <v>4601</v>
      </c>
      <c r="D1012" s="2" t="s">
        <v>82</v>
      </c>
      <c r="E1012" s="2">
        <v>34</v>
      </c>
      <c r="F1012" s="2">
        <v>658.49</v>
      </c>
    </row>
    <row r="1013" spans="3:6" x14ac:dyDescent="0.25">
      <c r="C1013" s="2" t="s">
        <v>4602</v>
      </c>
      <c r="D1013" s="2" t="s">
        <v>82</v>
      </c>
      <c r="E1013" s="2">
        <v>14</v>
      </c>
      <c r="F1013" s="2">
        <v>262.54</v>
      </c>
    </row>
    <row r="1014" spans="3:6" x14ac:dyDescent="0.25">
      <c r="C1014" s="2" t="s">
        <v>4603</v>
      </c>
      <c r="D1014" s="2" t="s">
        <v>82</v>
      </c>
      <c r="E1014" s="2">
        <v>30</v>
      </c>
      <c r="F1014" s="2">
        <v>592.54</v>
      </c>
    </row>
    <row r="1015" spans="3:6" x14ac:dyDescent="0.25">
      <c r="C1015" s="2" t="s">
        <v>4604</v>
      </c>
      <c r="D1015" s="2" t="s">
        <v>82</v>
      </c>
      <c r="E1015" s="2">
        <v>84</v>
      </c>
      <c r="F1015" s="2">
        <v>1743.43</v>
      </c>
    </row>
    <row r="1016" spans="3:6" x14ac:dyDescent="0.25">
      <c r="C1016" s="2" t="s">
        <v>4605</v>
      </c>
      <c r="D1016" s="2" t="s">
        <v>82</v>
      </c>
      <c r="E1016" s="2">
        <v>27</v>
      </c>
      <c r="F1016" s="2">
        <v>540.29</v>
      </c>
    </row>
    <row r="1017" spans="3:6" x14ac:dyDescent="0.25">
      <c r="C1017" s="2" t="s">
        <v>4606</v>
      </c>
      <c r="D1017" s="2" t="s">
        <v>82</v>
      </c>
      <c r="E1017" s="2">
        <v>16</v>
      </c>
      <c r="F1017" s="2">
        <v>341.05</v>
      </c>
    </row>
    <row r="1018" spans="3:6" x14ac:dyDescent="0.25">
      <c r="C1018" s="2" t="s">
        <v>4607</v>
      </c>
      <c r="D1018" s="2" t="s">
        <v>82</v>
      </c>
      <c r="E1018" s="2">
        <v>33</v>
      </c>
      <c r="F1018" s="2">
        <v>675.25</v>
      </c>
    </row>
    <row r="1019" spans="3:6" x14ac:dyDescent="0.25">
      <c r="C1019" s="2" t="s">
        <v>4608</v>
      </c>
      <c r="D1019" s="2" t="s">
        <v>82</v>
      </c>
      <c r="E1019" s="2">
        <v>36</v>
      </c>
      <c r="F1019" s="2">
        <v>726.73</v>
      </c>
    </row>
    <row r="1020" spans="3:6" x14ac:dyDescent="0.25">
      <c r="C1020" s="2" t="s">
        <v>4609</v>
      </c>
      <c r="D1020" s="2" t="s">
        <v>82</v>
      </c>
      <c r="E1020" s="2">
        <v>56</v>
      </c>
      <c r="F1020" s="2">
        <v>1154.09</v>
      </c>
    </row>
    <row r="1021" spans="3:6" x14ac:dyDescent="0.25">
      <c r="C1021" s="2" t="s">
        <v>4610</v>
      </c>
      <c r="D1021" s="2" t="s">
        <v>82</v>
      </c>
      <c r="E1021" s="2">
        <v>75</v>
      </c>
      <c r="F1021" s="2">
        <v>1572.56</v>
      </c>
    </row>
    <row r="1022" spans="3:6" x14ac:dyDescent="0.25">
      <c r="C1022" s="2" t="s">
        <v>4611</v>
      </c>
      <c r="D1022" s="2" t="s">
        <v>82</v>
      </c>
      <c r="E1022" s="2">
        <v>67</v>
      </c>
      <c r="F1022" s="2">
        <v>1334.93</v>
      </c>
    </row>
    <row r="1024" spans="1:7" x14ac:dyDescent="0.25">
      <c r="A1024" s="1">
        <v>46181</v>
      </c>
      <c r="B1024" s="2" t="s">
        <v>176</v>
      </c>
      <c r="C1024" s="2" t="s">
        <v>4612</v>
      </c>
      <c r="D1024" s="2" t="s">
        <v>178</v>
      </c>
      <c r="E1024" s="2">
        <v>102</v>
      </c>
      <c r="F1024" s="2">
        <v>2085.33</v>
      </c>
      <c r="G1024" s="1">
        <v>46180</v>
      </c>
    </row>
    <row r="1025" spans="3:6" x14ac:dyDescent="0.25">
      <c r="C1025" s="2" t="s">
        <v>4613</v>
      </c>
      <c r="D1025" s="2" t="s">
        <v>178</v>
      </c>
      <c r="E1025" s="2">
        <v>102</v>
      </c>
      <c r="F1025" s="2">
        <v>2115.83</v>
      </c>
    </row>
    <row r="1026" spans="3:6" x14ac:dyDescent="0.25">
      <c r="C1026" s="2" t="s">
        <v>4614</v>
      </c>
      <c r="D1026" s="2" t="s">
        <v>178</v>
      </c>
      <c r="E1026" s="2">
        <v>102</v>
      </c>
      <c r="F1026" s="2">
        <v>2117.84</v>
      </c>
    </row>
    <row r="1027" spans="3:6" x14ac:dyDescent="0.25">
      <c r="C1027" s="2" t="s">
        <v>4615</v>
      </c>
      <c r="D1027" s="2" t="s">
        <v>178</v>
      </c>
      <c r="E1027" s="2">
        <v>45</v>
      </c>
      <c r="F1027" s="2">
        <v>193.599</v>
      </c>
    </row>
    <row r="1028" spans="3:6" x14ac:dyDescent="0.25">
      <c r="C1028" s="2" t="s">
        <v>4616</v>
      </c>
      <c r="D1028" s="2" t="s">
        <v>178</v>
      </c>
      <c r="E1028" s="2">
        <v>141</v>
      </c>
      <c r="F1028" s="2">
        <v>2947.31</v>
      </c>
    </row>
    <row r="1029" spans="3:6" x14ac:dyDescent="0.25">
      <c r="C1029" s="2" t="s">
        <v>4617</v>
      </c>
      <c r="D1029" s="2" t="s">
        <v>178</v>
      </c>
      <c r="E1029" s="2">
        <v>141</v>
      </c>
      <c r="F1029" s="2">
        <v>2926.31</v>
      </c>
    </row>
    <row r="1030" spans="3:6" x14ac:dyDescent="0.25">
      <c r="C1030" s="2" t="s">
        <v>4618</v>
      </c>
      <c r="D1030" s="2" t="s">
        <v>178</v>
      </c>
      <c r="E1030" s="2">
        <v>141</v>
      </c>
      <c r="F1030" s="2">
        <v>2874.8</v>
      </c>
    </row>
    <row r="1031" spans="3:6" x14ac:dyDescent="0.25">
      <c r="C1031" s="2" t="s">
        <v>4619</v>
      </c>
      <c r="D1031" s="2" t="s">
        <v>178</v>
      </c>
      <c r="E1031" s="2">
        <v>102</v>
      </c>
      <c r="F1031" s="2">
        <v>2105.96</v>
      </c>
    </row>
    <row r="1032" spans="3:6" x14ac:dyDescent="0.25">
      <c r="C1032" s="2" t="s">
        <v>4620</v>
      </c>
      <c r="D1032" s="2" t="s">
        <v>178</v>
      </c>
      <c r="E1032" s="2">
        <v>30</v>
      </c>
      <c r="F1032" s="2">
        <v>131.099</v>
      </c>
    </row>
    <row r="1033" spans="3:6" x14ac:dyDescent="0.25">
      <c r="C1033" s="2" t="s">
        <v>4621</v>
      </c>
      <c r="D1033" s="2" t="s">
        <v>178</v>
      </c>
      <c r="E1033" s="2">
        <v>141</v>
      </c>
      <c r="F1033" s="2">
        <v>3042.67</v>
      </c>
    </row>
    <row r="1034" spans="3:6" x14ac:dyDescent="0.25">
      <c r="C1034" s="2" t="s">
        <v>4622</v>
      </c>
      <c r="D1034" s="2" t="s">
        <v>178</v>
      </c>
      <c r="E1034" s="2">
        <v>141</v>
      </c>
      <c r="F1034" s="2">
        <v>2967.18</v>
      </c>
    </row>
    <row r="1035" spans="3:6" x14ac:dyDescent="0.25">
      <c r="C1035" s="2" t="s">
        <v>4623</v>
      </c>
      <c r="D1035" s="2" t="s">
        <v>178</v>
      </c>
      <c r="E1035" s="2">
        <v>123</v>
      </c>
      <c r="F1035" s="2">
        <v>2525.82</v>
      </c>
    </row>
    <row r="1036" spans="3:6" x14ac:dyDescent="0.25">
      <c r="C1036" s="2" t="s">
        <v>4624</v>
      </c>
      <c r="D1036" s="2" t="s">
        <v>178</v>
      </c>
      <c r="E1036" s="2">
        <v>123</v>
      </c>
      <c r="F1036" s="2">
        <v>2455.75</v>
      </c>
    </row>
    <row r="1037" spans="3:6" x14ac:dyDescent="0.25">
      <c r="C1037" s="2" t="s">
        <v>4625</v>
      </c>
      <c r="D1037" s="2" t="s">
        <v>178</v>
      </c>
      <c r="E1037" s="2">
        <v>134</v>
      </c>
      <c r="F1037" s="2">
        <v>2721.36</v>
      </c>
    </row>
    <row r="1038" spans="3:6" x14ac:dyDescent="0.25">
      <c r="C1038" s="2" t="s">
        <v>4626</v>
      </c>
      <c r="D1038" s="2" t="s">
        <v>178</v>
      </c>
      <c r="E1038" s="2">
        <v>141</v>
      </c>
      <c r="F1038" s="2">
        <v>2929.31</v>
      </c>
    </row>
    <row r="1039" spans="3:6" x14ac:dyDescent="0.25">
      <c r="C1039" s="2" t="s">
        <v>4627</v>
      </c>
      <c r="D1039" s="2" t="s">
        <v>178</v>
      </c>
      <c r="E1039" s="2">
        <v>141</v>
      </c>
      <c r="F1039" s="2">
        <v>2846.74</v>
      </c>
    </row>
    <row r="1040" spans="3:6" x14ac:dyDescent="0.25">
      <c r="C1040" s="2" t="s">
        <v>4628</v>
      </c>
      <c r="D1040" s="2" t="s">
        <v>178</v>
      </c>
      <c r="E1040" s="2">
        <v>123</v>
      </c>
      <c r="F1040" s="2">
        <v>2428.87</v>
      </c>
    </row>
    <row r="1041" spans="3:6" x14ac:dyDescent="0.25">
      <c r="C1041" s="2" t="s">
        <v>4629</v>
      </c>
      <c r="D1041" s="2" t="s">
        <v>178</v>
      </c>
      <c r="E1041" s="2">
        <v>123</v>
      </c>
      <c r="F1041" s="2">
        <v>2596.14</v>
      </c>
    </row>
    <row r="1042" spans="3:6" x14ac:dyDescent="0.25">
      <c r="C1042" s="2" t="s">
        <v>4630</v>
      </c>
      <c r="D1042" s="2" t="s">
        <v>178</v>
      </c>
      <c r="E1042" s="2">
        <v>102</v>
      </c>
      <c r="F1042" s="2">
        <v>2072.83</v>
      </c>
    </row>
    <row r="1043" spans="3:6" x14ac:dyDescent="0.25">
      <c r="C1043" s="2" t="s">
        <v>4631</v>
      </c>
      <c r="D1043" s="2" t="s">
        <v>178</v>
      </c>
      <c r="E1043" s="2">
        <v>141</v>
      </c>
      <c r="F1043" s="2">
        <v>2944.53</v>
      </c>
    </row>
    <row r="1044" spans="3:6" x14ac:dyDescent="0.25">
      <c r="C1044" s="2" t="s">
        <v>4632</v>
      </c>
      <c r="D1044" s="2" t="s">
        <v>178</v>
      </c>
      <c r="E1044" s="2">
        <v>141</v>
      </c>
      <c r="F1044" s="2">
        <v>2905.428</v>
      </c>
    </row>
    <row r="1045" spans="3:6" x14ac:dyDescent="0.25">
      <c r="C1045" s="2" t="s">
        <v>4633</v>
      </c>
      <c r="D1045" s="2" t="s">
        <v>178</v>
      </c>
      <c r="E1045" s="2">
        <v>102</v>
      </c>
      <c r="F1045" s="2">
        <v>2052.26</v>
      </c>
    </row>
    <row r="1046" spans="3:6" x14ac:dyDescent="0.25">
      <c r="C1046" s="2" t="s">
        <v>4634</v>
      </c>
      <c r="D1046" s="2" t="s">
        <v>178</v>
      </c>
      <c r="E1046" s="2">
        <v>54</v>
      </c>
      <c r="F1046" s="2">
        <v>1133.88</v>
      </c>
    </row>
    <row r="1047" spans="3:6" x14ac:dyDescent="0.25">
      <c r="C1047" s="2" t="s">
        <v>4635</v>
      </c>
      <c r="D1047" s="2" t="s">
        <v>178</v>
      </c>
      <c r="E1047" s="2">
        <v>42</v>
      </c>
      <c r="F1047" s="2">
        <v>839.08</v>
      </c>
    </row>
    <row r="1048" spans="3:6" x14ac:dyDescent="0.25">
      <c r="C1048" s="2" t="s">
        <v>4636</v>
      </c>
      <c r="D1048" s="2" t="s">
        <v>178</v>
      </c>
      <c r="E1048" s="2">
        <v>45</v>
      </c>
      <c r="F1048" s="2">
        <v>902.17</v>
      </c>
    </row>
    <row r="1049" spans="3:6" x14ac:dyDescent="0.25">
      <c r="C1049" s="2" t="s">
        <v>4637</v>
      </c>
      <c r="D1049" s="2" t="s">
        <v>178</v>
      </c>
      <c r="E1049" s="2">
        <v>141</v>
      </c>
      <c r="F1049" s="2">
        <v>2706.349</v>
      </c>
    </row>
    <row r="1050" spans="3:6" x14ac:dyDescent="0.25">
      <c r="C1050" s="2" t="s">
        <v>4638</v>
      </c>
      <c r="D1050" s="2" t="s">
        <v>178</v>
      </c>
      <c r="E1050" s="2">
        <v>102</v>
      </c>
      <c r="F1050" s="2">
        <v>1896.98</v>
      </c>
    </row>
    <row r="1051" spans="3:6" x14ac:dyDescent="0.25">
      <c r="C1051" s="2" t="s">
        <v>4639</v>
      </c>
      <c r="D1051" s="2" t="s">
        <v>178</v>
      </c>
      <c r="E1051" s="2">
        <v>30</v>
      </c>
      <c r="F1051" s="2">
        <v>539.29</v>
      </c>
    </row>
    <row r="1052" spans="3:6" x14ac:dyDescent="0.25">
      <c r="C1052" s="2" t="s">
        <v>4640</v>
      </c>
      <c r="D1052" s="2" t="s">
        <v>178</v>
      </c>
      <c r="E1052" s="2">
        <v>30</v>
      </c>
      <c r="F1052" s="2">
        <v>534.799</v>
      </c>
    </row>
    <row r="1053" spans="3:6" x14ac:dyDescent="0.25">
      <c r="C1053" s="2" t="s">
        <v>4641</v>
      </c>
      <c r="D1053" s="2" t="s">
        <v>178</v>
      </c>
      <c r="E1053" s="2">
        <v>14</v>
      </c>
      <c r="F1053" s="2">
        <v>235.579</v>
      </c>
    </row>
    <row r="1054" spans="3:6" x14ac:dyDescent="0.25">
      <c r="C1054" s="2" t="s">
        <v>4642</v>
      </c>
      <c r="D1054" s="2" t="s">
        <v>178</v>
      </c>
      <c r="E1054" s="2">
        <v>1</v>
      </c>
      <c r="F1054" s="2">
        <v>1.54</v>
      </c>
    </row>
    <row r="1055" spans="3:6" x14ac:dyDescent="0.25">
      <c r="C1055" s="2" t="s">
        <v>4643</v>
      </c>
      <c r="D1055" s="2" t="s">
        <v>178</v>
      </c>
      <c r="E1055" s="2">
        <v>141</v>
      </c>
      <c r="F1055" s="2">
        <v>2833.84</v>
      </c>
    </row>
    <row r="1056" spans="3:6" x14ac:dyDescent="0.25">
      <c r="C1056" s="2" t="s">
        <v>4644</v>
      </c>
      <c r="D1056" s="2" t="s">
        <v>178</v>
      </c>
      <c r="E1056" s="2">
        <v>54</v>
      </c>
      <c r="F1056" s="2">
        <v>1114.68</v>
      </c>
    </row>
    <row r="1057" spans="3:6" x14ac:dyDescent="0.25">
      <c r="C1057" s="2" t="s">
        <v>4645</v>
      </c>
      <c r="D1057" s="2" t="s">
        <v>178</v>
      </c>
      <c r="E1057" s="2">
        <v>39</v>
      </c>
      <c r="F1057" s="2">
        <v>755.91</v>
      </c>
    </row>
    <row r="1058" spans="3:6" x14ac:dyDescent="0.25">
      <c r="C1058" s="2" t="s">
        <v>4646</v>
      </c>
      <c r="D1058" s="2" t="s">
        <v>178</v>
      </c>
      <c r="E1058" s="2">
        <v>48</v>
      </c>
      <c r="F1058" s="2">
        <v>1003.03</v>
      </c>
    </row>
    <row r="1060" spans="1:7" x14ac:dyDescent="0.25">
      <c r="A1060" s="1">
        <v>46181</v>
      </c>
      <c r="B1060" s="2" t="s">
        <v>229</v>
      </c>
      <c r="C1060" s="2" t="s">
        <v>4647</v>
      </c>
      <c r="D1060" s="2" t="s">
        <v>82</v>
      </c>
      <c r="E1060" s="2">
        <v>121</v>
      </c>
      <c r="F1060" s="2">
        <v>2538.13</v>
      </c>
      <c r="G1060" s="1">
        <v>46180</v>
      </c>
    </row>
    <row r="1061" spans="3:6" x14ac:dyDescent="0.25">
      <c r="C1061" s="2" t="s">
        <v>4648</v>
      </c>
      <c r="D1061" s="2" t="s">
        <v>82</v>
      </c>
      <c r="E1061" s="2">
        <v>121</v>
      </c>
      <c r="F1061" s="2">
        <v>2554.909</v>
      </c>
    </row>
    <row r="1062" spans="3:6" x14ac:dyDescent="0.25">
      <c r="C1062" s="2" t="s">
        <v>4649</v>
      </c>
      <c r="D1062" s="2" t="s">
        <v>82</v>
      </c>
      <c r="E1062" s="2">
        <v>121</v>
      </c>
      <c r="F1062" s="2">
        <v>2584.28</v>
      </c>
    </row>
    <row r="1063" spans="3:6" x14ac:dyDescent="0.25">
      <c r="C1063" s="2" t="s">
        <v>4650</v>
      </c>
      <c r="D1063" s="2" t="s">
        <v>82</v>
      </c>
      <c r="E1063" s="2">
        <v>79</v>
      </c>
      <c r="F1063" s="2">
        <v>1663.7</v>
      </c>
    </row>
    <row r="1064" spans="3:6" x14ac:dyDescent="0.25">
      <c r="C1064" s="2" t="s">
        <v>4651</v>
      </c>
      <c r="D1064" s="2" t="s">
        <v>82</v>
      </c>
      <c r="E1064" s="2">
        <v>42</v>
      </c>
      <c r="F1064" s="2">
        <v>902.75</v>
      </c>
    </row>
    <row r="1065" spans="3:6" x14ac:dyDescent="0.25">
      <c r="C1065" s="2" t="s">
        <v>4652</v>
      </c>
      <c r="D1065" s="2" t="s">
        <v>82</v>
      </c>
      <c r="E1065" s="2">
        <v>134</v>
      </c>
      <c r="F1065" s="2">
        <v>2741.75</v>
      </c>
    </row>
    <row r="1066" spans="3:6" x14ac:dyDescent="0.25">
      <c r="C1066" s="2" t="s">
        <v>4653</v>
      </c>
      <c r="D1066" s="2" t="s">
        <v>82</v>
      </c>
      <c r="E1066" s="2">
        <v>68</v>
      </c>
      <c r="F1066" s="2">
        <v>1409.12</v>
      </c>
    </row>
    <row r="1067" spans="3:6" x14ac:dyDescent="0.25">
      <c r="C1067" s="2" t="s">
        <v>4654</v>
      </c>
      <c r="D1067" s="2" t="s">
        <v>82</v>
      </c>
      <c r="E1067" s="2">
        <v>34</v>
      </c>
      <c r="F1067" s="2">
        <v>689.61</v>
      </c>
    </row>
    <row r="1068" spans="3:6" x14ac:dyDescent="0.25">
      <c r="C1068" s="2" t="s">
        <v>4655</v>
      </c>
      <c r="D1068" s="2" t="s">
        <v>82</v>
      </c>
      <c r="E1068" s="2">
        <v>75</v>
      </c>
      <c r="F1068" s="2">
        <v>339.46</v>
      </c>
    </row>
    <row r="1069" spans="3:6" x14ac:dyDescent="0.25">
      <c r="C1069" s="2" t="s">
        <v>4656</v>
      </c>
      <c r="D1069" s="2" t="s">
        <v>82</v>
      </c>
      <c r="E1069" s="2">
        <v>60</v>
      </c>
      <c r="F1069" s="2">
        <v>277</v>
      </c>
    </row>
    <row r="1070" spans="3:6" x14ac:dyDescent="0.25">
      <c r="C1070" s="2" t="s">
        <v>4657</v>
      </c>
      <c r="D1070" s="2" t="s">
        <v>82</v>
      </c>
      <c r="E1070" s="2">
        <v>40</v>
      </c>
      <c r="F1070" s="2">
        <v>177.51</v>
      </c>
    </row>
    <row r="1071" spans="3:6" x14ac:dyDescent="0.25">
      <c r="C1071" s="2" t="s">
        <v>4658</v>
      </c>
      <c r="D1071" s="2" t="s">
        <v>82</v>
      </c>
      <c r="E1071" s="2">
        <v>102</v>
      </c>
      <c r="F1071" s="2">
        <v>2139.55</v>
      </c>
    </row>
    <row r="1072" spans="3:6" x14ac:dyDescent="0.25">
      <c r="C1072" s="2" t="s">
        <v>4659</v>
      </c>
      <c r="D1072" s="2" t="s">
        <v>82</v>
      </c>
      <c r="E1072" s="2">
        <v>80</v>
      </c>
      <c r="F1072" s="2">
        <v>1644.9</v>
      </c>
    </row>
    <row r="1073" spans="3:6" x14ac:dyDescent="0.25">
      <c r="C1073" s="2" t="s">
        <v>4660</v>
      </c>
      <c r="D1073" s="2" t="s">
        <v>82</v>
      </c>
      <c r="E1073" s="2">
        <v>22</v>
      </c>
      <c r="F1073" s="2">
        <v>441.5</v>
      </c>
    </row>
    <row r="1074" spans="3:6" x14ac:dyDescent="0.25">
      <c r="C1074" s="2" t="s">
        <v>4661</v>
      </c>
      <c r="D1074" s="2" t="s">
        <v>82</v>
      </c>
      <c r="E1074" s="2">
        <v>141</v>
      </c>
      <c r="F1074" s="2">
        <v>2956.34</v>
      </c>
    </row>
    <row r="1075" spans="3:6" x14ac:dyDescent="0.25">
      <c r="C1075" s="2" t="s">
        <v>4662</v>
      </c>
      <c r="D1075" s="2" t="s">
        <v>82</v>
      </c>
      <c r="E1075" s="2">
        <v>141</v>
      </c>
      <c r="F1075" s="2">
        <v>2848.65</v>
      </c>
    </row>
    <row r="1076" spans="3:6" x14ac:dyDescent="0.25">
      <c r="C1076" s="2" t="s">
        <v>4663</v>
      </c>
      <c r="D1076" s="2" t="s">
        <v>82</v>
      </c>
      <c r="E1076" s="2">
        <v>113</v>
      </c>
      <c r="F1076" s="2">
        <v>2403.42</v>
      </c>
    </row>
    <row r="1077" spans="3:6" x14ac:dyDescent="0.25">
      <c r="C1077" s="2" t="s">
        <v>4664</v>
      </c>
      <c r="D1077" s="2" t="s">
        <v>82</v>
      </c>
      <c r="E1077" s="2">
        <v>28</v>
      </c>
      <c r="F1077" s="2">
        <v>573.84</v>
      </c>
    </row>
    <row r="1078" spans="3:6" x14ac:dyDescent="0.25">
      <c r="C1078" s="2" t="s">
        <v>4665</v>
      </c>
      <c r="D1078" s="2" t="s">
        <v>82</v>
      </c>
      <c r="E1078" s="2">
        <v>71</v>
      </c>
      <c r="F1078" s="2">
        <v>1423.8</v>
      </c>
    </row>
    <row r="1079" spans="3:6" x14ac:dyDescent="0.25">
      <c r="C1079" s="2" t="s">
        <v>4666</v>
      </c>
      <c r="D1079" s="2" t="s">
        <v>82</v>
      </c>
      <c r="E1079" s="2">
        <v>70</v>
      </c>
      <c r="F1079" s="2">
        <v>1500.3</v>
      </c>
    </row>
    <row r="1080" spans="3:6" x14ac:dyDescent="0.25">
      <c r="C1080" s="2" t="s">
        <v>4667</v>
      </c>
      <c r="D1080" s="2" t="s">
        <v>82</v>
      </c>
      <c r="E1080" s="2">
        <v>141</v>
      </c>
      <c r="F1080" s="2">
        <v>2972.45</v>
      </c>
    </row>
    <row r="1081" spans="3:6" x14ac:dyDescent="0.25">
      <c r="C1081" s="2" t="s">
        <v>4668</v>
      </c>
      <c r="D1081" s="2" t="s">
        <v>82</v>
      </c>
      <c r="E1081" s="2">
        <v>141</v>
      </c>
      <c r="F1081" s="2">
        <v>2885.4</v>
      </c>
    </row>
    <row r="1082" spans="3:6" x14ac:dyDescent="0.25">
      <c r="C1082" s="2" t="s">
        <v>4669</v>
      </c>
      <c r="D1082" s="2" t="s">
        <v>82</v>
      </c>
      <c r="E1082" s="2">
        <v>141</v>
      </c>
      <c r="F1082" s="2">
        <v>2851.14</v>
      </c>
    </row>
    <row r="1083" spans="3:6" x14ac:dyDescent="0.25">
      <c r="C1083" s="2" t="s">
        <v>4670</v>
      </c>
      <c r="D1083" s="2" t="s">
        <v>82</v>
      </c>
      <c r="E1083" s="2">
        <v>78</v>
      </c>
      <c r="F1083" s="2">
        <v>1605.12</v>
      </c>
    </row>
    <row r="1084" spans="3:6" x14ac:dyDescent="0.25">
      <c r="C1084" s="2" t="s">
        <v>4671</v>
      </c>
      <c r="D1084" s="2" t="s">
        <v>82</v>
      </c>
      <c r="E1084" s="2">
        <v>63</v>
      </c>
      <c r="F1084" s="2">
        <v>1265.589</v>
      </c>
    </row>
    <row r="1085" spans="3:6" x14ac:dyDescent="0.25">
      <c r="C1085" s="2" t="s">
        <v>4672</v>
      </c>
      <c r="D1085" s="2" t="s">
        <v>82</v>
      </c>
      <c r="E1085" s="2">
        <v>87</v>
      </c>
      <c r="F1085" s="2">
        <v>1755.95</v>
      </c>
    </row>
    <row r="1086" spans="3:6" x14ac:dyDescent="0.25">
      <c r="C1086" s="2" t="s">
        <v>4673</v>
      </c>
      <c r="D1086" s="2" t="s">
        <v>82</v>
      </c>
      <c r="E1086" s="2">
        <v>15</v>
      </c>
      <c r="F1086" s="2">
        <v>312.39</v>
      </c>
    </row>
    <row r="1087" spans="3:6" x14ac:dyDescent="0.25">
      <c r="C1087" s="2" t="s">
        <v>4674</v>
      </c>
      <c r="D1087" s="2" t="s">
        <v>82</v>
      </c>
      <c r="E1087" s="2">
        <v>141</v>
      </c>
      <c r="F1087" s="2">
        <v>2906.829</v>
      </c>
    </row>
    <row r="1088" spans="3:6" x14ac:dyDescent="0.25">
      <c r="C1088" s="2" t="s">
        <v>4675</v>
      </c>
      <c r="D1088" s="2" t="s">
        <v>82</v>
      </c>
      <c r="E1088" s="2">
        <v>96</v>
      </c>
      <c r="F1088" s="2">
        <v>1788.849</v>
      </c>
    </row>
    <row r="1089" spans="3:6" x14ac:dyDescent="0.25">
      <c r="C1089" s="2" t="s">
        <v>4676</v>
      </c>
      <c r="D1089" s="2" t="s">
        <v>82</v>
      </c>
      <c r="E1089" s="2">
        <v>47</v>
      </c>
      <c r="F1089" s="2">
        <v>915.56</v>
      </c>
    </row>
    <row r="1090" spans="3:6" x14ac:dyDescent="0.25">
      <c r="C1090" s="2" t="s">
        <v>4677</v>
      </c>
      <c r="D1090" s="2" t="s">
        <v>82</v>
      </c>
      <c r="E1090" s="2">
        <v>74</v>
      </c>
      <c r="F1090" s="2">
        <v>1468.89</v>
      </c>
    </row>
    <row r="1091" spans="3:6" x14ac:dyDescent="0.25">
      <c r="C1091" s="2" t="s">
        <v>4678</v>
      </c>
      <c r="D1091" s="2" t="s">
        <v>82</v>
      </c>
      <c r="E1091" s="2">
        <v>67</v>
      </c>
      <c r="F1091" s="2">
        <v>1398.91</v>
      </c>
    </row>
    <row r="1092" spans="3:6" x14ac:dyDescent="0.25">
      <c r="C1092" s="2" t="s">
        <v>4679</v>
      </c>
      <c r="D1092" s="2" t="s">
        <v>82</v>
      </c>
      <c r="E1092" s="2">
        <v>52</v>
      </c>
      <c r="F1092" s="2">
        <v>1128.63</v>
      </c>
    </row>
    <row r="1093" spans="3:6" x14ac:dyDescent="0.25">
      <c r="C1093" s="2" t="s">
        <v>4680</v>
      </c>
      <c r="D1093" s="2" t="s">
        <v>82</v>
      </c>
      <c r="E1093" s="2">
        <v>21</v>
      </c>
      <c r="F1093" s="2">
        <v>393.77</v>
      </c>
    </row>
    <row r="1094" spans="3:6" x14ac:dyDescent="0.25">
      <c r="C1094" s="2" t="s">
        <v>4681</v>
      </c>
      <c r="D1094" s="2" t="s">
        <v>82</v>
      </c>
      <c r="E1094" s="2">
        <v>68</v>
      </c>
      <c r="F1094" s="2">
        <v>1314.39</v>
      </c>
    </row>
    <row r="1095" spans="3:6" x14ac:dyDescent="0.25">
      <c r="C1095" s="2" t="s">
        <v>4538</v>
      </c>
      <c r="D1095" s="2" t="s">
        <v>82</v>
      </c>
      <c r="E1095" s="2">
        <v>75</v>
      </c>
      <c r="F1095" s="2">
        <v>1498.77</v>
      </c>
    </row>
    <row r="1097" spans="1:7" x14ac:dyDescent="0.25">
      <c r="A1097" s="1">
        <v>46181</v>
      </c>
      <c r="B1097" s="2" t="s">
        <v>290</v>
      </c>
      <c r="C1097" s="2" t="s">
        <v>4682</v>
      </c>
      <c r="D1097" s="2" t="s">
        <v>292</v>
      </c>
      <c r="E1097" s="2">
        <v>30</v>
      </c>
      <c r="F1097" s="2">
        <v>569.83</v>
      </c>
      <c r="G1097" s="1">
        <v>46180</v>
      </c>
    </row>
    <row r="1098" spans="3:6" x14ac:dyDescent="0.25">
      <c r="C1098" s="2" t="s">
        <v>4683</v>
      </c>
      <c r="D1098" s="2" t="s">
        <v>292</v>
      </c>
      <c r="E1098" s="2">
        <v>59</v>
      </c>
      <c r="F1098" s="2">
        <v>1247.27</v>
      </c>
    </row>
    <row r="1099" spans="3:6" x14ac:dyDescent="0.25">
      <c r="C1099" s="2" t="s">
        <v>4684</v>
      </c>
      <c r="D1099" s="2" t="s">
        <v>292</v>
      </c>
      <c r="E1099" s="2">
        <v>28</v>
      </c>
      <c r="F1099" s="2">
        <v>598.7</v>
      </c>
    </row>
    <row r="1100" spans="3:6" x14ac:dyDescent="0.25">
      <c r="C1100" s="2" t="s">
        <v>4685</v>
      </c>
      <c r="D1100" s="2" t="s">
        <v>292</v>
      </c>
      <c r="E1100" s="2">
        <v>24</v>
      </c>
      <c r="F1100" s="2">
        <v>388.849</v>
      </c>
    </row>
    <row r="1101" spans="3:6" x14ac:dyDescent="0.25">
      <c r="C1101" s="2" t="s">
        <v>4686</v>
      </c>
      <c r="D1101" s="2" t="s">
        <v>292</v>
      </c>
      <c r="E1101" s="2">
        <v>83</v>
      </c>
      <c r="F1101" s="2">
        <v>1660.81</v>
      </c>
    </row>
    <row r="1102" spans="3:6" x14ac:dyDescent="0.25">
      <c r="C1102" s="2" t="s">
        <v>4687</v>
      </c>
      <c r="D1102" s="2" t="s">
        <v>292</v>
      </c>
      <c r="E1102" s="2">
        <v>82</v>
      </c>
      <c r="F1102" s="2">
        <v>1632.96</v>
      </c>
    </row>
    <row r="1103" spans="3:6" x14ac:dyDescent="0.25">
      <c r="C1103" s="2" t="s">
        <v>4688</v>
      </c>
      <c r="D1103" s="2" t="s">
        <v>292</v>
      </c>
      <c r="E1103" s="2">
        <v>99</v>
      </c>
      <c r="F1103" s="2">
        <v>1922.37</v>
      </c>
    </row>
    <row r="1104" spans="3:6" x14ac:dyDescent="0.25">
      <c r="C1104" s="2" t="s">
        <v>4689</v>
      </c>
      <c r="D1104" s="2" t="s">
        <v>292</v>
      </c>
      <c r="E1104" s="2">
        <v>85</v>
      </c>
      <c r="F1104" s="2">
        <v>1467.32</v>
      </c>
    </row>
    <row r="1105" spans="3:6" x14ac:dyDescent="0.25">
      <c r="C1105" s="2" t="s">
        <v>4690</v>
      </c>
      <c r="D1105" s="2" t="s">
        <v>292</v>
      </c>
      <c r="E1105" s="2">
        <v>20</v>
      </c>
      <c r="F1105" s="2">
        <v>424.609</v>
      </c>
    </row>
    <row r="1106" spans="3:6" x14ac:dyDescent="0.25">
      <c r="C1106" s="2" t="s">
        <v>4691</v>
      </c>
      <c r="D1106" s="2" t="s">
        <v>292</v>
      </c>
      <c r="E1106" s="2">
        <v>121</v>
      </c>
      <c r="F1106" s="2">
        <v>2464.92</v>
      </c>
    </row>
    <row r="1107" spans="3:6" x14ac:dyDescent="0.25">
      <c r="C1107" s="2" t="s">
        <v>4692</v>
      </c>
      <c r="D1107" s="2" t="s">
        <v>292</v>
      </c>
      <c r="E1107" s="2">
        <v>8</v>
      </c>
      <c r="F1107" s="2">
        <v>127.75</v>
      </c>
    </row>
    <row r="1108" spans="3:6" x14ac:dyDescent="0.25">
      <c r="C1108" s="2" t="s">
        <v>4693</v>
      </c>
      <c r="D1108" s="2" t="s">
        <v>292</v>
      </c>
      <c r="E1108" s="2">
        <v>12</v>
      </c>
      <c r="F1108" s="2">
        <v>126.41</v>
      </c>
    </row>
    <row r="1109" spans="3:6" x14ac:dyDescent="0.25">
      <c r="C1109" s="2" t="s">
        <v>4694</v>
      </c>
      <c r="D1109" s="2" t="s">
        <v>292</v>
      </c>
      <c r="E1109" s="2">
        <v>32</v>
      </c>
      <c r="F1109" s="2">
        <v>622.53</v>
      </c>
    </row>
    <row r="1110" spans="3:6" x14ac:dyDescent="0.25">
      <c r="C1110" s="2" t="s">
        <v>4695</v>
      </c>
      <c r="D1110" s="2" t="s">
        <v>292</v>
      </c>
      <c r="E1110" s="2">
        <v>14</v>
      </c>
      <c r="F1110" s="2">
        <v>233.9</v>
      </c>
    </row>
    <row r="1111" spans="3:6" x14ac:dyDescent="0.25">
      <c r="C1111" s="2" t="s">
        <v>4696</v>
      </c>
      <c r="D1111" s="2" t="s">
        <v>292</v>
      </c>
      <c r="E1111" s="2">
        <v>60</v>
      </c>
      <c r="F1111" s="2">
        <v>315.97</v>
      </c>
    </row>
    <row r="1112" spans="3:6" x14ac:dyDescent="0.25">
      <c r="C1112" s="2" t="s">
        <v>4697</v>
      </c>
      <c r="D1112" s="2" t="s">
        <v>292</v>
      </c>
      <c r="E1112" s="2">
        <v>100</v>
      </c>
      <c r="F1112" s="2">
        <v>2087.93</v>
      </c>
    </row>
    <row r="1113" spans="3:6" x14ac:dyDescent="0.25">
      <c r="C1113" s="2" t="s">
        <v>4698</v>
      </c>
      <c r="D1113" s="2" t="s">
        <v>292</v>
      </c>
      <c r="E1113" s="2">
        <v>141</v>
      </c>
      <c r="F1113" s="2">
        <v>2861.879</v>
      </c>
    </row>
    <row r="1114" spans="3:6" x14ac:dyDescent="0.25">
      <c r="C1114" s="2" t="s">
        <v>4699</v>
      </c>
      <c r="D1114" s="2" t="s">
        <v>292</v>
      </c>
      <c r="E1114" s="2">
        <v>88</v>
      </c>
      <c r="F1114" s="2">
        <v>1741.709</v>
      </c>
    </row>
    <row r="1115" spans="3:6" x14ac:dyDescent="0.25">
      <c r="C1115" s="2" t="s">
        <v>4700</v>
      </c>
      <c r="D1115" s="2" t="s">
        <v>292</v>
      </c>
      <c r="E1115" s="2">
        <v>61</v>
      </c>
      <c r="F1115" s="2">
        <v>1097.96</v>
      </c>
    </row>
    <row r="1116" spans="3:6" x14ac:dyDescent="0.25">
      <c r="C1116" s="2" t="s">
        <v>4701</v>
      </c>
      <c r="D1116" s="2" t="s">
        <v>292</v>
      </c>
      <c r="E1116" s="2">
        <v>80</v>
      </c>
      <c r="F1116" s="2">
        <v>1611.42</v>
      </c>
    </row>
    <row r="1117" spans="3:6" x14ac:dyDescent="0.25">
      <c r="C1117" s="2" t="s">
        <v>4702</v>
      </c>
      <c r="D1117" s="2" t="s">
        <v>292</v>
      </c>
      <c r="E1117" s="2">
        <v>50</v>
      </c>
      <c r="F1117" s="2">
        <v>270.67</v>
      </c>
    </row>
    <row r="1118" spans="3:6" x14ac:dyDescent="0.25">
      <c r="C1118" s="2" t="s">
        <v>4703</v>
      </c>
      <c r="D1118" s="2" t="s">
        <v>292</v>
      </c>
      <c r="E1118" s="2">
        <v>141</v>
      </c>
      <c r="F1118" s="2">
        <v>1997.931</v>
      </c>
    </row>
    <row r="1119" spans="3:6" x14ac:dyDescent="0.25">
      <c r="C1119" s="2" t="s">
        <v>4704</v>
      </c>
      <c r="D1119" s="2" t="s">
        <v>292</v>
      </c>
      <c r="E1119" s="2">
        <v>141</v>
      </c>
      <c r="F1119" s="2">
        <v>3023.79</v>
      </c>
    </row>
    <row r="1120" spans="3:6" x14ac:dyDescent="0.25">
      <c r="C1120" s="2" t="s">
        <v>4705</v>
      </c>
      <c r="D1120" s="2" t="s">
        <v>292</v>
      </c>
      <c r="E1120" s="2">
        <v>104</v>
      </c>
      <c r="F1120" s="2">
        <v>2186.059</v>
      </c>
    </row>
    <row r="1121" spans="3:6" x14ac:dyDescent="0.25">
      <c r="C1121" s="2" t="s">
        <v>4706</v>
      </c>
      <c r="D1121" s="2" t="s">
        <v>292</v>
      </c>
      <c r="E1121" s="2">
        <v>63</v>
      </c>
      <c r="F1121" s="2">
        <v>1412.88</v>
      </c>
    </row>
    <row r="1122" spans="3:6" x14ac:dyDescent="0.25">
      <c r="C1122" s="2" t="s">
        <v>4707</v>
      </c>
      <c r="D1122" s="2" t="s">
        <v>292</v>
      </c>
      <c r="E1122" s="2">
        <v>19</v>
      </c>
      <c r="F1122" s="2">
        <v>543.29</v>
      </c>
    </row>
    <row r="1123" spans="3:6" x14ac:dyDescent="0.25">
      <c r="C1123" s="2" t="s">
        <v>4708</v>
      </c>
      <c r="D1123" s="2" t="s">
        <v>292</v>
      </c>
      <c r="E1123" s="2">
        <v>45</v>
      </c>
      <c r="F1123" s="2">
        <v>234.63</v>
      </c>
    </row>
    <row r="1124" spans="3:6" x14ac:dyDescent="0.25">
      <c r="C1124" s="2" t="s">
        <v>4709</v>
      </c>
      <c r="D1124" s="2" t="s">
        <v>292</v>
      </c>
      <c r="E1124" s="2">
        <v>89</v>
      </c>
      <c r="F1124" s="2">
        <v>1805.921</v>
      </c>
    </row>
    <row r="1125" spans="3:6" x14ac:dyDescent="0.25">
      <c r="C1125" s="2" t="s">
        <v>4710</v>
      </c>
      <c r="D1125" s="2" t="s">
        <v>292</v>
      </c>
      <c r="E1125" s="2">
        <v>141</v>
      </c>
      <c r="F1125" s="2">
        <v>2706.949</v>
      </c>
    </row>
    <row r="1126" spans="3:6" x14ac:dyDescent="0.25">
      <c r="C1126" s="2" t="s">
        <v>4711</v>
      </c>
      <c r="D1126" s="2" t="s">
        <v>292</v>
      </c>
      <c r="E1126" s="2">
        <v>52</v>
      </c>
      <c r="F1126" s="2">
        <v>1050.56</v>
      </c>
    </row>
    <row r="1127" spans="3:6" x14ac:dyDescent="0.25">
      <c r="C1127" s="2" t="s">
        <v>4712</v>
      </c>
      <c r="D1127" s="2" t="s">
        <v>292</v>
      </c>
      <c r="E1127" s="2">
        <v>141</v>
      </c>
      <c r="F1127" s="2">
        <v>2939.66</v>
      </c>
    </row>
    <row r="1128" spans="3:6" x14ac:dyDescent="0.25">
      <c r="C1128" s="2" t="s">
        <v>4713</v>
      </c>
      <c r="D1128" s="2" t="s">
        <v>292</v>
      </c>
      <c r="E1128" s="2">
        <v>141</v>
      </c>
      <c r="F1128" s="2">
        <v>2802.36</v>
      </c>
    </row>
    <row r="1129" spans="3:6" x14ac:dyDescent="0.25">
      <c r="C1129" s="2" t="s">
        <v>4714</v>
      </c>
      <c r="D1129" s="2" t="s">
        <v>292</v>
      </c>
      <c r="E1129" s="2">
        <v>45</v>
      </c>
      <c r="F1129" s="2">
        <v>224.93</v>
      </c>
    </row>
    <row r="1130" spans="3:6" x14ac:dyDescent="0.25">
      <c r="C1130" s="2" t="s">
        <v>4715</v>
      </c>
      <c r="D1130" s="2" t="s">
        <v>292</v>
      </c>
      <c r="E1130" s="2">
        <v>10</v>
      </c>
      <c r="F1130" s="2">
        <v>196.45</v>
      </c>
    </row>
    <row r="1131" spans="3:6" x14ac:dyDescent="0.25">
      <c r="C1131" s="2" t="s">
        <v>4716</v>
      </c>
      <c r="D1131" s="2" t="s">
        <v>292</v>
      </c>
      <c r="E1131" s="2">
        <v>65</v>
      </c>
      <c r="F1131" s="2">
        <v>1343.93</v>
      </c>
    </row>
    <row r="1132" spans="3:6" x14ac:dyDescent="0.25">
      <c r="C1132" s="2" t="s">
        <v>4717</v>
      </c>
      <c r="D1132" s="2" t="s">
        <v>292</v>
      </c>
      <c r="E1132" s="2">
        <v>100</v>
      </c>
      <c r="F1132" s="2">
        <v>1909.539</v>
      </c>
    </row>
    <row r="1133" spans="3:6" x14ac:dyDescent="0.25">
      <c r="C1133" s="2" t="s">
        <v>4718</v>
      </c>
      <c r="D1133" s="2" t="s">
        <v>292</v>
      </c>
      <c r="E1133" s="2">
        <v>141</v>
      </c>
      <c r="F1133" s="2">
        <v>2995.88</v>
      </c>
    </row>
    <row r="1134" spans="3:6" x14ac:dyDescent="0.25">
      <c r="C1134" s="2" t="s">
        <v>4719</v>
      </c>
      <c r="D1134" s="2" t="s">
        <v>292</v>
      </c>
      <c r="E1134" s="2">
        <v>141</v>
      </c>
      <c r="F1134" s="2">
        <v>2805.687</v>
      </c>
    </row>
    <row r="1135" spans="3:6" x14ac:dyDescent="0.25">
      <c r="C1135" s="2" t="s">
        <v>4720</v>
      </c>
      <c r="D1135" s="2" t="s">
        <v>292</v>
      </c>
      <c r="E1135" s="2">
        <v>141</v>
      </c>
      <c r="F1135" s="2">
        <v>2799.21</v>
      </c>
    </row>
    <row r="1136" spans="3:6" x14ac:dyDescent="0.25">
      <c r="C1136" s="2" t="s">
        <v>4721</v>
      </c>
      <c r="D1136" s="2" t="s">
        <v>292</v>
      </c>
      <c r="E1136" s="2">
        <v>141</v>
      </c>
      <c r="F1136" s="2">
        <v>2917.64</v>
      </c>
    </row>
    <row r="1137" spans="3:6" x14ac:dyDescent="0.25">
      <c r="C1137" s="2" t="s">
        <v>4722</v>
      </c>
      <c r="D1137" s="2" t="s">
        <v>292</v>
      </c>
      <c r="E1137" s="2">
        <v>123</v>
      </c>
      <c r="F1137" s="2">
        <v>2435.52</v>
      </c>
    </row>
    <row r="1138" spans="3:6" x14ac:dyDescent="0.25">
      <c r="C1138" s="2" t="s">
        <v>4723</v>
      </c>
      <c r="D1138" s="2" t="s">
        <v>292</v>
      </c>
      <c r="E1138" s="2">
        <v>123</v>
      </c>
      <c r="F1138" s="2">
        <v>2528.103</v>
      </c>
    </row>
    <row r="1139" spans="3:6" x14ac:dyDescent="0.25">
      <c r="C1139" s="2" t="s">
        <v>4724</v>
      </c>
      <c r="D1139" s="2" t="s">
        <v>292</v>
      </c>
      <c r="E1139" s="2">
        <v>100</v>
      </c>
      <c r="F1139" s="2">
        <v>2085.9</v>
      </c>
    </row>
    <row r="1140" spans="3:6" x14ac:dyDescent="0.25">
      <c r="C1140" s="2" t="s">
        <v>4725</v>
      </c>
      <c r="D1140" s="2" t="s">
        <v>292</v>
      </c>
      <c r="E1140" s="2">
        <v>141</v>
      </c>
      <c r="F1140" s="2">
        <v>2749.879</v>
      </c>
    </row>
    <row r="1141" spans="3:6" x14ac:dyDescent="0.25">
      <c r="C1141" s="2" t="s">
        <v>4726</v>
      </c>
      <c r="D1141" s="2" t="s">
        <v>292</v>
      </c>
      <c r="E1141" s="2">
        <v>126</v>
      </c>
      <c r="F1141" s="2">
        <v>2623.95</v>
      </c>
    </row>
    <row r="1142" spans="3:6" x14ac:dyDescent="0.25">
      <c r="C1142" s="2" t="s">
        <v>4727</v>
      </c>
      <c r="D1142" s="2" t="s">
        <v>292</v>
      </c>
      <c r="E1142" s="2">
        <v>15</v>
      </c>
      <c r="F1142" s="2">
        <v>320.31</v>
      </c>
    </row>
    <row r="1143" spans="3:6" x14ac:dyDescent="0.25">
      <c r="C1143" s="2" t="s">
        <v>4728</v>
      </c>
      <c r="D1143" s="2" t="s">
        <v>292</v>
      </c>
      <c r="E1143" s="2">
        <v>92</v>
      </c>
      <c r="F1143" s="2">
        <v>1460.654</v>
      </c>
    </row>
    <row r="1144" spans="3:6" x14ac:dyDescent="0.25">
      <c r="C1144" s="2" t="s">
        <v>4729</v>
      </c>
      <c r="D1144" s="2" t="s">
        <v>292</v>
      </c>
      <c r="E1144" s="2">
        <v>24</v>
      </c>
      <c r="F1144" s="2">
        <v>489.739</v>
      </c>
    </row>
    <row r="1145" spans="3:6" x14ac:dyDescent="0.25">
      <c r="C1145" s="2" t="s">
        <v>4730</v>
      </c>
      <c r="D1145" s="2" t="s">
        <v>292</v>
      </c>
      <c r="E1145" s="2">
        <v>62</v>
      </c>
      <c r="F1145" s="2">
        <v>1456.989</v>
      </c>
    </row>
    <row r="1146" spans="3:6" x14ac:dyDescent="0.25">
      <c r="C1146" s="2" t="s">
        <v>4731</v>
      </c>
      <c r="D1146" s="2" t="s">
        <v>292</v>
      </c>
      <c r="E1146" s="2">
        <v>123</v>
      </c>
      <c r="F1146" s="2">
        <v>2560.97</v>
      </c>
    </row>
    <row r="1148" spans="1:7" x14ac:dyDescent="0.25">
      <c r="A1148" s="1">
        <v>46181</v>
      </c>
      <c r="B1148" s="2" t="s">
        <v>7</v>
      </c>
      <c r="C1148" s="2" t="s">
        <v>4732</v>
      </c>
      <c r="D1148" s="2" t="s">
        <v>9</v>
      </c>
      <c r="E1148" s="2">
        <v>99</v>
      </c>
      <c r="F1148" s="2">
        <v>1941.784</v>
      </c>
      <c r="G1148" s="1">
        <v>46180</v>
      </c>
    </row>
    <row r="1149" spans="3:6" x14ac:dyDescent="0.25">
      <c r="C1149" s="2" t="s">
        <v>4733</v>
      </c>
      <c r="D1149" s="2" t="s">
        <v>9</v>
      </c>
      <c r="E1149" s="2">
        <v>99</v>
      </c>
      <c r="F1149" s="2">
        <v>1863.127</v>
      </c>
    </row>
    <row r="1151" spans="1:7" x14ac:dyDescent="0.25">
      <c r="A1151" s="1">
        <v>46181</v>
      </c>
      <c r="B1151" s="2" t="s">
        <v>128</v>
      </c>
      <c r="C1151" s="2" t="s">
        <v>4734</v>
      </c>
      <c r="D1151" s="2" t="s">
        <v>136</v>
      </c>
      <c r="E1151" s="2">
        <v>156</v>
      </c>
      <c r="F1151" s="2">
        <v>3158.7</v>
      </c>
      <c r="G1151" s="1">
        <v>46182</v>
      </c>
    </row>
    <row r="1152" spans="3:6" x14ac:dyDescent="0.25">
      <c r="C1152" s="2" t="s">
        <v>4735</v>
      </c>
      <c r="D1152" s="2" t="s">
        <v>136</v>
      </c>
      <c r="E1152" s="2">
        <v>119</v>
      </c>
      <c r="F1152" s="2">
        <v>2339.03</v>
      </c>
    </row>
    <row r="1153" spans="3:6" x14ac:dyDescent="0.25">
      <c r="C1153" s="2" t="s">
        <v>4736</v>
      </c>
      <c r="D1153" s="2" t="s">
        <v>136</v>
      </c>
      <c r="E1153" s="2">
        <v>37</v>
      </c>
      <c r="F1153" s="2">
        <v>646.57</v>
      </c>
    </row>
    <row r="1154" spans="3:6" x14ac:dyDescent="0.25">
      <c r="C1154" s="2" t="s">
        <v>4737</v>
      </c>
      <c r="D1154" s="2" t="s">
        <v>136</v>
      </c>
      <c r="E1154" s="2">
        <v>156</v>
      </c>
      <c r="F1154" s="2">
        <v>3243.098</v>
      </c>
    </row>
    <row r="1156" spans="3:7" x14ac:dyDescent="0.25">
      <c r="C1156" s="2" t="s">
        <v>4738</v>
      </c>
      <c r="D1156" s="2" t="s">
        <v>15</v>
      </c>
      <c r="E1156" s="2">
        <v>66</v>
      </c>
      <c r="F1156" s="2">
        <v>1266</v>
      </c>
      <c r="G1156" s="1">
        <v>46182</v>
      </c>
    </row>
    <row r="1157" spans="3:6" x14ac:dyDescent="0.25">
      <c r="C1157" s="2" t="s">
        <v>4739</v>
      </c>
      <c r="D1157" s="2" t="s">
        <v>15</v>
      </c>
      <c r="E1157" s="2">
        <v>39</v>
      </c>
      <c r="F1157" s="2">
        <v>742.03</v>
      </c>
    </row>
    <row r="1158" spans="3:6" x14ac:dyDescent="0.25">
      <c r="C1158" s="2" t="s">
        <v>4740</v>
      </c>
      <c r="D1158" s="2" t="s">
        <v>15</v>
      </c>
      <c r="E1158" s="2">
        <v>163</v>
      </c>
      <c r="F1158" s="2">
        <v>2936.097</v>
      </c>
    </row>
    <row r="1159" spans="3:6" x14ac:dyDescent="0.25">
      <c r="C1159" s="2" t="s">
        <v>4741</v>
      </c>
      <c r="D1159" s="2" t="s">
        <v>15</v>
      </c>
      <c r="E1159" s="2">
        <v>163</v>
      </c>
      <c r="F1159" s="2">
        <v>2888.158</v>
      </c>
    </row>
    <row r="1160" spans="3:6" x14ac:dyDescent="0.25">
      <c r="C1160" s="2" t="s">
        <v>4375</v>
      </c>
      <c r="D1160" s="2" t="s">
        <v>15</v>
      </c>
      <c r="E1160" s="2">
        <v>105</v>
      </c>
      <c r="F1160" s="2">
        <v>2009</v>
      </c>
    </row>
    <row r="1161" spans="3:6" x14ac:dyDescent="0.25">
      <c r="C1161" s="2" t="s">
        <v>4425</v>
      </c>
      <c r="D1161" s="2" t="s">
        <v>15</v>
      </c>
      <c r="E1161" s="2">
        <v>209</v>
      </c>
      <c r="F1161" s="2">
        <v>575.215</v>
      </c>
    </row>
    <row r="1162" spans="3:6" x14ac:dyDescent="0.25">
      <c r="C1162" s="2" t="s">
        <v>4422</v>
      </c>
      <c r="D1162" s="2" t="s">
        <v>15</v>
      </c>
      <c r="E1162" s="2">
        <v>36</v>
      </c>
      <c r="F1162" s="2">
        <v>560.56</v>
      </c>
    </row>
    <row r="1163" spans="3:6" x14ac:dyDescent="0.25">
      <c r="C1163" s="2" t="s">
        <v>4742</v>
      </c>
      <c r="D1163" s="2" t="s">
        <v>15</v>
      </c>
      <c r="E1163" s="2">
        <v>22</v>
      </c>
      <c r="F1163" s="2">
        <v>365.12</v>
      </c>
    </row>
    <row r="1164" spans="3:6" x14ac:dyDescent="0.25">
      <c r="C1164" s="2" t="s">
        <v>4743</v>
      </c>
      <c r="D1164" s="2" t="s">
        <v>15</v>
      </c>
      <c r="E1164" s="2">
        <v>163</v>
      </c>
      <c r="F1164" s="2">
        <v>3009.91</v>
      </c>
    </row>
    <row r="1165" spans="3:6" x14ac:dyDescent="0.25">
      <c r="C1165" s="2" t="s">
        <v>4744</v>
      </c>
      <c r="D1165" s="2" t="s">
        <v>15</v>
      </c>
      <c r="E1165" s="2">
        <v>163</v>
      </c>
      <c r="F1165" s="2">
        <v>2881.05</v>
      </c>
    </row>
    <row r="1166" spans="3:6" x14ac:dyDescent="0.25">
      <c r="C1166" s="2" t="s">
        <v>4745</v>
      </c>
      <c r="D1166" s="2" t="s">
        <v>15</v>
      </c>
      <c r="E1166" s="2">
        <v>103</v>
      </c>
      <c r="F1166" s="2">
        <v>1910.9</v>
      </c>
    </row>
    <row r="1167" spans="3:6" x14ac:dyDescent="0.25">
      <c r="C1167" s="2" t="s">
        <v>4746</v>
      </c>
      <c r="D1167" s="2" t="s">
        <v>15</v>
      </c>
      <c r="E1167" s="2">
        <v>163</v>
      </c>
      <c r="F1167" s="2">
        <v>2792.249</v>
      </c>
    </row>
    <row r="1168" spans="3:6" x14ac:dyDescent="0.25">
      <c r="C1168" s="2" t="s">
        <v>4747</v>
      </c>
      <c r="D1168" s="2" t="s">
        <v>26</v>
      </c>
      <c r="E1168" s="2">
        <v>100</v>
      </c>
      <c r="F1168" s="2">
        <v>1919.029</v>
      </c>
    </row>
    <row r="1169" spans="3:6" x14ac:dyDescent="0.25">
      <c r="C1169" s="2" t="s">
        <v>4748</v>
      </c>
      <c r="D1169" s="2" t="s">
        <v>26</v>
      </c>
      <c r="E1169" s="2">
        <v>56</v>
      </c>
      <c r="F1169" s="2">
        <v>1066.79</v>
      </c>
    </row>
    <row r="1170" spans="3:6" x14ac:dyDescent="0.25">
      <c r="C1170" s="2" t="s">
        <v>4749</v>
      </c>
      <c r="D1170" s="2" t="s">
        <v>26</v>
      </c>
      <c r="E1170" s="2">
        <v>56</v>
      </c>
      <c r="F1170" s="2">
        <v>1119.789</v>
      </c>
    </row>
    <row r="1171" spans="3:6" x14ac:dyDescent="0.25">
      <c r="C1171" s="2" t="s">
        <v>4750</v>
      </c>
      <c r="D1171" s="2" t="s">
        <v>26</v>
      </c>
      <c r="E1171" s="2">
        <v>100</v>
      </c>
      <c r="F1171" s="2">
        <v>1811.51</v>
      </c>
    </row>
    <row r="1172" spans="3:6" x14ac:dyDescent="0.25">
      <c r="C1172" s="2" t="s">
        <v>4751</v>
      </c>
      <c r="D1172" s="2" t="s">
        <v>26</v>
      </c>
      <c r="E1172" s="2">
        <v>100</v>
      </c>
      <c r="F1172" s="2">
        <v>1907.79</v>
      </c>
    </row>
    <row r="1173" spans="3:6" x14ac:dyDescent="0.25">
      <c r="C1173" s="2" t="s">
        <v>4752</v>
      </c>
      <c r="D1173" s="2" t="s">
        <v>26</v>
      </c>
      <c r="E1173" s="2">
        <v>56</v>
      </c>
      <c r="F1173" s="2">
        <v>1041.67</v>
      </c>
    </row>
    <row r="1174" spans="3:6" x14ac:dyDescent="0.25">
      <c r="C1174" s="2" t="s">
        <v>4753</v>
      </c>
      <c r="D1174" s="2" t="s">
        <v>26</v>
      </c>
      <c r="E1174" s="2">
        <v>100</v>
      </c>
      <c r="F1174" s="2">
        <v>1903.389</v>
      </c>
    </row>
    <row r="1175" spans="3:6" x14ac:dyDescent="0.25">
      <c r="C1175" s="2" t="s">
        <v>4754</v>
      </c>
      <c r="D1175" s="2" t="s">
        <v>26</v>
      </c>
      <c r="E1175" s="2">
        <v>56</v>
      </c>
      <c r="F1175" s="2">
        <v>1072.85</v>
      </c>
    </row>
    <row r="1176" spans="3:6" x14ac:dyDescent="0.25">
      <c r="C1176" s="2" t="s">
        <v>4755</v>
      </c>
      <c r="D1176" s="2" t="s">
        <v>26</v>
      </c>
      <c r="E1176" s="2">
        <v>100</v>
      </c>
      <c r="F1176" s="2">
        <v>1841.8</v>
      </c>
    </row>
    <row r="1177" spans="3:6" x14ac:dyDescent="0.25">
      <c r="C1177" s="2" t="s">
        <v>4756</v>
      </c>
      <c r="D1177" s="2" t="s">
        <v>26</v>
      </c>
      <c r="E1177" s="2">
        <v>56</v>
      </c>
      <c r="F1177" s="2">
        <v>1018.32</v>
      </c>
    </row>
    <row r="1178" spans="3:6" x14ac:dyDescent="0.25">
      <c r="C1178" s="2" t="s">
        <v>4757</v>
      </c>
      <c r="D1178" s="2" t="s">
        <v>30</v>
      </c>
      <c r="E1178" s="2">
        <v>134</v>
      </c>
      <c r="F1178" s="2">
        <v>2741.74</v>
      </c>
    </row>
    <row r="1179" spans="3:6" x14ac:dyDescent="0.25">
      <c r="C1179" s="2" t="s">
        <v>4758</v>
      </c>
      <c r="D1179" s="2" t="s">
        <v>30</v>
      </c>
      <c r="E1179" s="2">
        <v>134</v>
      </c>
      <c r="F1179" s="2">
        <v>2765.66</v>
      </c>
    </row>
    <row r="1180" spans="3:6" x14ac:dyDescent="0.25">
      <c r="C1180" s="2" t="s">
        <v>4759</v>
      </c>
      <c r="D1180" s="2" t="s">
        <v>30</v>
      </c>
      <c r="E1180" s="2">
        <v>134</v>
      </c>
      <c r="F1180" s="2">
        <v>2723.93</v>
      </c>
    </row>
    <row r="1181" spans="3:6" x14ac:dyDescent="0.25">
      <c r="C1181" s="2" t="s">
        <v>4760</v>
      </c>
      <c r="D1181" s="2" t="s">
        <v>30</v>
      </c>
      <c r="E1181" s="2">
        <v>134</v>
      </c>
      <c r="F1181" s="2">
        <v>2534.09</v>
      </c>
    </row>
    <row r="1182" spans="3:6" x14ac:dyDescent="0.25">
      <c r="C1182" s="2" t="s">
        <v>4761</v>
      </c>
      <c r="D1182" s="2" t="s">
        <v>30</v>
      </c>
      <c r="E1182" s="2">
        <v>134</v>
      </c>
      <c r="F1182" s="2">
        <v>2634.719</v>
      </c>
    </row>
    <row r="1183" spans="3:6" x14ac:dyDescent="0.25">
      <c r="C1183" s="2" t="s">
        <v>4762</v>
      </c>
      <c r="D1183" s="2" t="s">
        <v>30</v>
      </c>
      <c r="E1183" s="2">
        <v>134</v>
      </c>
      <c r="F1183" s="2">
        <v>2696.07</v>
      </c>
    </row>
    <row r="1184" spans="3:6" x14ac:dyDescent="0.25">
      <c r="C1184" s="2" t="s">
        <v>4763</v>
      </c>
      <c r="D1184" s="2" t="s">
        <v>30</v>
      </c>
      <c r="E1184" s="2">
        <v>163</v>
      </c>
      <c r="F1184" s="2">
        <v>3025</v>
      </c>
    </row>
    <row r="1185" spans="3:6" x14ac:dyDescent="0.25">
      <c r="C1185" s="2" t="s">
        <v>4764</v>
      </c>
      <c r="D1185" s="2" t="s">
        <v>30</v>
      </c>
      <c r="E1185" s="2">
        <v>163</v>
      </c>
      <c r="F1185" s="2">
        <v>3185.9</v>
      </c>
    </row>
    <row r="1186" spans="3:6" x14ac:dyDescent="0.25">
      <c r="C1186" s="2" t="s">
        <v>4765</v>
      </c>
      <c r="D1186" s="2" t="s">
        <v>30</v>
      </c>
      <c r="E1186" s="2">
        <v>163</v>
      </c>
      <c r="F1186" s="2">
        <v>2952.46</v>
      </c>
    </row>
    <row r="1187" spans="3:6" x14ac:dyDescent="0.25">
      <c r="C1187" s="2" t="s">
        <v>4766</v>
      </c>
      <c r="D1187" s="2" t="s">
        <v>36</v>
      </c>
      <c r="E1187" s="2">
        <v>80</v>
      </c>
      <c r="F1187" s="2">
        <v>1533.87</v>
      </c>
    </row>
    <row r="1188" spans="3:6" x14ac:dyDescent="0.25">
      <c r="C1188" s="2" t="s">
        <v>4767</v>
      </c>
      <c r="D1188" s="2" t="s">
        <v>36</v>
      </c>
      <c r="E1188" s="2">
        <v>13</v>
      </c>
      <c r="F1188" s="2">
        <v>252.46</v>
      </c>
    </row>
    <row r="1189" spans="3:6" x14ac:dyDescent="0.25">
      <c r="C1189" s="2" t="s">
        <v>4768</v>
      </c>
      <c r="D1189" s="2" t="s">
        <v>36</v>
      </c>
      <c r="E1189" s="2">
        <v>12</v>
      </c>
      <c r="F1189" s="2">
        <v>265</v>
      </c>
    </row>
    <row r="1190" spans="3:6" x14ac:dyDescent="0.25">
      <c r="C1190" s="2" t="s">
        <v>4769</v>
      </c>
      <c r="D1190" s="2" t="s">
        <v>36</v>
      </c>
      <c r="E1190" s="2">
        <v>45</v>
      </c>
      <c r="F1190" s="2">
        <v>853.23</v>
      </c>
    </row>
    <row r="1191" spans="3:6" x14ac:dyDescent="0.25">
      <c r="C1191" s="2" t="s">
        <v>4770</v>
      </c>
      <c r="D1191" s="2" t="s">
        <v>36</v>
      </c>
      <c r="E1191" s="2">
        <v>60</v>
      </c>
      <c r="F1191" s="2">
        <v>1138.13</v>
      </c>
    </row>
    <row r="1192" spans="3:6" x14ac:dyDescent="0.25">
      <c r="C1192" s="2" t="s">
        <v>4771</v>
      </c>
      <c r="D1192" s="2" t="s">
        <v>42</v>
      </c>
      <c r="E1192" s="2">
        <v>47</v>
      </c>
      <c r="F1192" s="2">
        <v>877.03</v>
      </c>
    </row>
    <row r="1193" spans="3:6" x14ac:dyDescent="0.25">
      <c r="C1193" s="2" t="s">
        <v>4772</v>
      </c>
      <c r="D1193" s="2" t="s">
        <v>42</v>
      </c>
      <c r="E1193" s="2">
        <v>100</v>
      </c>
      <c r="F1193" s="2">
        <v>1864.994</v>
      </c>
    </row>
    <row r="1194" spans="3:6" x14ac:dyDescent="0.25">
      <c r="C1194" s="2" t="s">
        <v>4773</v>
      </c>
      <c r="D1194" s="2" t="s">
        <v>42</v>
      </c>
      <c r="E1194" s="2">
        <v>9</v>
      </c>
      <c r="F1194" s="2">
        <v>167.14</v>
      </c>
    </row>
    <row r="1195" spans="3:6" x14ac:dyDescent="0.25">
      <c r="C1195" s="2" t="s">
        <v>4774</v>
      </c>
      <c r="D1195" s="2" t="s">
        <v>42</v>
      </c>
      <c r="E1195" s="2" t="s">
        <v>4167</v>
      </c>
      <c r="F1195" s="2" t="s">
        <v>4167</v>
      </c>
    </row>
    <row r="1196" spans="3:6" x14ac:dyDescent="0.25">
      <c r="C1196" s="2" t="s">
        <v>4775</v>
      </c>
      <c r="D1196" s="2" t="s">
        <v>42</v>
      </c>
      <c r="E1196" s="2" t="s">
        <v>4167</v>
      </c>
      <c r="F1196" s="2" t="s">
        <v>4167</v>
      </c>
    </row>
    <row r="1197" spans="3:6" x14ac:dyDescent="0.25">
      <c r="C1197" s="2" t="s">
        <v>4776</v>
      </c>
      <c r="D1197" s="2" t="s">
        <v>42</v>
      </c>
      <c r="E1197" s="2">
        <v>100</v>
      </c>
      <c r="F1197" s="2">
        <v>1862.93</v>
      </c>
    </row>
    <row r="1198" spans="3:6" x14ac:dyDescent="0.25">
      <c r="C1198" s="2" t="s">
        <v>4777</v>
      </c>
      <c r="D1198" s="2" t="s">
        <v>42</v>
      </c>
      <c r="E1198" s="2">
        <v>56</v>
      </c>
      <c r="F1198" s="2">
        <v>1062.56</v>
      </c>
    </row>
    <row r="1200" spans="2:7" x14ac:dyDescent="0.25">
      <c r="B1200" s="2" t="s">
        <v>48</v>
      </c>
      <c r="C1200" s="2" t="s">
        <v>4778</v>
      </c>
      <c r="D1200" s="2" t="s">
        <v>30</v>
      </c>
      <c r="E1200" s="2">
        <v>105</v>
      </c>
      <c r="F1200" s="2">
        <v>1944</v>
      </c>
      <c r="G1200" s="1">
        <v>46182</v>
      </c>
    </row>
    <row r="1201" spans="3:6" x14ac:dyDescent="0.25">
      <c r="C1201" s="2" t="s">
        <v>4779</v>
      </c>
      <c r="D1201" s="2" t="s">
        <v>30</v>
      </c>
      <c r="E1201" s="2">
        <v>156</v>
      </c>
      <c r="F1201" s="2">
        <v>2876</v>
      </c>
    </row>
    <row r="1202" spans="3:6" x14ac:dyDescent="0.25">
      <c r="C1202" s="2" t="s">
        <v>4780</v>
      </c>
      <c r="D1202" s="2" t="s">
        <v>53</v>
      </c>
      <c r="E1202" s="2">
        <v>156</v>
      </c>
      <c r="F1202" s="2">
        <v>2934</v>
      </c>
    </row>
    <row r="1204" spans="1:7" x14ac:dyDescent="0.25">
      <c r="A1204" s="1">
        <v>46181</v>
      </c>
      <c r="B1204" s="2" t="s">
        <v>4781</v>
      </c>
      <c r="C1204" s="2" t="s">
        <v>4782</v>
      </c>
      <c r="D1204" s="2" t="s">
        <v>59</v>
      </c>
      <c r="E1204" s="2">
        <v>105</v>
      </c>
      <c r="F1204" s="2">
        <v>2046.738</v>
      </c>
      <c r="G1204" s="1">
        <v>46179</v>
      </c>
    </row>
    <row r="1205" spans="3:6" x14ac:dyDescent="0.25">
      <c r="C1205" s="2" t="s">
        <v>4783</v>
      </c>
      <c r="D1205" s="2" t="s">
        <v>59</v>
      </c>
      <c r="E1205" s="2">
        <v>128</v>
      </c>
      <c r="F1205" s="2">
        <v>2531.474</v>
      </c>
    </row>
    <row r="1206" spans="3:6" x14ac:dyDescent="0.25">
      <c r="C1206" s="2" t="s">
        <v>4784</v>
      </c>
      <c r="D1206" s="2" t="s">
        <v>59</v>
      </c>
      <c r="E1206" s="2">
        <v>163</v>
      </c>
      <c r="F1206" s="2">
        <v>3096.12</v>
      </c>
    </row>
    <row r="1207" spans="3:6" x14ac:dyDescent="0.25">
      <c r="C1207" s="2" t="s">
        <v>4785</v>
      </c>
      <c r="D1207" s="2" t="s">
        <v>59</v>
      </c>
      <c r="E1207" s="2">
        <v>163</v>
      </c>
      <c r="F1207" s="2">
        <v>3046.34</v>
      </c>
    </row>
    <row r="1208" spans="3:6" x14ac:dyDescent="0.25">
      <c r="C1208" s="2" t="s">
        <v>4786</v>
      </c>
      <c r="D1208" s="2" t="s">
        <v>59</v>
      </c>
      <c r="E1208" s="2">
        <v>163</v>
      </c>
      <c r="F1208" s="2">
        <v>2986.428</v>
      </c>
    </row>
    <row r="1209" spans="3:6" x14ac:dyDescent="0.25">
      <c r="C1209" s="2" t="s">
        <v>4787</v>
      </c>
      <c r="D1209" s="2" t="s">
        <v>59</v>
      </c>
      <c r="E1209" s="2">
        <v>105</v>
      </c>
      <c r="F1209" s="2">
        <v>2082.26</v>
      </c>
    </row>
    <row r="1210" spans="3:6" x14ac:dyDescent="0.25">
      <c r="C1210" s="2" t="s">
        <v>4788</v>
      </c>
      <c r="D1210" s="2" t="s">
        <v>59</v>
      </c>
      <c r="E1210" s="2">
        <v>163</v>
      </c>
      <c r="F1210" s="2">
        <v>3208.84</v>
      </c>
    </row>
    <row r="1211" spans="3:6" x14ac:dyDescent="0.25">
      <c r="C1211" s="2" t="s">
        <v>4789</v>
      </c>
      <c r="D1211" s="2" t="s">
        <v>59</v>
      </c>
      <c r="E1211" s="2">
        <v>268</v>
      </c>
      <c r="F1211" s="2">
        <v>5023.5</v>
      </c>
    </row>
    <row r="1212" spans="3:6" x14ac:dyDescent="0.25">
      <c r="C1212" s="2" t="s">
        <v>4790</v>
      </c>
      <c r="D1212" s="2" t="s">
        <v>59</v>
      </c>
      <c r="E1212" s="2">
        <v>105</v>
      </c>
      <c r="F1212" s="2">
        <v>2054.1</v>
      </c>
    </row>
    <row r="1214" spans="1:7" x14ac:dyDescent="0.25">
      <c r="A1214" s="1">
        <v>46181</v>
      </c>
      <c r="B1214" s="2" t="s">
        <v>1626</v>
      </c>
      <c r="C1214" s="2" t="s">
        <v>4791</v>
      </c>
      <c r="D1214" s="2" t="s">
        <v>59</v>
      </c>
      <c r="E1214" s="2">
        <v>216</v>
      </c>
      <c r="F1214" s="2">
        <v>4059.311</v>
      </c>
      <c r="G1214" s="1">
        <v>46180</v>
      </c>
    </row>
    <row r="1215" spans="3:6" x14ac:dyDescent="0.25">
      <c r="C1215" s="2" t="s">
        <v>4792</v>
      </c>
      <c r="D1215" s="2" t="s">
        <v>59</v>
      </c>
      <c r="E1215" s="2">
        <v>149</v>
      </c>
      <c r="F1215" s="2">
        <v>2839.486</v>
      </c>
    </row>
    <row r="1216" spans="3:6" x14ac:dyDescent="0.25">
      <c r="C1216" s="2" t="s">
        <v>4793</v>
      </c>
      <c r="D1216" s="2" t="s">
        <v>59</v>
      </c>
      <c r="E1216" s="2">
        <v>102</v>
      </c>
      <c r="F1216" s="2">
        <v>2015.699</v>
      </c>
    </row>
    <row r="1217" spans="3:6" x14ac:dyDescent="0.25">
      <c r="C1217" s="2" t="s">
        <v>4794</v>
      </c>
      <c r="D1217" s="2" t="s">
        <v>59</v>
      </c>
      <c r="E1217" s="2">
        <v>149</v>
      </c>
      <c r="F1217" s="2">
        <v>2735.2</v>
      </c>
    </row>
    <row r="1218" spans="3:6" x14ac:dyDescent="0.25">
      <c r="C1218" s="2" t="s">
        <v>4795</v>
      </c>
      <c r="D1218" s="2" t="s">
        <v>59</v>
      </c>
      <c r="E1218" s="2">
        <v>102</v>
      </c>
      <c r="F1218" s="2">
        <v>2105.2</v>
      </c>
    </row>
    <row r="1219" spans="3:6" x14ac:dyDescent="0.25">
      <c r="C1219" s="2" t="s">
        <v>4796</v>
      </c>
      <c r="D1219" s="2" t="s">
        <v>59</v>
      </c>
      <c r="E1219" s="2">
        <v>251</v>
      </c>
      <c r="F1219" s="2">
        <v>4903.659</v>
      </c>
    </row>
    <row r="1220" spans="3:6" x14ac:dyDescent="0.25">
      <c r="C1220" s="2" t="s">
        <v>4797</v>
      </c>
      <c r="D1220" s="2" t="s">
        <v>59</v>
      </c>
      <c r="E1220" s="2">
        <v>102</v>
      </c>
      <c r="F1220" s="2">
        <v>1932.79</v>
      </c>
    </row>
    <row r="1221" spans="3:6" x14ac:dyDescent="0.25">
      <c r="C1221" s="2" t="s">
        <v>4798</v>
      </c>
      <c r="D1221" s="2" t="s">
        <v>59</v>
      </c>
      <c r="E1221" s="2">
        <v>298</v>
      </c>
      <c r="F1221" s="2">
        <v>5634.019</v>
      </c>
    </row>
    <row r="1223" spans="1:7" x14ac:dyDescent="0.25">
      <c r="A1223" s="1">
        <v>46181</v>
      </c>
      <c r="B1223" s="2" t="s">
        <v>358</v>
      </c>
      <c r="C1223" s="2" t="s">
        <v>4799</v>
      </c>
      <c r="D1223" s="2" t="s">
        <v>136</v>
      </c>
      <c r="E1223" s="2">
        <v>123</v>
      </c>
      <c r="F1223" s="2">
        <v>2488.51</v>
      </c>
      <c r="G1223" s="1">
        <v>46182</v>
      </c>
    </row>
    <row r="1224" spans="3:6" x14ac:dyDescent="0.25">
      <c r="C1224" s="2" t="s">
        <v>4800</v>
      </c>
      <c r="D1224" s="2" t="s">
        <v>136</v>
      </c>
      <c r="E1224" s="2">
        <v>16</v>
      </c>
      <c r="F1224" s="2">
        <v>293.58</v>
      </c>
    </row>
    <row r="1226" spans="1:7" x14ac:dyDescent="0.25">
      <c r="A1226" s="1">
        <v>46181</v>
      </c>
      <c r="B1226" s="2" t="s">
        <v>361</v>
      </c>
      <c r="C1226" s="2" t="s">
        <v>4801</v>
      </c>
      <c r="D1226" s="2" t="s">
        <v>70</v>
      </c>
      <c r="E1226" s="2">
        <v>154</v>
      </c>
      <c r="F1226" s="2">
        <v>3028.648</v>
      </c>
      <c r="G1226" s="1">
        <v>46182</v>
      </c>
    </row>
    <row r="1228" spans="1:7" x14ac:dyDescent="0.25">
      <c r="A1228" s="1">
        <v>46182</v>
      </c>
      <c r="B1228" s="2" t="s">
        <v>1400</v>
      </c>
      <c r="C1228" s="2" t="s">
        <v>4802</v>
      </c>
      <c r="D1228" s="2" t="s">
        <v>82</v>
      </c>
      <c r="E1228" s="2">
        <v>121</v>
      </c>
      <c r="F1228" s="2">
        <v>2522.82</v>
      </c>
      <c r="G1228" s="1">
        <v>46182</v>
      </c>
    </row>
    <row r="1229" spans="3:6" x14ac:dyDescent="0.25">
      <c r="C1229" s="2" t="s">
        <v>4803</v>
      </c>
      <c r="D1229" s="2" t="s">
        <v>82</v>
      </c>
      <c r="E1229" s="2">
        <v>121</v>
      </c>
      <c r="F1229" s="2">
        <v>2524.4</v>
      </c>
    </row>
    <row r="1230" spans="3:6" x14ac:dyDescent="0.25">
      <c r="C1230" s="2" t="s">
        <v>4804</v>
      </c>
      <c r="D1230" s="2" t="s">
        <v>82</v>
      </c>
      <c r="E1230" s="2">
        <v>141</v>
      </c>
      <c r="F1230" s="2">
        <v>2913.69</v>
      </c>
    </row>
    <row r="1231" spans="3:6" x14ac:dyDescent="0.25">
      <c r="C1231" s="2" t="s">
        <v>4805</v>
      </c>
      <c r="D1231" s="2" t="s">
        <v>82</v>
      </c>
      <c r="E1231" s="2">
        <v>141</v>
      </c>
      <c r="F1231" s="2">
        <v>2913.7</v>
      </c>
    </row>
    <row r="1232" spans="3:6" x14ac:dyDescent="0.25">
      <c r="C1232" s="2" t="s">
        <v>4806</v>
      </c>
      <c r="D1232" s="2" t="s">
        <v>82</v>
      </c>
      <c r="E1232" s="2">
        <v>141</v>
      </c>
      <c r="F1232" s="2">
        <v>2858.769</v>
      </c>
    </row>
    <row r="1233" spans="3:6" x14ac:dyDescent="0.25">
      <c r="C1233" s="2" t="s">
        <v>4807</v>
      </c>
      <c r="D1233" s="2" t="s">
        <v>82</v>
      </c>
      <c r="E1233" s="2">
        <v>141</v>
      </c>
      <c r="F1233" s="2">
        <v>2761.54</v>
      </c>
    </row>
    <row r="1234" spans="3:6" x14ac:dyDescent="0.25">
      <c r="C1234" s="2" t="s">
        <v>4808</v>
      </c>
      <c r="D1234" s="2" t="s">
        <v>82</v>
      </c>
      <c r="E1234" s="2">
        <v>141</v>
      </c>
      <c r="F1234" s="2">
        <v>2863.8</v>
      </c>
    </row>
    <row r="1235" spans="3:6" x14ac:dyDescent="0.25">
      <c r="C1235" s="2" t="s">
        <v>4809</v>
      </c>
      <c r="D1235" s="2" t="s">
        <v>82</v>
      </c>
      <c r="E1235" s="2">
        <v>141</v>
      </c>
      <c r="F1235" s="2">
        <v>2851.978</v>
      </c>
    </row>
    <row r="1236" spans="3:6" x14ac:dyDescent="0.25">
      <c r="C1236" s="2" t="s">
        <v>4810</v>
      </c>
      <c r="D1236" s="2" t="s">
        <v>82</v>
      </c>
      <c r="E1236" s="2">
        <v>72</v>
      </c>
      <c r="F1236" s="2">
        <v>1446.72</v>
      </c>
    </row>
    <row r="1237" spans="3:6" x14ac:dyDescent="0.25">
      <c r="C1237" s="2" t="s">
        <v>4811</v>
      </c>
      <c r="D1237" s="2" t="s">
        <v>82</v>
      </c>
      <c r="E1237" s="2">
        <v>69</v>
      </c>
      <c r="F1237" s="2">
        <v>1432.07</v>
      </c>
    </row>
    <row r="1238" spans="3:6" x14ac:dyDescent="0.25">
      <c r="C1238" s="2" t="s">
        <v>4812</v>
      </c>
      <c r="D1238" s="2" t="s">
        <v>82</v>
      </c>
      <c r="E1238" s="2">
        <v>141</v>
      </c>
      <c r="F1238" s="2">
        <v>2928.25</v>
      </c>
    </row>
    <row r="1239" spans="3:6" x14ac:dyDescent="0.25">
      <c r="C1239" s="2" t="s">
        <v>4813</v>
      </c>
      <c r="D1239" s="2" t="s">
        <v>82</v>
      </c>
      <c r="E1239" s="2">
        <v>100</v>
      </c>
      <c r="F1239" s="2">
        <v>2022.6</v>
      </c>
    </row>
    <row r="1240" spans="3:6" x14ac:dyDescent="0.25">
      <c r="C1240" s="2" t="s">
        <v>4814</v>
      </c>
      <c r="D1240" s="2" t="s">
        <v>82</v>
      </c>
      <c r="E1240" s="2">
        <v>42</v>
      </c>
      <c r="F1240" s="2">
        <v>809.189</v>
      </c>
    </row>
    <row r="1241" spans="3:6" x14ac:dyDescent="0.25">
      <c r="C1241" s="2" t="s">
        <v>4815</v>
      </c>
      <c r="D1241" s="2" t="s">
        <v>82</v>
      </c>
      <c r="E1241" s="2">
        <v>53</v>
      </c>
      <c r="F1241" s="2">
        <v>1029.68</v>
      </c>
    </row>
    <row r="1242" spans="3:6" x14ac:dyDescent="0.25">
      <c r="C1242" s="2" t="s">
        <v>4816</v>
      </c>
      <c r="D1242" s="2" t="s">
        <v>82</v>
      </c>
      <c r="E1242" s="2">
        <v>16</v>
      </c>
      <c r="F1242" s="2">
        <v>324.46</v>
      </c>
    </row>
    <row r="1243" spans="3:6" x14ac:dyDescent="0.25">
      <c r="C1243" s="2" t="s">
        <v>4817</v>
      </c>
      <c r="D1243" s="2" t="s">
        <v>82</v>
      </c>
      <c r="E1243" s="2">
        <v>32</v>
      </c>
      <c r="F1243" s="2">
        <v>662.1</v>
      </c>
    </row>
    <row r="1245" spans="1:7" x14ac:dyDescent="0.25">
      <c r="A1245" s="1">
        <v>46182</v>
      </c>
      <c r="B1245" s="2" t="s">
        <v>1012</v>
      </c>
      <c r="C1245" s="2" t="s">
        <v>4818</v>
      </c>
      <c r="D1245" s="2" t="s">
        <v>73</v>
      </c>
      <c r="E1245" s="2">
        <v>142</v>
      </c>
      <c r="F1245" s="2">
        <v>2565.098</v>
      </c>
      <c r="G1245" s="1">
        <v>46182</v>
      </c>
    </row>
    <row r="1246" spans="3:6" x14ac:dyDescent="0.25">
      <c r="C1246" s="2" t="s">
        <v>4819</v>
      </c>
      <c r="D1246" s="2" t="s">
        <v>73</v>
      </c>
      <c r="E1246" s="2">
        <v>122</v>
      </c>
      <c r="F1246" s="2">
        <v>2489.529</v>
      </c>
    </row>
    <row r="1247" spans="3:6" x14ac:dyDescent="0.25">
      <c r="C1247" s="2" t="s">
        <v>4820</v>
      </c>
      <c r="D1247" s="2" t="s">
        <v>73</v>
      </c>
      <c r="E1247" s="2">
        <v>30</v>
      </c>
      <c r="F1247" s="2">
        <v>596.32</v>
      </c>
    </row>
    <row r="1248" spans="3:6" x14ac:dyDescent="0.25">
      <c r="C1248" s="2" t="s">
        <v>4821</v>
      </c>
      <c r="D1248" s="2" t="s">
        <v>73</v>
      </c>
      <c r="E1248" s="2">
        <v>66</v>
      </c>
      <c r="F1248" s="2">
        <v>1187.38</v>
      </c>
    </row>
    <row r="1249" spans="3:6" x14ac:dyDescent="0.25">
      <c r="C1249" s="2" t="s">
        <v>4822</v>
      </c>
      <c r="D1249" s="2" t="s">
        <v>73</v>
      </c>
      <c r="E1249" s="2">
        <v>49</v>
      </c>
      <c r="F1249" s="2">
        <v>879.71</v>
      </c>
    </row>
    <row r="1250" spans="3:6" x14ac:dyDescent="0.25">
      <c r="C1250" s="2" t="s">
        <v>4823</v>
      </c>
      <c r="D1250" s="2" t="s">
        <v>73</v>
      </c>
      <c r="E1250" s="2">
        <v>52</v>
      </c>
      <c r="F1250" s="2">
        <v>990.54</v>
      </c>
    </row>
    <row r="1251" spans="3:6" x14ac:dyDescent="0.25">
      <c r="C1251" s="2" t="s">
        <v>4824</v>
      </c>
      <c r="D1251" s="2" t="s">
        <v>73</v>
      </c>
      <c r="E1251" s="2">
        <v>34</v>
      </c>
      <c r="F1251" s="2">
        <v>716.61</v>
      </c>
    </row>
    <row r="1252" spans="3:6" x14ac:dyDescent="0.25">
      <c r="C1252" s="2" t="s">
        <v>4825</v>
      </c>
      <c r="D1252" s="2" t="s">
        <v>73</v>
      </c>
      <c r="E1252" s="2">
        <v>67</v>
      </c>
      <c r="F1252" s="2">
        <v>1206.48</v>
      </c>
    </row>
    <row r="1253" spans="3:6" x14ac:dyDescent="0.25">
      <c r="C1253" s="2" t="s">
        <v>4826</v>
      </c>
      <c r="D1253" s="2" t="s">
        <v>73</v>
      </c>
      <c r="E1253" s="2">
        <v>70</v>
      </c>
      <c r="F1253" s="2">
        <v>1554.26</v>
      </c>
    </row>
    <row r="1255" spans="1:7" x14ac:dyDescent="0.25">
      <c r="A1255" s="1">
        <v>46182</v>
      </c>
      <c r="B1255" s="2" t="s">
        <v>4827</v>
      </c>
      <c r="C1255" s="2" t="s">
        <v>4828</v>
      </c>
      <c r="D1255" s="2" t="s">
        <v>15</v>
      </c>
      <c r="E1255" s="2">
        <v>86</v>
      </c>
      <c r="F1255" s="2">
        <v>1925.15</v>
      </c>
      <c r="G1255" s="1">
        <v>46180</v>
      </c>
    </row>
    <row r="1257" spans="1:7" x14ac:dyDescent="0.25">
      <c r="A1257" s="1">
        <v>46182</v>
      </c>
      <c r="B1257" s="2" t="s">
        <v>7</v>
      </c>
      <c r="C1257" s="2" t="s">
        <v>4829</v>
      </c>
      <c r="D1257" s="2" t="s">
        <v>9</v>
      </c>
      <c r="E1257" s="2">
        <v>99</v>
      </c>
      <c r="F1257" s="2">
        <v>1849.683</v>
      </c>
      <c r="G1257" s="1">
        <v>46182</v>
      </c>
    </row>
    <row r="1258" spans="3:6" x14ac:dyDescent="0.25">
      <c r="C1258" s="2" t="s">
        <v>4830</v>
      </c>
      <c r="D1258" s="2" t="s">
        <v>9</v>
      </c>
      <c r="E1258" s="2">
        <v>99</v>
      </c>
      <c r="F1258" s="2">
        <v>1827.786</v>
      </c>
    </row>
    <row r="1260" spans="1:7" x14ac:dyDescent="0.25">
      <c r="A1260" s="1">
        <v>46182</v>
      </c>
      <c r="B1260" s="2" t="s">
        <v>4831</v>
      </c>
      <c r="C1260" s="2" t="s">
        <v>4832</v>
      </c>
      <c r="D1260" s="2" t="s">
        <v>178</v>
      </c>
      <c r="E1260" s="2">
        <v>101</v>
      </c>
      <c r="F1260" s="2">
        <v>1594.579</v>
      </c>
      <c r="G1260" s="1">
        <v>46182</v>
      </c>
    </row>
    <row r="1262" spans="1:7" x14ac:dyDescent="0.25">
      <c r="A1262" s="1">
        <v>46182</v>
      </c>
      <c r="B1262" s="2" t="s">
        <v>1299</v>
      </c>
      <c r="C1262" s="2" t="s">
        <v>4833</v>
      </c>
      <c r="D1262" s="2" t="s">
        <v>15</v>
      </c>
      <c r="E1262" s="2">
        <v>163</v>
      </c>
      <c r="F1262" s="2">
        <v>3184.69</v>
      </c>
      <c r="G1262" s="1">
        <v>46182</v>
      </c>
    </row>
    <row r="1263" spans="3:6" x14ac:dyDescent="0.25">
      <c r="C1263" s="2" t="s">
        <v>4834</v>
      </c>
      <c r="D1263" s="2" t="s">
        <v>15</v>
      </c>
      <c r="E1263" s="2">
        <v>163</v>
      </c>
      <c r="F1263" s="2">
        <v>3058.089</v>
      </c>
    </row>
    <row r="1264" spans="3:6" x14ac:dyDescent="0.25">
      <c r="C1264" s="2" t="s">
        <v>4835</v>
      </c>
      <c r="D1264" s="2" t="s">
        <v>15</v>
      </c>
      <c r="E1264" s="2">
        <v>134</v>
      </c>
      <c r="F1264" s="2">
        <v>2696.36</v>
      </c>
    </row>
    <row r="1265" spans="3:6" x14ac:dyDescent="0.25">
      <c r="C1265" s="2" t="s">
        <v>4836</v>
      </c>
      <c r="D1265" s="2" t="s">
        <v>15</v>
      </c>
      <c r="E1265" s="2">
        <v>134</v>
      </c>
      <c r="F1265" s="2">
        <v>2653.179</v>
      </c>
    </row>
    <row r="1266" spans="3:6" x14ac:dyDescent="0.25">
      <c r="C1266" s="2" t="s">
        <v>4837</v>
      </c>
      <c r="D1266" s="2" t="s">
        <v>15</v>
      </c>
      <c r="E1266" s="2">
        <v>134</v>
      </c>
      <c r="F1266" s="2">
        <v>2686.679</v>
      </c>
    </row>
    <row r="1267" spans="3:6" x14ac:dyDescent="0.25">
      <c r="C1267" s="2" t="s">
        <v>4838</v>
      </c>
      <c r="D1267" s="2" t="s">
        <v>15</v>
      </c>
      <c r="E1267" s="2">
        <v>134</v>
      </c>
      <c r="F1267" s="2">
        <v>2640.16</v>
      </c>
    </row>
    <row r="1268" spans="3:6" x14ac:dyDescent="0.25">
      <c r="C1268" s="2" t="s">
        <v>4839</v>
      </c>
      <c r="D1268" s="2" t="s">
        <v>15</v>
      </c>
      <c r="E1268" s="2">
        <v>134</v>
      </c>
      <c r="F1268" s="2">
        <v>2632.51</v>
      </c>
    </row>
    <row r="1269" spans="3:6" x14ac:dyDescent="0.25">
      <c r="C1269" s="2" t="s">
        <v>4840</v>
      </c>
      <c r="D1269" s="2" t="s">
        <v>15</v>
      </c>
      <c r="E1269" s="2">
        <v>163</v>
      </c>
      <c r="F1269" s="2">
        <v>2704.907</v>
      </c>
    </row>
    <row r="1270" spans="3:6" x14ac:dyDescent="0.25">
      <c r="C1270" s="2" t="s">
        <v>4841</v>
      </c>
      <c r="D1270" s="2" t="s">
        <v>15</v>
      </c>
      <c r="E1270" s="2">
        <v>163</v>
      </c>
      <c r="F1270" s="2">
        <v>3097.379</v>
      </c>
    </row>
    <row r="1271" spans="3:6" x14ac:dyDescent="0.25">
      <c r="C1271" s="2" t="s">
        <v>4842</v>
      </c>
      <c r="D1271" s="2" t="s">
        <v>15</v>
      </c>
      <c r="E1271" s="2">
        <v>163</v>
      </c>
      <c r="F1271" s="2">
        <v>3150.38</v>
      </c>
    </row>
    <row r="1272" spans="3:6" x14ac:dyDescent="0.25">
      <c r="C1272" s="2" t="s">
        <v>4843</v>
      </c>
      <c r="D1272" s="2" t="s">
        <v>15</v>
      </c>
      <c r="E1272" s="2">
        <v>163</v>
      </c>
      <c r="F1272" s="2">
        <v>2989.629</v>
      </c>
    </row>
    <row r="1273" spans="3:6" x14ac:dyDescent="0.25">
      <c r="C1273" s="2" t="s">
        <v>4844</v>
      </c>
      <c r="D1273" s="2" t="s">
        <v>15</v>
      </c>
      <c r="E1273" s="2">
        <v>163</v>
      </c>
      <c r="F1273" s="2">
        <v>3002.34</v>
      </c>
    </row>
    <row r="1274" spans="3:6" x14ac:dyDescent="0.25">
      <c r="C1274" s="2" t="s">
        <v>4845</v>
      </c>
      <c r="D1274" s="2" t="s">
        <v>15</v>
      </c>
      <c r="E1274" s="2">
        <v>106</v>
      </c>
      <c r="F1274" s="2">
        <v>1879.528</v>
      </c>
    </row>
    <row r="1275" spans="3:6" x14ac:dyDescent="0.25">
      <c r="C1275" s="2" t="s">
        <v>4846</v>
      </c>
      <c r="D1275" s="2" t="s">
        <v>15</v>
      </c>
      <c r="E1275" s="2" t="s">
        <v>4167</v>
      </c>
      <c r="F1275" s="2" t="s">
        <v>4167</v>
      </c>
    </row>
    <row r="1276" spans="3:6" x14ac:dyDescent="0.25">
      <c r="C1276" s="2" t="s">
        <v>4847</v>
      </c>
      <c r="D1276" s="2" t="s">
        <v>15</v>
      </c>
      <c r="E1276" s="2">
        <v>105</v>
      </c>
      <c r="F1276" s="2">
        <v>1962.489</v>
      </c>
    </row>
    <row r="1277" spans="3:6" x14ac:dyDescent="0.25">
      <c r="C1277" s="2" t="s">
        <v>4848</v>
      </c>
      <c r="D1277" s="2" t="s">
        <v>15</v>
      </c>
      <c r="E1277" s="2">
        <v>105</v>
      </c>
      <c r="F1277" s="2">
        <v>2023.83</v>
      </c>
    </row>
    <row r="1278" spans="3:6" x14ac:dyDescent="0.25">
      <c r="C1278" s="2" t="s">
        <v>4849</v>
      </c>
      <c r="D1278" s="2" t="s">
        <v>15</v>
      </c>
      <c r="E1278" s="2">
        <v>105</v>
      </c>
      <c r="F1278" s="2">
        <v>2095.31</v>
      </c>
    </row>
    <row r="1279" spans="3:6" x14ac:dyDescent="0.25">
      <c r="C1279" s="2" t="s">
        <v>4850</v>
      </c>
      <c r="D1279" s="2" t="s">
        <v>15</v>
      </c>
      <c r="E1279" s="2">
        <v>105</v>
      </c>
      <c r="F1279" s="2">
        <v>2072.33</v>
      </c>
    </row>
    <row r="1280" spans="3:6" x14ac:dyDescent="0.25">
      <c r="C1280" s="2" t="s">
        <v>4851</v>
      </c>
      <c r="D1280" s="2" t="s">
        <v>15</v>
      </c>
      <c r="E1280" s="2">
        <v>163</v>
      </c>
      <c r="F1280" s="2">
        <v>3080.969</v>
      </c>
    </row>
    <row r="1281" spans="3:6" x14ac:dyDescent="0.25">
      <c r="C1281" s="2" t="s">
        <v>4852</v>
      </c>
      <c r="D1281" s="2" t="s">
        <v>15</v>
      </c>
      <c r="E1281" s="2">
        <v>163</v>
      </c>
      <c r="F1281" s="2">
        <v>2957.52</v>
      </c>
    </row>
    <row r="1282" spans="3:6" x14ac:dyDescent="0.25">
      <c r="C1282" s="2" t="s">
        <v>4853</v>
      </c>
      <c r="D1282" s="2" t="s">
        <v>15</v>
      </c>
      <c r="E1282" s="2">
        <v>266</v>
      </c>
      <c r="F1282" s="2">
        <v>750.54</v>
      </c>
    </row>
    <row r="1283" spans="3:6" x14ac:dyDescent="0.25">
      <c r="C1283" s="2" t="s">
        <v>4854</v>
      </c>
      <c r="D1283" s="2" t="s">
        <v>15</v>
      </c>
      <c r="E1283" s="2">
        <v>264</v>
      </c>
      <c r="F1283" s="2">
        <v>689.4</v>
      </c>
    </row>
    <row r="1284" spans="3:6" x14ac:dyDescent="0.25">
      <c r="C1284" s="2" t="s">
        <v>4855</v>
      </c>
      <c r="D1284" s="2" t="s">
        <v>15</v>
      </c>
      <c r="E1284" s="2">
        <v>105</v>
      </c>
      <c r="F1284" s="2">
        <v>2060.17</v>
      </c>
    </row>
    <row r="1285" spans="3:6" x14ac:dyDescent="0.25">
      <c r="C1285" s="2" t="s">
        <v>4856</v>
      </c>
      <c r="D1285" s="2" t="s">
        <v>26</v>
      </c>
      <c r="E1285" s="2">
        <v>100</v>
      </c>
      <c r="F1285" s="2">
        <v>1891.37</v>
      </c>
    </row>
    <row r="1286" spans="3:6" x14ac:dyDescent="0.25">
      <c r="C1286" s="2" t="s">
        <v>4857</v>
      </c>
      <c r="D1286" s="2" t="s">
        <v>26</v>
      </c>
      <c r="E1286" s="2">
        <v>56</v>
      </c>
      <c r="F1286" s="2">
        <v>1116.56</v>
      </c>
    </row>
    <row r="1287" spans="3:6" x14ac:dyDescent="0.25">
      <c r="C1287" s="2" t="s">
        <v>4858</v>
      </c>
      <c r="D1287" s="2" t="s">
        <v>26</v>
      </c>
      <c r="E1287" s="2">
        <v>100</v>
      </c>
      <c r="F1287" s="2">
        <v>1953.52</v>
      </c>
    </row>
    <row r="1288" spans="3:6" x14ac:dyDescent="0.25">
      <c r="C1288" s="2" t="s">
        <v>4859</v>
      </c>
      <c r="D1288" s="2" t="s">
        <v>26</v>
      </c>
      <c r="E1288" s="2">
        <v>56</v>
      </c>
      <c r="F1288" s="2">
        <v>948.13</v>
      </c>
    </row>
    <row r="1289" spans="3:6" x14ac:dyDescent="0.25">
      <c r="C1289" s="2" t="s">
        <v>4860</v>
      </c>
      <c r="D1289" s="2" t="s">
        <v>26</v>
      </c>
      <c r="E1289" s="2">
        <v>56</v>
      </c>
      <c r="F1289" s="2">
        <v>1052.9</v>
      </c>
    </row>
    <row r="1290" spans="3:6" x14ac:dyDescent="0.25">
      <c r="C1290" s="2" t="s">
        <v>4861</v>
      </c>
      <c r="D1290" s="2" t="s">
        <v>26</v>
      </c>
      <c r="E1290" s="2">
        <v>100</v>
      </c>
      <c r="F1290" s="2">
        <v>1963.46</v>
      </c>
    </row>
    <row r="1291" spans="3:6" x14ac:dyDescent="0.25">
      <c r="C1291" s="2" t="s">
        <v>4862</v>
      </c>
      <c r="D1291" s="2" t="s">
        <v>26</v>
      </c>
      <c r="E1291" s="2">
        <v>56</v>
      </c>
      <c r="F1291" s="2">
        <v>1072.91</v>
      </c>
    </row>
    <row r="1292" spans="3:6" x14ac:dyDescent="0.25">
      <c r="C1292" s="2" t="s">
        <v>4863</v>
      </c>
      <c r="D1292" s="2" t="s">
        <v>26</v>
      </c>
      <c r="E1292" s="2">
        <v>100</v>
      </c>
      <c r="F1292" s="2">
        <v>1912.429</v>
      </c>
    </row>
    <row r="1293" spans="3:6" x14ac:dyDescent="0.25">
      <c r="C1293" s="2" t="s">
        <v>4864</v>
      </c>
      <c r="D1293" s="2" t="s">
        <v>26</v>
      </c>
      <c r="E1293" s="2">
        <v>100</v>
      </c>
      <c r="F1293" s="2">
        <v>1876.8</v>
      </c>
    </row>
    <row r="1294" spans="3:6" x14ac:dyDescent="0.25">
      <c r="C1294" s="2" t="s">
        <v>4865</v>
      </c>
      <c r="D1294" s="2" t="s">
        <v>26</v>
      </c>
      <c r="E1294" s="2">
        <v>56</v>
      </c>
      <c r="F1294" s="2">
        <v>1066.57</v>
      </c>
    </row>
    <row r="1295" spans="3:6" x14ac:dyDescent="0.25">
      <c r="C1295" s="2" t="s">
        <v>4866</v>
      </c>
      <c r="D1295" s="2" t="s">
        <v>42</v>
      </c>
      <c r="E1295" s="2">
        <v>14</v>
      </c>
      <c r="F1295" s="2">
        <v>267.67</v>
      </c>
    </row>
    <row r="1296" spans="3:6" x14ac:dyDescent="0.25">
      <c r="C1296" s="2" t="s">
        <v>4867</v>
      </c>
      <c r="D1296" s="2" t="s">
        <v>42</v>
      </c>
      <c r="E1296" s="2">
        <v>27</v>
      </c>
      <c r="F1296" s="2">
        <v>513</v>
      </c>
    </row>
    <row r="1297" spans="3:6" x14ac:dyDescent="0.25">
      <c r="C1297" s="2" t="s">
        <v>4868</v>
      </c>
      <c r="D1297" s="2" t="s">
        <v>42</v>
      </c>
      <c r="E1297" s="2">
        <v>15</v>
      </c>
      <c r="F1297" s="2">
        <v>273.85</v>
      </c>
    </row>
    <row r="1298" spans="3:6" x14ac:dyDescent="0.25">
      <c r="C1298" s="2" t="s">
        <v>4869</v>
      </c>
      <c r="D1298" s="2" t="s">
        <v>42</v>
      </c>
      <c r="E1298" s="2">
        <v>100</v>
      </c>
      <c r="F1298" s="2">
        <v>1894.18</v>
      </c>
    </row>
    <row r="1299" spans="3:6" x14ac:dyDescent="0.25">
      <c r="C1299" s="2" t="s">
        <v>4870</v>
      </c>
      <c r="D1299" s="2" t="s">
        <v>36</v>
      </c>
      <c r="E1299" s="2">
        <v>45</v>
      </c>
      <c r="F1299" s="2">
        <v>817.13</v>
      </c>
    </row>
    <row r="1300" spans="3:6" x14ac:dyDescent="0.25">
      <c r="C1300" s="2" t="s">
        <v>4871</v>
      </c>
      <c r="D1300" s="2" t="s">
        <v>36</v>
      </c>
      <c r="E1300" s="2">
        <v>60</v>
      </c>
      <c r="F1300" s="2">
        <v>1134.43</v>
      </c>
    </row>
    <row r="1301" spans="3:6" x14ac:dyDescent="0.25">
      <c r="C1301" s="2" t="s">
        <v>4872</v>
      </c>
      <c r="D1301" s="2" t="s">
        <v>136</v>
      </c>
      <c r="E1301" s="2">
        <v>18</v>
      </c>
      <c r="F1301" s="2">
        <v>338.09</v>
      </c>
    </row>
    <row r="1302" spans="3:6" x14ac:dyDescent="0.25">
      <c r="C1302" s="2" t="s">
        <v>4413</v>
      </c>
      <c r="D1302" s="2" t="s">
        <v>136</v>
      </c>
      <c r="E1302" s="2">
        <v>36</v>
      </c>
      <c r="F1302" s="2">
        <v>688.36</v>
      </c>
    </row>
    <row r="1304" spans="1:7" x14ac:dyDescent="0.25">
      <c r="A1304" s="1">
        <v>46182</v>
      </c>
      <c r="B1304" s="2" t="s">
        <v>4873</v>
      </c>
      <c r="C1304" s="2" t="s">
        <v>4874</v>
      </c>
      <c r="D1304" s="2" t="s">
        <v>59</v>
      </c>
      <c r="E1304" s="2">
        <v>105</v>
      </c>
      <c r="F1304" s="2">
        <v>2078.59</v>
      </c>
      <c r="G1304" s="1">
        <v>46183</v>
      </c>
    </row>
    <row r="1305" spans="3:6" x14ac:dyDescent="0.25">
      <c r="C1305" s="2" t="s">
        <v>4875</v>
      </c>
      <c r="D1305" s="2" t="s">
        <v>59</v>
      </c>
      <c r="E1305" s="2">
        <v>186</v>
      </c>
      <c r="F1305" s="2">
        <v>3818.337</v>
      </c>
    </row>
    <row r="1306" spans="3:6" x14ac:dyDescent="0.25">
      <c r="C1306" s="2" t="s">
        <v>4876</v>
      </c>
      <c r="D1306" s="2" t="s">
        <v>59</v>
      </c>
      <c r="E1306" s="2">
        <v>268</v>
      </c>
      <c r="F1306" s="2">
        <v>5027.184</v>
      </c>
    </row>
    <row r="1307" spans="3:6" x14ac:dyDescent="0.25">
      <c r="C1307" s="2" t="s">
        <v>4877</v>
      </c>
      <c r="D1307" s="2" t="s">
        <v>59</v>
      </c>
      <c r="E1307" s="2">
        <v>105</v>
      </c>
      <c r="F1307" s="2">
        <v>2056.78</v>
      </c>
    </row>
    <row r="1308" spans="3:6" x14ac:dyDescent="0.25">
      <c r="C1308" s="2" t="s">
        <v>4878</v>
      </c>
      <c r="D1308" s="2" t="s">
        <v>59</v>
      </c>
      <c r="E1308" s="2">
        <v>163</v>
      </c>
      <c r="F1308" s="2">
        <v>3186.72</v>
      </c>
    </row>
    <row r="1309" spans="3:6" x14ac:dyDescent="0.25">
      <c r="C1309" s="2" t="s">
        <v>4879</v>
      </c>
      <c r="D1309" s="2" t="s">
        <v>59</v>
      </c>
      <c r="E1309" s="2">
        <v>163</v>
      </c>
      <c r="F1309" s="2">
        <v>3173.65</v>
      </c>
    </row>
    <row r="1311" spans="1:7" x14ac:dyDescent="0.25">
      <c r="A1311" s="1">
        <v>46183</v>
      </c>
      <c r="B1311" s="2" t="s">
        <v>4880</v>
      </c>
      <c r="C1311" s="2" t="s">
        <v>4881</v>
      </c>
      <c r="D1311" s="2" t="s">
        <v>15</v>
      </c>
      <c r="E1311" s="2">
        <v>99</v>
      </c>
      <c r="F1311" s="2">
        <v>1626</v>
      </c>
      <c r="G1311" s="1">
        <v>46183</v>
      </c>
    </row>
    <row r="1313" spans="1:7" x14ac:dyDescent="0.25">
      <c r="A1313" s="1">
        <v>46183</v>
      </c>
      <c r="B1313" s="2" t="s">
        <v>229</v>
      </c>
      <c r="C1313" s="2" t="s">
        <v>4882</v>
      </c>
      <c r="D1313" s="2" t="s">
        <v>292</v>
      </c>
      <c r="E1313" s="2">
        <v>141</v>
      </c>
      <c r="F1313" s="2">
        <v>2771.589</v>
      </c>
      <c r="G1313" s="1">
        <v>46183</v>
      </c>
    </row>
    <row r="1314" spans="3:6" x14ac:dyDescent="0.25">
      <c r="C1314" s="2" t="s">
        <v>4883</v>
      </c>
      <c r="D1314" s="2" t="s">
        <v>292</v>
      </c>
      <c r="E1314" s="2">
        <v>141</v>
      </c>
      <c r="F1314" s="2">
        <v>2947.68</v>
      </c>
    </row>
    <row r="1315" spans="3:6" x14ac:dyDescent="0.25">
      <c r="C1315" s="2" t="s">
        <v>4884</v>
      </c>
      <c r="D1315" s="2" t="s">
        <v>292</v>
      </c>
      <c r="E1315" s="2">
        <v>82</v>
      </c>
      <c r="F1315" s="2">
        <v>1609.01</v>
      </c>
    </row>
    <row r="1316" spans="3:6" x14ac:dyDescent="0.25">
      <c r="C1316" s="2" t="s">
        <v>4885</v>
      </c>
      <c r="D1316" s="2" t="s">
        <v>292</v>
      </c>
      <c r="E1316" s="2">
        <v>59</v>
      </c>
      <c r="F1316" s="2">
        <v>1217.169</v>
      </c>
    </row>
    <row r="1317" spans="3:6" x14ac:dyDescent="0.25">
      <c r="C1317" s="2" t="s">
        <v>4886</v>
      </c>
      <c r="D1317" s="2" t="s">
        <v>292</v>
      </c>
      <c r="E1317" s="2">
        <v>100</v>
      </c>
      <c r="F1317" s="2">
        <v>1969.239</v>
      </c>
    </row>
    <row r="1318" spans="3:6" x14ac:dyDescent="0.25">
      <c r="C1318" s="2" t="s">
        <v>4887</v>
      </c>
      <c r="D1318" s="2" t="s">
        <v>292</v>
      </c>
      <c r="E1318" s="2">
        <v>100</v>
      </c>
      <c r="F1318" s="2">
        <v>2040.449</v>
      </c>
    </row>
    <row r="1319" spans="3:6" x14ac:dyDescent="0.25">
      <c r="C1319" s="2" t="s">
        <v>4888</v>
      </c>
      <c r="D1319" s="2" t="s">
        <v>292</v>
      </c>
      <c r="E1319" s="2">
        <v>96</v>
      </c>
      <c r="F1319" s="2">
        <v>1907.133</v>
      </c>
    </row>
    <row r="1320" spans="3:6" x14ac:dyDescent="0.25">
      <c r="C1320" s="2" t="s">
        <v>4889</v>
      </c>
      <c r="D1320" s="2" t="s">
        <v>292</v>
      </c>
      <c r="E1320" s="2">
        <v>123</v>
      </c>
      <c r="F1320" s="2">
        <v>2483.41</v>
      </c>
    </row>
    <row r="1321" spans="3:6" x14ac:dyDescent="0.25">
      <c r="C1321" s="2" t="s">
        <v>4890</v>
      </c>
      <c r="D1321" s="2" t="s">
        <v>292</v>
      </c>
      <c r="E1321" s="2">
        <v>108</v>
      </c>
      <c r="F1321" s="2">
        <v>2129.47</v>
      </c>
    </row>
    <row r="1322" spans="3:6" x14ac:dyDescent="0.25">
      <c r="C1322" s="2" t="s">
        <v>4891</v>
      </c>
      <c r="D1322" s="2" t="s">
        <v>292</v>
      </c>
      <c r="E1322" s="2">
        <v>123</v>
      </c>
      <c r="F1322" s="2">
        <v>2602.92</v>
      </c>
    </row>
    <row r="1323" spans="3:6" x14ac:dyDescent="0.25">
      <c r="C1323" s="2" t="s">
        <v>4892</v>
      </c>
      <c r="D1323" s="2" t="s">
        <v>292</v>
      </c>
      <c r="E1323" s="2">
        <v>141</v>
      </c>
      <c r="F1323" s="2">
        <v>3009.819</v>
      </c>
    </row>
    <row r="1324" spans="3:6" x14ac:dyDescent="0.25">
      <c r="C1324" s="2" t="s">
        <v>4893</v>
      </c>
      <c r="D1324" s="2" t="s">
        <v>292</v>
      </c>
      <c r="E1324" s="2">
        <v>141</v>
      </c>
      <c r="F1324" s="2">
        <v>2882.16</v>
      </c>
    </row>
    <row r="1325" spans="3:6" x14ac:dyDescent="0.25">
      <c r="C1325" s="2" t="s">
        <v>4894</v>
      </c>
      <c r="D1325" s="2" t="s">
        <v>292</v>
      </c>
      <c r="E1325" s="2">
        <v>50</v>
      </c>
      <c r="F1325" s="2">
        <v>265.22</v>
      </c>
    </row>
    <row r="1326" spans="3:6" x14ac:dyDescent="0.25">
      <c r="C1326" s="2" t="s">
        <v>4895</v>
      </c>
      <c r="D1326" s="2" t="s">
        <v>292</v>
      </c>
      <c r="E1326" s="2">
        <v>141</v>
      </c>
      <c r="F1326" s="2">
        <v>2993.13</v>
      </c>
    </row>
    <row r="1327" spans="3:6" x14ac:dyDescent="0.25">
      <c r="C1327" s="2" t="s">
        <v>4896</v>
      </c>
      <c r="D1327" s="2" t="s">
        <v>292</v>
      </c>
      <c r="E1327" s="2">
        <v>141</v>
      </c>
      <c r="F1327" s="2">
        <v>2954.64</v>
      </c>
    </row>
    <row r="1328" spans="3:6" x14ac:dyDescent="0.25">
      <c r="C1328" s="2" t="s">
        <v>4897</v>
      </c>
      <c r="D1328" s="2" t="s">
        <v>292</v>
      </c>
      <c r="E1328" s="2">
        <v>69</v>
      </c>
      <c r="F1328" s="2">
        <v>1360.289</v>
      </c>
    </row>
    <row r="1329" spans="3:6" x14ac:dyDescent="0.25">
      <c r="C1329" s="2" t="s">
        <v>4898</v>
      </c>
      <c r="D1329" s="2" t="s">
        <v>292</v>
      </c>
      <c r="E1329" s="2">
        <v>72</v>
      </c>
      <c r="F1329" s="2">
        <v>1453.93</v>
      </c>
    </row>
    <row r="1330" spans="3:6" x14ac:dyDescent="0.25">
      <c r="C1330" s="2" t="s">
        <v>4899</v>
      </c>
      <c r="D1330" s="2" t="s">
        <v>292</v>
      </c>
      <c r="E1330" s="2">
        <v>84</v>
      </c>
      <c r="F1330" s="2">
        <v>1732.77</v>
      </c>
    </row>
    <row r="1331" spans="3:6" x14ac:dyDescent="0.25">
      <c r="C1331" s="2" t="s">
        <v>4900</v>
      </c>
      <c r="D1331" s="2" t="s">
        <v>292</v>
      </c>
      <c r="E1331" s="2">
        <v>57</v>
      </c>
      <c r="F1331" s="2">
        <v>1293.46</v>
      </c>
    </row>
    <row r="1332" spans="3:6" x14ac:dyDescent="0.25">
      <c r="C1332" s="2" t="s">
        <v>4901</v>
      </c>
      <c r="D1332" s="2" t="s">
        <v>292</v>
      </c>
      <c r="E1332" s="2">
        <v>60</v>
      </c>
      <c r="F1332" s="2">
        <v>320.06</v>
      </c>
    </row>
    <row r="1333" spans="3:6" x14ac:dyDescent="0.25">
      <c r="C1333" s="2" t="s">
        <v>4902</v>
      </c>
      <c r="D1333" s="2" t="s">
        <v>292</v>
      </c>
      <c r="E1333" s="2">
        <v>132</v>
      </c>
      <c r="F1333" s="2">
        <v>1931.694</v>
      </c>
    </row>
    <row r="1334" spans="3:6" x14ac:dyDescent="0.25">
      <c r="C1334" s="2" t="s">
        <v>4903</v>
      </c>
      <c r="D1334" s="2" t="s">
        <v>292</v>
      </c>
      <c r="E1334" s="2">
        <v>141</v>
      </c>
      <c r="F1334" s="2">
        <v>2875.31</v>
      </c>
    </row>
    <row r="1335" spans="3:6" x14ac:dyDescent="0.25">
      <c r="C1335" s="2" t="s">
        <v>4904</v>
      </c>
      <c r="D1335" s="2" t="s">
        <v>292</v>
      </c>
      <c r="E1335" s="2">
        <v>87</v>
      </c>
      <c r="F1335" s="2">
        <v>1785.52</v>
      </c>
    </row>
    <row r="1336" spans="3:6" x14ac:dyDescent="0.25">
      <c r="C1336" s="2" t="s">
        <v>4905</v>
      </c>
      <c r="D1336" s="2" t="s">
        <v>292</v>
      </c>
      <c r="E1336" s="2">
        <v>54</v>
      </c>
      <c r="F1336" s="2">
        <v>1071.419</v>
      </c>
    </row>
    <row r="1337" spans="3:6" x14ac:dyDescent="0.25">
      <c r="C1337" s="2" t="s">
        <v>4906</v>
      </c>
      <c r="D1337" s="2" t="s">
        <v>292</v>
      </c>
      <c r="E1337" s="2">
        <v>45</v>
      </c>
      <c r="F1337" s="2">
        <v>225.96</v>
      </c>
    </row>
    <row r="1338" spans="3:6" x14ac:dyDescent="0.25">
      <c r="C1338" s="2" t="s">
        <v>4907</v>
      </c>
      <c r="D1338" s="2" t="s">
        <v>292</v>
      </c>
      <c r="E1338" s="2">
        <v>141</v>
      </c>
      <c r="F1338" s="2">
        <v>2877.62</v>
      </c>
    </row>
    <row r="1339" spans="3:6" x14ac:dyDescent="0.25">
      <c r="C1339" s="2" t="s">
        <v>4908</v>
      </c>
      <c r="D1339" s="2" t="s">
        <v>292</v>
      </c>
      <c r="E1339" s="2">
        <v>54</v>
      </c>
      <c r="F1339" s="2">
        <v>994.31</v>
      </c>
    </row>
    <row r="1340" spans="3:6" x14ac:dyDescent="0.25">
      <c r="C1340" s="2" t="s">
        <v>4909</v>
      </c>
      <c r="D1340" s="2" t="s">
        <v>292</v>
      </c>
      <c r="E1340" s="2">
        <v>87</v>
      </c>
      <c r="F1340" s="2">
        <v>1758.16</v>
      </c>
    </row>
    <row r="1341" spans="3:6" x14ac:dyDescent="0.25">
      <c r="C1341" s="2" t="s">
        <v>4910</v>
      </c>
      <c r="D1341" s="2" t="s">
        <v>292</v>
      </c>
      <c r="E1341" s="2">
        <v>92</v>
      </c>
      <c r="F1341" s="2">
        <v>1863.24</v>
      </c>
    </row>
    <row r="1342" spans="3:6" x14ac:dyDescent="0.25">
      <c r="C1342" s="2" t="s">
        <v>4911</v>
      </c>
      <c r="D1342" s="2" t="s">
        <v>292</v>
      </c>
      <c r="E1342" s="2">
        <v>49</v>
      </c>
      <c r="F1342" s="2">
        <v>950.02</v>
      </c>
    </row>
    <row r="1343" spans="3:6" x14ac:dyDescent="0.25">
      <c r="C1343" s="2" t="s">
        <v>4912</v>
      </c>
      <c r="D1343" s="2" t="s">
        <v>292</v>
      </c>
      <c r="E1343" s="2">
        <v>45</v>
      </c>
      <c r="F1343" s="2">
        <v>228.24</v>
      </c>
    </row>
    <row r="1344" spans="3:6" x14ac:dyDescent="0.25">
      <c r="C1344" s="2" t="s">
        <v>4913</v>
      </c>
      <c r="D1344" s="2" t="s">
        <v>292</v>
      </c>
      <c r="E1344" s="2">
        <v>97</v>
      </c>
      <c r="F1344" s="2">
        <v>1990.6</v>
      </c>
    </row>
    <row r="1345" spans="3:6" x14ac:dyDescent="0.25">
      <c r="C1345" s="2" t="s">
        <v>4914</v>
      </c>
      <c r="D1345" s="2" t="s">
        <v>292</v>
      </c>
      <c r="E1345" s="2">
        <v>37</v>
      </c>
      <c r="F1345" s="2">
        <v>700.65</v>
      </c>
    </row>
    <row r="1346" spans="3:6" x14ac:dyDescent="0.25">
      <c r="C1346" s="2" t="s">
        <v>4915</v>
      </c>
      <c r="D1346" s="2" t="s">
        <v>292</v>
      </c>
      <c r="E1346" s="2">
        <v>61</v>
      </c>
      <c r="F1346" s="2">
        <v>1210.01</v>
      </c>
    </row>
    <row r="1347" spans="3:6" x14ac:dyDescent="0.25">
      <c r="C1347" s="2" t="s">
        <v>4916</v>
      </c>
      <c r="D1347" s="2" t="s">
        <v>292</v>
      </c>
      <c r="E1347" s="2">
        <v>31</v>
      </c>
      <c r="F1347" s="2">
        <v>578.98</v>
      </c>
    </row>
    <row r="1348" spans="3:6" x14ac:dyDescent="0.25">
      <c r="C1348" s="2" t="s">
        <v>4917</v>
      </c>
      <c r="D1348" s="2" t="s">
        <v>292</v>
      </c>
      <c r="E1348" s="2">
        <v>10</v>
      </c>
      <c r="F1348" s="2">
        <v>122.65</v>
      </c>
    </row>
    <row r="1349" spans="3:6" x14ac:dyDescent="0.25">
      <c r="C1349" s="2" t="s">
        <v>4918</v>
      </c>
      <c r="D1349" s="2" t="s">
        <v>292</v>
      </c>
      <c r="E1349" s="2">
        <v>44</v>
      </c>
      <c r="F1349" s="2">
        <v>972.04</v>
      </c>
    </row>
    <row r="1350" spans="3:6" x14ac:dyDescent="0.25">
      <c r="C1350" s="2" t="s">
        <v>4919</v>
      </c>
      <c r="D1350" s="2" t="s">
        <v>292</v>
      </c>
      <c r="E1350" s="2">
        <v>56</v>
      </c>
      <c r="F1350" s="2">
        <v>1232.02</v>
      </c>
    </row>
    <row r="1351" spans="3:6" x14ac:dyDescent="0.25">
      <c r="C1351" s="2" t="s">
        <v>4920</v>
      </c>
      <c r="D1351" s="2" t="s">
        <v>292</v>
      </c>
      <c r="E1351" s="2">
        <v>80</v>
      </c>
      <c r="F1351" s="2">
        <v>1589.09</v>
      </c>
    </row>
    <row r="1352" spans="3:6" x14ac:dyDescent="0.25">
      <c r="C1352" s="2" t="s">
        <v>4921</v>
      </c>
      <c r="D1352" s="2" t="s">
        <v>292</v>
      </c>
      <c r="E1352" s="2">
        <v>20</v>
      </c>
      <c r="F1352" s="2">
        <v>399.34</v>
      </c>
    </row>
    <row r="1353" spans="3:6" x14ac:dyDescent="0.25">
      <c r="C1353" s="2" t="s">
        <v>4922</v>
      </c>
      <c r="D1353" s="2" t="s">
        <v>292</v>
      </c>
      <c r="E1353" s="2">
        <v>10</v>
      </c>
      <c r="F1353" s="2">
        <v>208.01</v>
      </c>
    </row>
    <row r="1354" spans="3:6" x14ac:dyDescent="0.25">
      <c r="C1354" s="2" t="s">
        <v>4923</v>
      </c>
      <c r="D1354" s="2" t="s">
        <v>292</v>
      </c>
      <c r="E1354" s="2">
        <v>65</v>
      </c>
      <c r="F1354" s="2">
        <v>1349.65</v>
      </c>
    </row>
    <row r="1355" spans="3:6" x14ac:dyDescent="0.25">
      <c r="C1355" s="2" t="s">
        <v>4924</v>
      </c>
      <c r="D1355" s="2" t="s">
        <v>292</v>
      </c>
      <c r="E1355" s="2">
        <v>0</v>
      </c>
      <c r="F1355" s="2">
        <v>0</v>
      </c>
    </row>
    <row r="1356" spans="3:6" x14ac:dyDescent="0.25">
      <c r="C1356" s="2" t="s">
        <v>4925</v>
      </c>
      <c r="D1356" s="2" t="s">
        <v>292</v>
      </c>
      <c r="E1356" s="2">
        <v>0</v>
      </c>
      <c r="F1356" s="2">
        <v>0</v>
      </c>
    </row>
    <row r="1357" spans="3:6" x14ac:dyDescent="0.25">
      <c r="C1357" s="2" t="s">
        <v>4926</v>
      </c>
      <c r="D1357" s="2" t="s">
        <v>292</v>
      </c>
      <c r="E1357" s="2">
        <v>0</v>
      </c>
      <c r="F1357" s="2">
        <v>0</v>
      </c>
    </row>
    <row r="1358" spans="3:6" x14ac:dyDescent="0.25">
      <c r="C1358" s="2" t="s">
        <v>4927</v>
      </c>
      <c r="D1358" s="2" t="s">
        <v>292</v>
      </c>
      <c r="E1358" s="2">
        <v>141</v>
      </c>
      <c r="F1358" s="2">
        <v>2926.1</v>
      </c>
    </row>
    <row r="1359" spans="3:6" x14ac:dyDescent="0.25">
      <c r="C1359" s="2" t="s">
        <v>4928</v>
      </c>
      <c r="D1359" s="2" t="s">
        <v>292</v>
      </c>
      <c r="E1359" s="2">
        <v>141</v>
      </c>
      <c r="F1359" s="2">
        <v>2879.19</v>
      </c>
    </row>
    <row r="1360" spans="3:6" x14ac:dyDescent="0.25">
      <c r="C1360" s="2" t="s">
        <v>4929</v>
      </c>
      <c r="D1360" s="2" t="s">
        <v>292</v>
      </c>
      <c r="E1360" s="2">
        <v>102</v>
      </c>
      <c r="F1360" s="2">
        <v>2062.11</v>
      </c>
    </row>
    <row r="1361" spans="3:6" x14ac:dyDescent="0.25">
      <c r="C1361" s="2" t="s">
        <v>4930</v>
      </c>
      <c r="D1361" s="2" t="s">
        <v>292</v>
      </c>
      <c r="E1361" s="2">
        <v>102</v>
      </c>
      <c r="F1361" s="2">
        <v>2025.71</v>
      </c>
    </row>
    <row r="1363" spans="1:7" x14ac:dyDescent="0.25">
      <c r="A1363" s="1">
        <v>46183</v>
      </c>
      <c r="B1363" s="2" t="s">
        <v>7</v>
      </c>
      <c r="C1363" s="2" t="s">
        <v>4931</v>
      </c>
      <c r="D1363" s="2" t="s">
        <v>9</v>
      </c>
      <c r="E1363" s="2">
        <v>85</v>
      </c>
      <c r="F1363" s="2">
        <v>1440.139</v>
      </c>
      <c r="G1363" s="1">
        <v>46183</v>
      </c>
    </row>
    <row r="1364" spans="3:6" x14ac:dyDescent="0.25">
      <c r="C1364" s="2" t="s">
        <v>4932</v>
      </c>
      <c r="D1364" s="2" t="s">
        <v>9</v>
      </c>
      <c r="E1364" s="2">
        <v>99</v>
      </c>
      <c r="F1364" s="2">
        <v>2004.282</v>
      </c>
    </row>
    <row r="1366" spans="1:7" x14ac:dyDescent="0.25">
      <c r="A1366" s="1">
        <v>46183</v>
      </c>
      <c r="B1366" s="2" t="s">
        <v>378</v>
      </c>
      <c r="C1366" s="2" t="s">
        <v>4933</v>
      </c>
      <c r="D1366" s="2" t="s">
        <v>15</v>
      </c>
      <c r="E1366" s="2">
        <v>17</v>
      </c>
      <c r="F1366" s="2">
        <v>231.66</v>
      </c>
      <c r="G1366" s="1">
        <v>46183</v>
      </c>
    </row>
    <row r="1367" spans="3:6" x14ac:dyDescent="0.25">
      <c r="C1367" s="2" t="s">
        <v>4934</v>
      </c>
      <c r="D1367" s="2" t="s">
        <v>15</v>
      </c>
      <c r="E1367" s="2">
        <v>146</v>
      </c>
      <c r="F1367" s="2" t="s">
        <v>4167</v>
      </c>
    </row>
    <row r="1368" spans="3:6" x14ac:dyDescent="0.25">
      <c r="C1368" s="2" t="s">
        <v>4935</v>
      </c>
      <c r="D1368" s="2" t="s">
        <v>15</v>
      </c>
      <c r="E1368" s="2">
        <v>243</v>
      </c>
      <c r="F1368" s="2">
        <v>720.352</v>
      </c>
    </row>
    <row r="1369" spans="3:6" x14ac:dyDescent="0.25">
      <c r="C1369" s="2" t="s">
        <v>4936</v>
      </c>
      <c r="D1369" s="2" t="s">
        <v>15</v>
      </c>
      <c r="E1369" s="2">
        <v>105</v>
      </c>
      <c r="F1369" s="2">
        <v>2065.98</v>
      </c>
    </row>
    <row r="1370" spans="3:6" x14ac:dyDescent="0.25">
      <c r="C1370" s="2" t="s">
        <v>4937</v>
      </c>
      <c r="D1370" s="2" t="s">
        <v>15</v>
      </c>
      <c r="E1370" s="2">
        <v>105</v>
      </c>
      <c r="F1370" s="2">
        <v>2118.13</v>
      </c>
    </row>
    <row r="1371" spans="3:6" x14ac:dyDescent="0.25">
      <c r="C1371" s="2" t="s">
        <v>4938</v>
      </c>
      <c r="D1371" s="2" t="s">
        <v>15</v>
      </c>
      <c r="E1371" s="2">
        <v>163</v>
      </c>
      <c r="F1371" s="2">
        <v>2987.949</v>
      </c>
    </row>
    <row r="1372" spans="3:6" x14ac:dyDescent="0.25">
      <c r="C1372" s="2" t="s">
        <v>4939</v>
      </c>
      <c r="D1372" s="2" t="s">
        <v>15</v>
      </c>
      <c r="E1372" s="2">
        <v>105</v>
      </c>
      <c r="F1372" s="2">
        <v>1710.349</v>
      </c>
    </row>
    <row r="1373" spans="3:6" x14ac:dyDescent="0.25">
      <c r="C1373" s="2" t="s">
        <v>4940</v>
      </c>
      <c r="D1373" s="2" t="s">
        <v>15</v>
      </c>
      <c r="E1373" s="2">
        <v>36</v>
      </c>
      <c r="F1373" s="2">
        <v>543.971</v>
      </c>
    </row>
    <row r="1374" spans="3:6" x14ac:dyDescent="0.25">
      <c r="C1374" s="2" t="s">
        <v>4941</v>
      </c>
      <c r="D1374" s="2" t="s">
        <v>15</v>
      </c>
      <c r="E1374" s="2">
        <v>163</v>
      </c>
      <c r="F1374" s="2">
        <v>2835.12</v>
      </c>
    </row>
    <row r="1375" spans="3:6" x14ac:dyDescent="0.25">
      <c r="C1375" s="2" t="s">
        <v>4942</v>
      </c>
      <c r="D1375" s="2" t="s">
        <v>26</v>
      </c>
      <c r="E1375" s="2">
        <v>100</v>
      </c>
      <c r="F1375" s="2">
        <v>1971.81</v>
      </c>
    </row>
    <row r="1376" spans="3:6" x14ac:dyDescent="0.25">
      <c r="C1376" s="2" t="s">
        <v>4943</v>
      </c>
      <c r="D1376" s="2" t="s">
        <v>26</v>
      </c>
      <c r="E1376" s="2">
        <v>56</v>
      </c>
      <c r="F1376" s="2">
        <v>995.86</v>
      </c>
    </row>
    <row r="1377" spans="3:6" x14ac:dyDescent="0.25">
      <c r="C1377" s="2" t="s">
        <v>4944</v>
      </c>
      <c r="D1377" s="2" t="s">
        <v>26</v>
      </c>
      <c r="E1377" s="2">
        <v>100</v>
      </c>
      <c r="F1377" s="2">
        <v>1954.03</v>
      </c>
    </row>
    <row r="1378" spans="3:6" x14ac:dyDescent="0.25">
      <c r="C1378" s="2" t="s">
        <v>4945</v>
      </c>
      <c r="D1378" s="2" t="s">
        <v>26</v>
      </c>
      <c r="E1378" s="2">
        <v>56</v>
      </c>
      <c r="F1378" s="2">
        <v>1097.28</v>
      </c>
    </row>
    <row r="1379" spans="3:6" x14ac:dyDescent="0.25">
      <c r="C1379" s="2" t="s">
        <v>4946</v>
      </c>
      <c r="D1379" s="2" t="s">
        <v>26</v>
      </c>
      <c r="E1379" s="2">
        <v>100</v>
      </c>
      <c r="F1379" s="2">
        <v>1985.079</v>
      </c>
    </row>
    <row r="1380" spans="3:6" x14ac:dyDescent="0.25">
      <c r="C1380" s="2" t="s">
        <v>4947</v>
      </c>
      <c r="D1380" s="2" t="s">
        <v>26</v>
      </c>
      <c r="E1380" s="2">
        <v>56</v>
      </c>
      <c r="F1380" s="2">
        <v>1162.7</v>
      </c>
    </row>
    <row r="1381" spans="3:6" x14ac:dyDescent="0.25">
      <c r="C1381" s="2" t="s">
        <v>4948</v>
      </c>
      <c r="D1381" s="2" t="s">
        <v>26</v>
      </c>
      <c r="E1381" s="2">
        <v>100</v>
      </c>
      <c r="F1381" s="2">
        <v>1903.19</v>
      </c>
    </row>
    <row r="1382" spans="3:6" x14ac:dyDescent="0.25">
      <c r="C1382" s="2" t="s">
        <v>4949</v>
      </c>
      <c r="D1382" s="2" t="s">
        <v>26</v>
      </c>
      <c r="E1382" s="2">
        <v>56</v>
      </c>
      <c r="F1382" s="2">
        <v>1087.77</v>
      </c>
    </row>
    <row r="1383" spans="3:6" x14ac:dyDescent="0.25">
      <c r="C1383" s="2" t="s">
        <v>4950</v>
      </c>
      <c r="D1383" s="2" t="s">
        <v>26</v>
      </c>
      <c r="E1383" s="2">
        <v>100</v>
      </c>
      <c r="F1383" s="2">
        <v>1592.818</v>
      </c>
    </row>
    <row r="1384" spans="3:6" x14ac:dyDescent="0.25">
      <c r="C1384" s="2" t="s">
        <v>4951</v>
      </c>
      <c r="D1384" s="2" t="s">
        <v>26</v>
      </c>
      <c r="E1384" s="2">
        <v>56</v>
      </c>
      <c r="F1384" s="2">
        <v>1130.03</v>
      </c>
    </row>
    <row r="1385" spans="3:6" x14ac:dyDescent="0.25">
      <c r="C1385" s="2" t="s">
        <v>4952</v>
      </c>
      <c r="D1385" s="2" t="s">
        <v>26</v>
      </c>
      <c r="E1385" s="2">
        <v>100</v>
      </c>
      <c r="F1385" s="2">
        <v>1925.179</v>
      </c>
    </row>
    <row r="1386" spans="3:6" x14ac:dyDescent="0.25">
      <c r="C1386" s="2" t="s">
        <v>4953</v>
      </c>
      <c r="D1386" s="2" t="s">
        <v>26</v>
      </c>
      <c r="E1386" s="2">
        <v>56</v>
      </c>
      <c r="F1386" s="2">
        <v>988.12</v>
      </c>
    </row>
    <row r="1387" spans="3:6" x14ac:dyDescent="0.25">
      <c r="C1387" s="2" t="s">
        <v>4954</v>
      </c>
      <c r="D1387" s="2" t="s">
        <v>30</v>
      </c>
      <c r="E1387" s="2">
        <v>134</v>
      </c>
      <c r="F1387" s="2">
        <v>2585.76</v>
      </c>
    </row>
    <row r="1388" spans="3:6" x14ac:dyDescent="0.25">
      <c r="C1388" s="2" t="s">
        <v>4955</v>
      </c>
      <c r="D1388" s="2" t="s">
        <v>30</v>
      </c>
      <c r="E1388" s="2">
        <v>134</v>
      </c>
      <c r="F1388" s="2">
        <v>2539.38</v>
      </c>
    </row>
    <row r="1389" spans="3:6" x14ac:dyDescent="0.25">
      <c r="C1389" s="2" t="s">
        <v>4956</v>
      </c>
      <c r="D1389" s="2" t="s">
        <v>30</v>
      </c>
      <c r="E1389" s="2">
        <v>134</v>
      </c>
      <c r="F1389" s="2">
        <v>2809.89</v>
      </c>
    </row>
    <row r="1390" spans="3:6" x14ac:dyDescent="0.25">
      <c r="C1390" s="2" t="s">
        <v>4957</v>
      </c>
      <c r="D1390" s="2" t="s">
        <v>30</v>
      </c>
      <c r="E1390" s="2">
        <v>134</v>
      </c>
      <c r="F1390" s="2">
        <v>2706.89</v>
      </c>
    </row>
    <row r="1391" spans="3:6" x14ac:dyDescent="0.25">
      <c r="C1391" s="2" t="s">
        <v>4958</v>
      </c>
      <c r="D1391" s="2" t="s">
        <v>30</v>
      </c>
      <c r="E1391" s="2">
        <v>134</v>
      </c>
      <c r="F1391" s="2">
        <v>2649.61</v>
      </c>
    </row>
    <row r="1392" spans="3:6" x14ac:dyDescent="0.25">
      <c r="C1392" s="2" t="s">
        <v>4959</v>
      </c>
      <c r="D1392" s="2" t="s">
        <v>30</v>
      </c>
      <c r="E1392" s="2">
        <v>69</v>
      </c>
      <c r="F1392" s="2">
        <v>1485.77</v>
      </c>
    </row>
    <row r="1393" spans="3:6" x14ac:dyDescent="0.25">
      <c r="C1393" s="2" t="s">
        <v>4960</v>
      </c>
      <c r="D1393" s="2" t="s">
        <v>30</v>
      </c>
      <c r="E1393" s="2">
        <v>66</v>
      </c>
      <c r="F1393" s="2">
        <v>1181.6</v>
      </c>
    </row>
    <row r="1394" spans="3:6" x14ac:dyDescent="0.25">
      <c r="C1394" s="2" t="s">
        <v>4961</v>
      </c>
      <c r="D1394" s="2" t="s">
        <v>30</v>
      </c>
      <c r="E1394" s="2">
        <v>163</v>
      </c>
      <c r="F1394" s="2">
        <v>2963.229</v>
      </c>
    </row>
    <row r="1395" spans="3:6" x14ac:dyDescent="0.25">
      <c r="C1395" s="2" t="s">
        <v>4962</v>
      </c>
      <c r="D1395" s="2" t="s">
        <v>30</v>
      </c>
      <c r="E1395" s="2">
        <v>163</v>
      </c>
      <c r="F1395" s="2">
        <v>3103.859</v>
      </c>
    </row>
    <row r="1396" spans="3:6" x14ac:dyDescent="0.25">
      <c r="C1396" s="2" t="s">
        <v>4963</v>
      </c>
      <c r="D1396" s="2" t="s">
        <v>30</v>
      </c>
      <c r="E1396" s="2">
        <v>163</v>
      </c>
      <c r="F1396" s="2">
        <v>3290.289</v>
      </c>
    </row>
    <row r="1397" spans="3:6" x14ac:dyDescent="0.25">
      <c r="C1397" s="2" t="s">
        <v>4964</v>
      </c>
      <c r="D1397" s="2" t="s">
        <v>30</v>
      </c>
      <c r="E1397" s="2">
        <v>163</v>
      </c>
      <c r="F1397" s="2">
        <v>3185.2</v>
      </c>
    </row>
    <row r="1398" spans="3:6" x14ac:dyDescent="0.25">
      <c r="C1398" s="2" t="s">
        <v>4965</v>
      </c>
      <c r="D1398" s="2" t="s">
        <v>30</v>
      </c>
      <c r="E1398" s="2">
        <v>163</v>
      </c>
      <c r="F1398" s="2">
        <v>2978.56</v>
      </c>
    </row>
    <row r="1399" spans="3:6" x14ac:dyDescent="0.25">
      <c r="C1399" s="2" t="s">
        <v>4966</v>
      </c>
      <c r="D1399" s="2" t="s">
        <v>30</v>
      </c>
      <c r="E1399" s="2">
        <v>163</v>
      </c>
      <c r="F1399" s="2">
        <v>3110.18</v>
      </c>
    </row>
    <row r="1400" spans="3:6" x14ac:dyDescent="0.25">
      <c r="C1400" s="2" t="s">
        <v>4967</v>
      </c>
      <c r="D1400" s="2" t="s">
        <v>30</v>
      </c>
      <c r="E1400" s="2">
        <v>163</v>
      </c>
      <c r="F1400" s="2">
        <v>3246.59</v>
      </c>
    </row>
    <row r="1401" spans="3:6" x14ac:dyDescent="0.25">
      <c r="C1401" s="2" t="s">
        <v>4968</v>
      </c>
      <c r="D1401" s="2" t="s">
        <v>30</v>
      </c>
      <c r="E1401" s="2">
        <v>163</v>
      </c>
      <c r="F1401" s="2">
        <v>3194.06</v>
      </c>
    </row>
    <row r="1402" spans="3:6" x14ac:dyDescent="0.25">
      <c r="C1402" s="2" t="s">
        <v>4969</v>
      </c>
      <c r="D1402" s="2" t="s">
        <v>36</v>
      </c>
      <c r="E1402" s="2">
        <v>25</v>
      </c>
      <c r="F1402" s="2">
        <v>465.17</v>
      </c>
    </row>
    <row r="1403" spans="3:6" x14ac:dyDescent="0.25">
      <c r="C1403" s="2" t="s">
        <v>4970</v>
      </c>
      <c r="D1403" s="2" t="s">
        <v>36</v>
      </c>
      <c r="E1403" s="2">
        <v>80</v>
      </c>
      <c r="F1403" s="2">
        <v>1576.849</v>
      </c>
    </row>
    <row r="1404" spans="3:6" x14ac:dyDescent="0.25">
      <c r="C1404" s="2" t="s">
        <v>4971</v>
      </c>
      <c r="D1404" s="2" t="s">
        <v>36</v>
      </c>
      <c r="E1404" s="2">
        <v>60</v>
      </c>
      <c r="F1404" s="2">
        <v>1088.27</v>
      </c>
    </row>
    <row r="1405" spans="3:6" x14ac:dyDescent="0.25">
      <c r="C1405" s="2" t="s">
        <v>4972</v>
      </c>
      <c r="D1405" s="2" t="s">
        <v>36</v>
      </c>
      <c r="E1405" s="2">
        <v>45</v>
      </c>
      <c r="F1405" s="2">
        <v>828.119</v>
      </c>
    </row>
    <row r="1406" spans="3:6" x14ac:dyDescent="0.25">
      <c r="C1406" s="2" t="s">
        <v>4973</v>
      </c>
      <c r="D1406" s="2" t="s">
        <v>36</v>
      </c>
      <c r="E1406" s="2">
        <v>25</v>
      </c>
      <c r="F1406" s="2">
        <v>479.4</v>
      </c>
    </row>
    <row r="1407" spans="3:6" x14ac:dyDescent="0.25">
      <c r="C1407" s="2" t="s">
        <v>4974</v>
      </c>
      <c r="D1407" s="2" t="s">
        <v>36</v>
      </c>
      <c r="E1407" s="2">
        <v>80</v>
      </c>
      <c r="F1407" s="2">
        <v>1539.88</v>
      </c>
    </row>
    <row r="1409" spans="2:7" x14ac:dyDescent="0.25">
      <c r="B1409" s="2" t="s">
        <v>48</v>
      </c>
      <c r="C1409" s="2" t="s">
        <v>4975</v>
      </c>
      <c r="D1409" s="2" t="s">
        <v>53</v>
      </c>
      <c r="E1409" s="2">
        <v>156</v>
      </c>
      <c r="F1409" s="2">
        <v>2972.56</v>
      </c>
      <c r="G1409" s="1">
        <v>46183</v>
      </c>
    </row>
    <row r="1410" spans="3:6" x14ac:dyDescent="0.25">
      <c r="C1410" s="2" t="s">
        <v>4976</v>
      </c>
      <c r="D1410" s="2" t="s">
        <v>30</v>
      </c>
      <c r="E1410" s="2">
        <v>22</v>
      </c>
      <c r="F1410" s="2">
        <v>318.44</v>
      </c>
    </row>
    <row r="1411" spans="3:6" x14ac:dyDescent="0.25">
      <c r="C1411" s="2" t="s">
        <v>4977</v>
      </c>
      <c r="D1411" s="2" t="s">
        <v>30</v>
      </c>
      <c r="E1411" s="2">
        <v>134</v>
      </c>
      <c r="F1411" s="2">
        <v>2448.138</v>
      </c>
    </row>
    <row r="1412" spans="3:6" x14ac:dyDescent="0.25">
      <c r="C1412" s="2" t="s">
        <v>4978</v>
      </c>
      <c r="D1412" s="2" t="s">
        <v>30</v>
      </c>
      <c r="E1412" s="2">
        <v>105</v>
      </c>
      <c r="F1412" s="2">
        <v>1834.338</v>
      </c>
    </row>
    <row r="1414" spans="1:7" x14ac:dyDescent="0.25">
      <c r="A1414" s="1">
        <v>46183</v>
      </c>
      <c r="B1414" s="2" t="s">
        <v>420</v>
      </c>
      <c r="C1414" s="2" t="s">
        <v>4979</v>
      </c>
      <c r="D1414" s="2" t="s">
        <v>59</v>
      </c>
      <c r="E1414" s="2">
        <v>105</v>
      </c>
      <c r="F1414" s="2">
        <v>2048.93</v>
      </c>
      <c r="G1414" s="1">
        <v>46183</v>
      </c>
    </row>
    <row r="1415" spans="3:6" x14ac:dyDescent="0.25">
      <c r="C1415" s="2" t="s">
        <v>4980</v>
      </c>
      <c r="D1415" s="2" t="s">
        <v>59</v>
      </c>
      <c r="E1415" s="2">
        <v>164</v>
      </c>
      <c r="F1415" s="2">
        <v>2220.241</v>
      </c>
    </row>
    <row r="1416" spans="3:6" x14ac:dyDescent="0.25">
      <c r="C1416" s="2" t="s">
        <v>4981</v>
      </c>
      <c r="D1416" s="2" t="s">
        <v>59</v>
      </c>
      <c r="E1416" s="2">
        <v>163</v>
      </c>
      <c r="F1416" s="2">
        <v>3126.18</v>
      </c>
    </row>
    <row r="1417" spans="3:6" x14ac:dyDescent="0.25">
      <c r="C1417" s="2" t="s">
        <v>4982</v>
      </c>
      <c r="D1417" s="2" t="s">
        <v>59</v>
      </c>
      <c r="E1417" s="2">
        <v>210</v>
      </c>
      <c r="F1417" s="2">
        <v>4020.45</v>
      </c>
    </row>
    <row r="1418" spans="3:6" x14ac:dyDescent="0.25">
      <c r="C1418" s="2" t="s">
        <v>4983</v>
      </c>
      <c r="D1418" s="2" t="s">
        <v>59</v>
      </c>
      <c r="E1418" s="2">
        <v>105</v>
      </c>
      <c r="F1418" s="2">
        <v>1958.1</v>
      </c>
    </row>
    <row r="1419" spans="3:6" x14ac:dyDescent="0.25">
      <c r="C1419" s="2" t="s">
        <v>4984</v>
      </c>
      <c r="D1419" s="2" t="s">
        <v>59</v>
      </c>
      <c r="E1419" s="2">
        <v>163</v>
      </c>
      <c r="F1419" s="2">
        <v>3120.29</v>
      </c>
    </row>
    <row r="1420" spans="3:6" x14ac:dyDescent="0.25">
      <c r="C1420" s="2" t="s">
        <v>4985</v>
      </c>
      <c r="D1420" s="2" t="s">
        <v>59</v>
      </c>
      <c r="E1420" s="2">
        <v>155</v>
      </c>
      <c r="F1420" s="2">
        <v>3137.41</v>
      </c>
    </row>
    <row r="1421" spans="3:6" x14ac:dyDescent="0.25">
      <c r="C1421" s="2" t="s">
        <v>4986</v>
      </c>
      <c r="D1421" s="2" t="s">
        <v>59</v>
      </c>
      <c r="E1421" s="2">
        <v>163</v>
      </c>
      <c r="F1421" s="2">
        <v>3040.609</v>
      </c>
    </row>
    <row r="1423" spans="1:7" x14ac:dyDescent="0.25">
      <c r="A1423" s="1">
        <v>46183</v>
      </c>
      <c r="B1423" s="2" t="s">
        <v>427</v>
      </c>
      <c r="C1423" s="2" t="s">
        <v>4987</v>
      </c>
      <c r="D1423" s="2" t="s">
        <v>82</v>
      </c>
      <c r="E1423" s="2">
        <v>141</v>
      </c>
      <c r="F1423" s="2">
        <v>2896.389</v>
      </c>
      <c r="G1423" s="1">
        <v>46182</v>
      </c>
    </row>
    <row r="1425" spans="1:7" x14ac:dyDescent="0.25">
      <c r="A1425" s="1">
        <v>46183</v>
      </c>
      <c r="B1425" s="2" t="s">
        <v>427</v>
      </c>
      <c r="C1425" s="2" t="s">
        <v>4988</v>
      </c>
      <c r="D1425" s="2" t="s">
        <v>59</v>
      </c>
      <c r="E1425" s="2">
        <v>142</v>
      </c>
      <c r="F1425" s="2">
        <v>2938.959</v>
      </c>
      <c r="G1425" s="1">
        <v>46184</v>
      </c>
    </row>
    <row r="1426" spans="3:6" x14ac:dyDescent="0.25">
      <c r="C1426" s="2" t="s">
        <v>4989</v>
      </c>
      <c r="D1426" s="2" t="s">
        <v>59</v>
      </c>
      <c r="E1426" s="2">
        <v>142</v>
      </c>
      <c r="F1426" s="2">
        <v>3036.8</v>
      </c>
    </row>
    <row r="1427" spans="3:6" x14ac:dyDescent="0.25">
      <c r="C1427" s="2" t="s">
        <v>4990</v>
      </c>
      <c r="D1427" s="2" t="s">
        <v>59</v>
      </c>
      <c r="E1427" s="2">
        <v>142</v>
      </c>
      <c r="F1427" s="2">
        <v>2953.77</v>
      </c>
    </row>
    <row r="1429" spans="1:7" x14ac:dyDescent="0.25">
      <c r="A1429" s="1">
        <v>46184</v>
      </c>
      <c r="B1429" s="2" t="s">
        <v>433</v>
      </c>
      <c r="C1429" s="2" t="s">
        <v>4991</v>
      </c>
      <c r="D1429" s="2" t="s">
        <v>73</v>
      </c>
      <c r="E1429" s="2">
        <v>93</v>
      </c>
      <c r="F1429" s="2">
        <v>1808.499</v>
      </c>
      <c r="G1429" s="1">
        <v>46184</v>
      </c>
    </row>
    <row r="1430" spans="3:6" x14ac:dyDescent="0.25">
      <c r="C1430" s="2" t="s">
        <v>4992</v>
      </c>
      <c r="D1430" s="2" t="s">
        <v>73</v>
      </c>
      <c r="E1430" s="2">
        <v>101</v>
      </c>
      <c r="F1430" s="2">
        <v>1822.797</v>
      </c>
    </row>
    <row r="1431" spans="3:6" x14ac:dyDescent="0.25">
      <c r="C1431" s="2" t="s">
        <v>4993</v>
      </c>
      <c r="D1431" s="2" t="s">
        <v>73</v>
      </c>
      <c r="E1431" s="2">
        <v>54</v>
      </c>
      <c r="F1431" s="2">
        <v>975.02</v>
      </c>
    </row>
    <row r="1432" spans="3:6" x14ac:dyDescent="0.25">
      <c r="C1432" s="2" t="s">
        <v>4994</v>
      </c>
      <c r="D1432" s="2" t="s">
        <v>73</v>
      </c>
      <c r="E1432" s="2">
        <v>39</v>
      </c>
      <c r="F1432" s="2">
        <v>742.999</v>
      </c>
    </row>
    <row r="1433" spans="3:6" x14ac:dyDescent="0.25">
      <c r="C1433" s="2" t="s">
        <v>4995</v>
      </c>
      <c r="D1433" s="2" t="s">
        <v>73</v>
      </c>
      <c r="E1433" s="2">
        <v>82</v>
      </c>
      <c r="F1433" s="2">
        <v>1351.539</v>
      </c>
    </row>
    <row r="1434" spans="3:6" x14ac:dyDescent="0.25">
      <c r="C1434" s="2" t="s">
        <v>4996</v>
      </c>
      <c r="D1434" s="2" t="s">
        <v>73</v>
      </c>
      <c r="E1434" s="2">
        <v>10</v>
      </c>
      <c r="F1434" s="2">
        <v>248</v>
      </c>
    </row>
    <row r="1436" spans="1:7" x14ac:dyDescent="0.25">
      <c r="A1436" s="1">
        <v>46184</v>
      </c>
      <c r="B1436" s="2" t="s">
        <v>229</v>
      </c>
      <c r="C1436" s="2" t="s">
        <v>4997</v>
      </c>
      <c r="D1436" s="2" t="s">
        <v>82</v>
      </c>
      <c r="E1436" s="2">
        <v>141</v>
      </c>
      <c r="F1436" s="2">
        <v>2843.18</v>
      </c>
      <c r="G1436" s="1">
        <v>46184</v>
      </c>
    </row>
    <row r="1437" spans="3:6" x14ac:dyDescent="0.25">
      <c r="C1437" s="2" t="s">
        <v>4998</v>
      </c>
      <c r="D1437" s="2" t="s">
        <v>82</v>
      </c>
      <c r="E1437" s="2">
        <v>75</v>
      </c>
      <c r="F1437" s="2">
        <v>331.017</v>
      </c>
    </row>
    <row r="1438" spans="3:6" x14ac:dyDescent="0.25">
      <c r="C1438" s="2" t="s">
        <v>4999</v>
      </c>
      <c r="D1438" s="2" t="s">
        <v>82</v>
      </c>
      <c r="E1438" s="2">
        <v>40</v>
      </c>
      <c r="F1438" s="2">
        <v>179</v>
      </c>
    </row>
    <row r="1439" spans="3:6" x14ac:dyDescent="0.25">
      <c r="C1439" s="2" t="s">
        <v>5000</v>
      </c>
      <c r="D1439" s="2" t="s">
        <v>82</v>
      </c>
      <c r="E1439" s="2">
        <v>60</v>
      </c>
      <c r="F1439" s="2">
        <v>257.64</v>
      </c>
    </row>
    <row r="1440" spans="3:6" x14ac:dyDescent="0.25">
      <c r="C1440" s="2" t="s">
        <v>5001</v>
      </c>
      <c r="D1440" s="2" t="s">
        <v>82</v>
      </c>
      <c r="E1440" s="2">
        <v>122</v>
      </c>
      <c r="F1440" s="2">
        <v>2482.54</v>
      </c>
    </row>
    <row r="1441" spans="3:6" x14ac:dyDescent="0.25">
      <c r="C1441" s="2" t="s">
        <v>5002</v>
      </c>
      <c r="D1441" s="2" t="s">
        <v>82</v>
      </c>
      <c r="E1441" s="2">
        <v>121</v>
      </c>
      <c r="F1441" s="2">
        <v>2463.81</v>
      </c>
    </row>
    <row r="1442" spans="3:6" x14ac:dyDescent="0.25">
      <c r="C1442" s="2" t="s">
        <v>5003</v>
      </c>
      <c r="D1442" s="2" t="s">
        <v>82</v>
      </c>
      <c r="E1442" s="2">
        <v>122</v>
      </c>
      <c r="F1442" s="2">
        <v>2369.61</v>
      </c>
    </row>
    <row r="1443" spans="3:6" x14ac:dyDescent="0.25">
      <c r="C1443" s="2" t="s">
        <v>5004</v>
      </c>
      <c r="D1443" s="2" t="s">
        <v>82</v>
      </c>
      <c r="E1443" s="2">
        <v>121</v>
      </c>
      <c r="F1443" s="2">
        <v>2377.23</v>
      </c>
    </row>
    <row r="1444" spans="3:6" x14ac:dyDescent="0.25">
      <c r="C1444" s="2" t="s">
        <v>5005</v>
      </c>
      <c r="D1444" s="2" t="s">
        <v>82</v>
      </c>
      <c r="E1444" s="2">
        <v>135</v>
      </c>
      <c r="F1444" s="2">
        <v>2809.89</v>
      </c>
    </row>
    <row r="1445" spans="3:6" x14ac:dyDescent="0.25">
      <c r="C1445" s="2" t="s">
        <v>5006</v>
      </c>
      <c r="D1445" s="2" t="s">
        <v>82</v>
      </c>
      <c r="E1445" s="2">
        <v>141</v>
      </c>
      <c r="F1445" s="2">
        <v>2906.8</v>
      </c>
    </row>
    <row r="1446" spans="3:6" x14ac:dyDescent="0.25">
      <c r="C1446" s="2" t="s">
        <v>5007</v>
      </c>
      <c r="D1446" s="2" t="s">
        <v>82</v>
      </c>
      <c r="E1446" s="2">
        <v>141</v>
      </c>
      <c r="F1446" s="2">
        <v>2835.68</v>
      </c>
    </row>
    <row r="1447" spans="3:6" x14ac:dyDescent="0.25">
      <c r="C1447" s="2" t="s">
        <v>5008</v>
      </c>
      <c r="D1447" s="2" t="s">
        <v>82</v>
      </c>
      <c r="E1447" s="2">
        <v>75</v>
      </c>
      <c r="F1447" s="2">
        <v>1518.54</v>
      </c>
    </row>
    <row r="1448" spans="3:6" x14ac:dyDescent="0.25">
      <c r="C1448" s="2" t="s">
        <v>5009</v>
      </c>
      <c r="D1448" s="2" t="s">
        <v>82</v>
      </c>
      <c r="E1448" s="2">
        <v>67</v>
      </c>
      <c r="F1448" s="2">
        <v>1371.02</v>
      </c>
    </row>
    <row r="1449" spans="3:6" x14ac:dyDescent="0.25">
      <c r="C1449" s="2" t="s">
        <v>5010</v>
      </c>
      <c r="D1449" s="2" t="s">
        <v>82</v>
      </c>
      <c r="E1449" s="2">
        <v>124</v>
      </c>
      <c r="F1449" s="2">
        <v>2620.74</v>
      </c>
    </row>
    <row r="1450" spans="3:6" x14ac:dyDescent="0.25">
      <c r="C1450" s="2" t="s">
        <v>5011</v>
      </c>
      <c r="D1450" s="2" t="s">
        <v>82</v>
      </c>
      <c r="E1450" s="2">
        <v>18</v>
      </c>
      <c r="F1450" s="2">
        <v>345.81</v>
      </c>
    </row>
    <row r="1451" spans="3:6" x14ac:dyDescent="0.25">
      <c r="C1451" s="2" t="s">
        <v>5012</v>
      </c>
      <c r="D1451" s="2" t="s">
        <v>82</v>
      </c>
      <c r="E1451" s="2">
        <v>83</v>
      </c>
      <c r="F1451" s="2">
        <v>1633.24</v>
      </c>
    </row>
    <row r="1452" spans="3:6" x14ac:dyDescent="0.25">
      <c r="C1452" s="2" t="s">
        <v>5013</v>
      </c>
      <c r="D1452" s="2" t="s">
        <v>82</v>
      </c>
      <c r="E1452" s="2">
        <v>23</v>
      </c>
      <c r="F1452" s="2">
        <v>454.78</v>
      </c>
    </row>
    <row r="1453" spans="3:6" x14ac:dyDescent="0.25">
      <c r="C1453" s="2" t="s">
        <v>5014</v>
      </c>
      <c r="D1453" s="2" t="s">
        <v>82</v>
      </c>
      <c r="E1453" s="2">
        <v>35</v>
      </c>
      <c r="F1453" s="2">
        <v>39.64</v>
      </c>
    </row>
    <row r="1454" spans="3:6" x14ac:dyDescent="0.25">
      <c r="C1454" s="2" t="s">
        <v>5015</v>
      </c>
      <c r="D1454" s="2" t="s">
        <v>82</v>
      </c>
      <c r="E1454" s="2">
        <v>141</v>
      </c>
      <c r="F1454" s="2">
        <v>2913.64</v>
      </c>
    </row>
    <row r="1455" spans="3:6" x14ac:dyDescent="0.25">
      <c r="C1455" s="2" t="s">
        <v>5016</v>
      </c>
      <c r="D1455" s="2" t="s">
        <v>82</v>
      </c>
      <c r="E1455" s="2">
        <v>141</v>
      </c>
      <c r="F1455" s="2">
        <v>2861.2</v>
      </c>
    </row>
    <row r="1456" spans="3:6" x14ac:dyDescent="0.25">
      <c r="C1456" s="2" t="s">
        <v>5017</v>
      </c>
      <c r="D1456" s="2" t="s">
        <v>82</v>
      </c>
      <c r="E1456" s="2">
        <v>102</v>
      </c>
      <c r="F1456" s="2">
        <v>1868.037</v>
      </c>
    </row>
    <row r="1457" spans="3:6" x14ac:dyDescent="0.25">
      <c r="C1457" s="2" t="s">
        <v>5018</v>
      </c>
      <c r="D1457" s="2" t="s">
        <v>82</v>
      </c>
      <c r="E1457" s="2">
        <v>42</v>
      </c>
      <c r="F1457" s="2">
        <v>837.27</v>
      </c>
    </row>
    <row r="1458" spans="3:6" x14ac:dyDescent="0.25">
      <c r="C1458" s="2" t="s">
        <v>5019</v>
      </c>
      <c r="D1458" s="2" t="s">
        <v>82</v>
      </c>
      <c r="E1458" s="2">
        <v>30</v>
      </c>
      <c r="F1458" s="2">
        <v>556</v>
      </c>
    </row>
    <row r="1459" spans="3:6" x14ac:dyDescent="0.25">
      <c r="C1459" s="2" t="s">
        <v>5020</v>
      </c>
      <c r="D1459" s="2" t="s">
        <v>82</v>
      </c>
      <c r="E1459" s="2">
        <v>32</v>
      </c>
      <c r="F1459" s="2">
        <v>535.4</v>
      </c>
    </row>
    <row r="1460" spans="3:6" x14ac:dyDescent="0.25">
      <c r="C1460" s="2" t="s">
        <v>5021</v>
      </c>
      <c r="D1460" s="2" t="s">
        <v>82</v>
      </c>
      <c r="E1460" s="2">
        <v>103</v>
      </c>
      <c r="F1460" s="2">
        <v>2011.27</v>
      </c>
    </row>
    <row r="1461" spans="3:6" x14ac:dyDescent="0.25">
      <c r="C1461" s="2" t="s">
        <v>5022</v>
      </c>
      <c r="D1461" s="2" t="s">
        <v>82</v>
      </c>
      <c r="E1461" s="2">
        <v>103</v>
      </c>
      <c r="F1461" s="2">
        <v>2052.1</v>
      </c>
    </row>
    <row r="1462" spans="3:6" x14ac:dyDescent="0.25">
      <c r="C1462" s="2" t="s">
        <v>5023</v>
      </c>
      <c r="D1462" s="2" t="s">
        <v>82</v>
      </c>
      <c r="E1462" s="2">
        <v>75</v>
      </c>
      <c r="F1462" s="2">
        <v>1519.91</v>
      </c>
    </row>
    <row r="1463" spans="3:6" x14ac:dyDescent="0.25">
      <c r="C1463" s="2" t="s">
        <v>5024</v>
      </c>
      <c r="D1463" s="2" t="s">
        <v>82</v>
      </c>
      <c r="E1463" s="2">
        <v>141</v>
      </c>
      <c r="F1463" s="2">
        <v>2888.85</v>
      </c>
    </row>
    <row r="1464" spans="3:6" x14ac:dyDescent="0.25">
      <c r="C1464" s="2" t="s">
        <v>5025</v>
      </c>
      <c r="D1464" s="2" t="s">
        <v>82</v>
      </c>
      <c r="E1464" s="2">
        <v>141</v>
      </c>
      <c r="F1464" s="2">
        <v>2950.48</v>
      </c>
    </row>
    <row r="1465" spans="3:6" x14ac:dyDescent="0.25">
      <c r="C1465" s="2" t="s">
        <v>5026</v>
      </c>
      <c r="D1465" s="2" t="s">
        <v>82</v>
      </c>
      <c r="E1465" s="2">
        <v>141</v>
      </c>
      <c r="F1465" s="2">
        <v>2872.79</v>
      </c>
    </row>
    <row r="1466" spans="3:6" x14ac:dyDescent="0.25">
      <c r="C1466" s="2" t="s">
        <v>5027</v>
      </c>
      <c r="D1466" s="2" t="s">
        <v>82</v>
      </c>
      <c r="E1466" s="2">
        <v>100</v>
      </c>
      <c r="F1466" s="2">
        <v>2072.97</v>
      </c>
    </row>
    <row r="1467" spans="3:6" x14ac:dyDescent="0.25">
      <c r="C1467" s="2" t="s">
        <v>5028</v>
      </c>
      <c r="D1467" s="2" t="s">
        <v>82</v>
      </c>
      <c r="E1467" s="2">
        <v>41</v>
      </c>
      <c r="F1467" s="2">
        <v>818.14</v>
      </c>
    </row>
    <row r="1468" spans="3:6" x14ac:dyDescent="0.25">
      <c r="C1468" s="2" t="s">
        <v>5029</v>
      </c>
      <c r="D1468" s="2" t="s">
        <v>82</v>
      </c>
      <c r="E1468" s="2">
        <v>85</v>
      </c>
      <c r="F1468" s="2">
        <v>1722.36</v>
      </c>
    </row>
    <row r="1469" spans="3:6" x14ac:dyDescent="0.25">
      <c r="C1469" s="2" t="s">
        <v>5030</v>
      </c>
      <c r="D1469" s="2" t="s">
        <v>82</v>
      </c>
      <c r="E1469" s="2">
        <v>56</v>
      </c>
      <c r="F1469" s="2">
        <v>1140.82</v>
      </c>
    </row>
    <row r="1470" spans="3:6" x14ac:dyDescent="0.25">
      <c r="C1470" s="2" t="s">
        <v>5031</v>
      </c>
      <c r="D1470" s="2" t="s">
        <v>82</v>
      </c>
      <c r="E1470" s="2">
        <v>70</v>
      </c>
      <c r="F1470" s="2">
        <v>1366.05</v>
      </c>
    </row>
    <row r="1471" spans="3:6" x14ac:dyDescent="0.25">
      <c r="C1471" s="2" t="s">
        <v>5032</v>
      </c>
      <c r="D1471" s="2" t="s">
        <v>82</v>
      </c>
      <c r="E1471" s="2">
        <v>71</v>
      </c>
      <c r="F1471" s="2">
        <v>1308.15</v>
      </c>
    </row>
    <row r="1472" spans="3:6" x14ac:dyDescent="0.25">
      <c r="C1472" s="2" t="s">
        <v>5033</v>
      </c>
      <c r="D1472" s="2" t="s">
        <v>82</v>
      </c>
      <c r="E1472" s="2">
        <v>102</v>
      </c>
      <c r="F1472" s="2" t="s">
        <v>4167</v>
      </c>
    </row>
    <row r="1473" spans="3:6" x14ac:dyDescent="0.25">
      <c r="C1473" s="2" t="s">
        <v>5034</v>
      </c>
      <c r="D1473" s="2" t="s">
        <v>82</v>
      </c>
      <c r="E1473" s="2" t="s">
        <v>4167</v>
      </c>
      <c r="F1473" s="2" t="s">
        <v>4167</v>
      </c>
    </row>
    <row r="1475" spans="1:7" x14ac:dyDescent="0.25">
      <c r="A1475" s="1">
        <v>46184</v>
      </c>
      <c r="B1475" s="2" t="s">
        <v>7</v>
      </c>
      <c r="C1475" s="2" t="s">
        <v>5035</v>
      </c>
      <c r="D1475" s="2" t="s">
        <v>9</v>
      </c>
      <c r="E1475" s="2">
        <v>99</v>
      </c>
      <c r="F1475" s="2">
        <v>2013.949</v>
      </c>
      <c r="G1475" s="1">
        <v>46184</v>
      </c>
    </row>
    <row r="1476" spans="3:6" x14ac:dyDescent="0.25">
      <c r="C1476" s="2" t="s">
        <v>5036</v>
      </c>
      <c r="D1476" s="2" t="s">
        <v>9</v>
      </c>
      <c r="E1476" s="2">
        <v>99</v>
      </c>
      <c r="F1476" s="2">
        <v>2073.18</v>
      </c>
    </row>
    <row r="1478" spans="1:7" x14ac:dyDescent="0.25">
      <c r="A1478" s="1">
        <v>46184</v>
      </c>
      <c r="B1478" s="2" t="s">
        <v>5037</v>
      </c>
      <c r="C1478" s="2" t="s">
        <v>4939</v>
      </c>
      <c r="D1478" s="2" t="s">
        <v>15</v>
      </c>
      <c r="E1478" s="2">
        <v>105</v>
      </c>
      <c r="F1478" s="2">
        <v>1710.349</v>
      </c>
      <c r="G1478" s="1">
        <v>46184</v>
      </c>
    </row>
    <row r="1479" spans="3:6" x14ac:dyDescent="0.25">
      <c r="C1479" s="2" t="s">
        <v>4941</v>
      </c>
      <c r="D1479" s="2" t="s">
        <v>15</v>
      </c>
      <c r="E1479" s="2">
        <v>163</v>
      </c>
      <c r="F1479" s="2">
        <v>2835.12</v>
      </c>
    </row>
    <row r="1480" spans="3:6" x14ac:dyDescent="0.25">
      <c r="C1480" s="2" t="s">
        <v>5038</v>
      </c>
      <c r="D1480" s="2" t="s">
        <v>15</v>
      </c>
      <c r="E1480" s="2">
        <v>100</v>
      </c>
      <c r="F1480" s="2">
        <v>1674.78</v>
      </c>
    </row>
    <row r="1481" spans="3:6" x14ac:dyDescent="0.25">
      <c r="C1481" s="2" t="s">
        <v>5039</v>
      </c>
      <c r="D1481" s="2" t="s">
        <v>15</v>
      </c>
      <c r="E1481" s="2">
        <v>95</v>
      </c>
      <c r="F1481" s="2">
        <v>1965.028</v>
      </c>
    </row>
    <row r="1482" spans="3:6" x14ac:dyDescent="0.25">
      <c r="C1482" s="2" t="s">
        <v>5040</v>
      </c>
      <c r="D1482" s="2" t="s">
        <v>15</v>
      </c>
      <c r="E1482" s="2">
        <v>134</v>
      </c>
      <c r="F1482" s="2">
        <v>2731.16</v>
      </c>
    </row>
    <row r="1483" spans="3:6" x14ac:dyDescent="0.25">
      <c r="C1483" s="2" t="s">
        <v>5041</v>
      </c>
      <c r="D1483" s="2" t="s">
        <v>15</v>
      </c>
      <c r="E1483" s="2">
        <v>134</v>
      </c>
      <c r="F1483" s="2">
        <v>2697.79</v>
      </c>
    </row>
    <row r="1484" spans="3:6" x14ac:dyDescent="0.25">
      <c r="C1484" s="2" t="s">
        <v>5042</v>
      </c>
      <c r="D1484" s="2" t="s">
        <v>15</v>
      </c>
      <c r="E1484" s="2">
        <v>134</v>
      </c>
      <c r="F1484" s="2">
        <v>2668.43</v>
      </c>
    </row>
    <row r="1485" spans="3:6" x14ac:dyDescent="0.25">
      <c r="C1485" s="2" t="s">
        <v>5043</v>
      </c>
      <c r="D1485" s="2" t="s">
        <v>15</v>
      </c>
      <c r="E1485" s="2">
        <v>134</v>
      </c>
      <c r="F1485" s="2">
        <v>2593.48</v>
      </c>
    </row>
    <row r="1486" spans="3:6" x14ac:dyDescent="0.25">
      <c r="C1486" s="2" t="s">
        <v>5044</v>
      </c>
      <c r="D1486" s="2" t="s">
        <v>15</v>
      </c>
      <c r="E1486" s="2">
        <v>134</v>
      </c>
      <c r="F1486" s="2">
        <v>2603.769</v>
      </c>
    </row>
    <row r="1487" spans="3:6" x14ac:dyDescent="0.25">
      <c r="C1487" s="2" t="s">
        <v>5045</v>
      </c>
      <c r="D1487" s="2" t="s">
        <v>15</v>
      </c>
      <c r="E1487" s="2">
        <v>134</v>
      </c>
      <c r="F1487" s="2">
        <v>2494.56</v>
      </c>
    </row>
    <row r="1488" spans="3:6" x14ac:dyDescent="0.25">
      <c r="C1488" s="2" t="s">
        <v>5046</v>
      </c>
      <c r="D1488" s="2" t="s">
        <v>15</v>
      </c>
      <c r="E1488" s="2">
        <v>163</v>
      </c>
      <c r="F1488" s="2">
        <v>2852.96</v>
      </c>
    </row>
    <row r="1489" spans="3:6" x14ac:dyDescent="0.25">
      <c r="C1489" s="2" t="s">
        <v>5047</v>
      </c>
      <c r="D1489" s="2" t="s">
        <v>15</v>
      </c>
      <c r="E1489" s="2">
        <v>163</v>
      </c>
      <c r="F1489" s="2">
        <v>3074.879</v>
      </c>
    </row>
    <row r="1490" spans="3:6" x14ac:dyDescent="0.25">
      <c r="C1490" s="2" t="s">
        <v>5048</v>
      </c>
      <c r="D1490" s="2" t="s">
        <v>15</v>
      </c>
      <c r="E1490" s="2">
        <v>163</v>
      </c>
      <c r="F1490" s="2">
        <v>3052.41</v>
      </c>
    </row>
    <row r="1491" spans="3:6" x14ac:dyDescent="0.25">
      <c r="C1491" s="2" t="s">
        <v>5049</v>
      </c>
      <c r="D1491" s="2" t="s">
        <v>15</v>
      </c>
      <c r="E1491" s="2">
        <v>163</v>
      </c>
      <c r="F1491" s="2">
        <v>3137.657</v>
      </c>
    </row>
    <row r="1492" spans="3:6" x14ac:dyDescent="0.25">
      <c r="C1492" s="2" t="s">
        <v>5050</v>
      </c>
      <c r="D1492" s="2" t="s">
        <v>15</v>
      </c>
      <c r="E1492" s="2">
        <v>163</v>
      </c>
      <c r="F1492" s="2">
        <v>3131.31</v>
      </c>
    </row>
    <row r="1493" spans="3:6" x14ac:dyDescent="0.25">
      <c r="C1493" s="2" t="s">
        <v>5051</v>
      </c>
      <c r="D1493" s="2" t="s">
        <v>15</v>
      </c>
      <c r="E1493" s="2">
        <v>163</v>
      </c>
      <c r="F1493" s="2">
        <v>3120.929</v>
      </c>
    </row>
    <row r="1494" spans="3:6" x14ac:dyDescent="0.25">
      <c r="C1494" s="2" t="s">
        <v>5052</v>
      </c>
      <c r="D1494" s="2" t="s">
        <v>15</v>
      </c>
      <c r="E1494" s="2">
        <v>163</v>
      </c>
      <c r="F1494" s="2">
        <v>3174.95</v>
      </c>
    </row>
    <row r="1495" spans="3:6" x14ac:dyDescent="0.25">
      <c r="C1495" s="2" t="s">
        <v>5053</v>
      </c>
      <c r="D1495" s="2" t="s">
        <v>15</v>
      </c>
      <c r="E1495" s="2">
        <v>163</v>
      </c>
      <c r="F1495" s="2">
        <v>3031.67</v>
      </c>
    </row>
    <row r="1496" spans="3:6" x14ac:dyDescent="0.25">
      <c r="C1496" s="2" t="s">
        <v>5054</v>
      </c>
      <c r="D1496" s="2" t="s">
        <v>15</v>
      </c>
      <c r="E1496" s="2">
        <v>163</v>
      </c>
      <c r="F1496" s="2">
        <v>2948.2</v>
      </c>
    </row>
    <row r="1497" spans="3:6" x14ac:dyDescent="0.25">
      <c r="C1497" s="2" t="s">
        <v>5055</v>
      </c>
      <c r="D1497" s="2" t="s">
        <v>15</v>
      </c>
      <c r="E1497" s="2">
        <v>163</v>
      </c>
      <c r="F1497" s="2">
        <v>3120.19</v>
      </c>
    </row>
    <row r="1498" spans="3:6" x14ac:dyDescent="0.25">
      <c r="C1498" s="2" t="s">
        <v>5056</v>
      </c>
      <c r="D1498" s="2" t="s">
        <v>15</v>
      </c>
      <c r="E1498" s="2">
        <v>163</v>
      </c>
      <c r="F1498" s="2">
        <v>3162.39</v>
      </c>
    </row>
    <row r="1499" spans="3:6" x14ac:dyDescent="0.25">
      <c r="C1499" s="2" t="s">
        <v>5057</v>
      </c>
      <c r="D1499" s="2" t="s">
        <v>15</v>
      </c>
      <c r="E1499" s="2">
        <v>163</v>
      </c>
      <c r="F1499" s="2">
        <v>3101.63</v>
      </c>
    </row>
    <row r="1500" spans="3:6" x14ac:dyDescent="0.25">
      <c r="C1500" s="2" t="s">
        <v>5058</v>
      </c>
      <c r="D1500" s="2" t="s">
        <v>15</v>
      </c>
      <c r="E1500" s="2">
        <v>163</v>
      </c>
      <c r="F1500" s="2">
        <v>2808.31</v>
      </c>
    </row>
    <row r="1501" spans="3:6" x14ac:dyDescent="0.25">
      <c r="C1501" s="2" t="s">
        <v>5059</v>
      </c>
      <c r="D1501" s="2" t="s">
        <v>15</v>
      </c>
      <c r="E1501" s="2">
        <v>163</v>
      </c>
      <c r="F1501" s="2">
        <v>3144.22</v>
      </c>
    </row>
    <row r="1502" spans="3:6" x14ac:dyDescent="0.25">
      <c r="C1502" s="2" t="s">
        <v>5060</v>
      </c>
      <c r="D1502" s="2" t="s">
        <v>15</v>
      </c>
      <c r="E1502" s="2">
        <v>163</v>
      </c>
      <c r="F1502" s="2">
        <v>3075.069</v>
      </c>
    </row>
    <row r="1503" spans="3:6" x14ac:dyDescent="0.25">
      <c r="C1503" s="2" t="s">
        <v>5061</v>
      </c>
      <c r="D1503" s="2" t="s">
        <v>15</v>
      </c>
      <c r="E1503" s="2">
        <v>163</v>
      </c>
      <c r="F1503" s="2">
        <v>2648.549</v>
      </c>
    </row>
    <row r="1504" spans="3:6" x14ac:dyDescent="0.25">
      <c r="C1504" s="2" t="s">
        <v>5062</v>
      </c>
      <c r="D1504" s="2" t="s">
        <v>15</v>
      </c>
      <c r="E1504" s="2">
        <v>148</v>
      </c>
      <c r="F1504" s="2">
        <v>2708.999</v>
      </c>
    </row>
    <row r="1505" spans="3:6" x14ac:dyDescent="0.25">
      <c r="C1505" s="2" t="s">
        <v>5063</v>
      </c>
      <c r="D1505" s="2" t="s">
        <v>15</v>
      </c>
      <c r="E1505" s="2">
        <v>105</v>
      </c>
      <c r="F1505" s="2">
        <v>2054.86</v>
      </c>
    </row>
    <row r="1506" spans="3:6" x14ac:dyDescent="0.25">
      <c r="C1506" s="2" t="s">
        <v>5064</v>
      </c>
      <c r="D1506" s="2" t="s">
        <v>15</v>
      </c>
      <c r="E1506" s="2">
        <v>105</v>
      </c>
      <c r="F1506" s="2">
        <v>2063.57</v>
      </c>
    </row>
    <row r="1507" spans="3:6" x14ac:dyDescent="0.25">
      <c r="C1507" s="2" t="s">
        <v>5065</v>
      </c>
      <c r="D1507" s="2" t="s">
        <v>15</v>
      </c>
      <c r="E1507" s="2">
        <v>105</v>
      </c>
      <c r="F1507" s="2">
        <v>1812.02</v>
      </c>
    </row>
    <row r="1508" spans="3:6" x14ac:dyDescent="0.25">
      <c r="C1508" s="2" t="s">
        <v>5066</v>
      </c>
      <c r="D1508" s="2" t="s">
        <v>15</v>
      </c>
      <c r="E1508" s="2">
        <v>105</v>
      </c>
      <c r="F1508" s="2">
        <v>2087.37</v>
      </c>
    </row>
    <row r="1509" spans="3:6" x14ac:dyDescent="0.25">
      <c r="C1509" s="2" t="s">
        <v>5067</v>
      </c>
      <c r="D1509" s="2" t="s">
        <v>15</v>
      </c>
      <c r="E1509" s="2">
        <v>105</v>
      </c>
      <c r="F1509" s="2">
        <v>2080.06</v>
      </c>
    </row>
    <row r="1510" spans="3:6" x14ac:dyDescent="0.25">
      <c r="C1510" s="2" t="s">
        <v>5068</v>
      </c>
      <c r="D1510" s="2" t="s">
        <v>15</v>
      </c>
      <c r="E1510" s="2">
        <v>105</v>
      </c>
      <c r="F1510" s="2">
        <v>2088.03</v>
      </c>
    </row>
    <row r="1511" spans="3:6" x14ac:dyDescent="0.25">
      <c r="C1511" s="2" t="s">
        <v>5069</v>
      </c>
      <c r="D1511" s="2" t="s">
        <v>15</v>
      </c>
      <c r="E1511" s="2">
        <v>105</v>
      </c>
      <c r="F1511" s="2">
        <v>1819.079</v>
      </c>
    </row>
    <row r="1512" spans="3:6" x14ac:dyDescent="0.25">
      <c r="C1512" s="2" t="s">
        <v>5070</v>
      </c>
      <c r="D1512" s="2" t="s">
        <v>15</v>
      </c>
      <c r="E1512" s="2">
        <v>100</v>
      </c>
      <c r="F1512" s="2">
        <v>1937.7</v>
      </c>
    </row>
    <row r="1513" spans="3:6" x14ac:dyDescent="0.25">
      <c r="C1513" s="2" t="s">
        <v>5071</v>
      </c>
      <c r="D1513" s="2" t="s">
        <v>15</v>
      </c>
      <c r="E1513" s="2">
        <v>163</v>
      </c>
      <c r="F1513" s="2">
        <v>3241.15</v>
      </c>
    </row>
    <row r="1514" spans="3:6" x14ac:dyDescent="0.25">
      <c r="C1514" s="2" t="s">
        <v>5072</v>
      </c>
      <c r="D1514" s="2" t="s">
        <v>15</v>
      </c>
      <c r="E1514" s="2">
        <v>163</v>
      </c>
      <c r="F1514" s="2">
        <v>3103.69</v>
      </c>
    </row>
    <row r="1515" spans="3:6" x14ac:dyDescent="0.25">
      <c r="C1515" s="2" t="s">
        <v>5073</v>
      </c>
      <c r="D1515" s="2" t="s">
        <v>15</v>
      </c>
      <c r="E1515" s="2">
        <v>163</v>
      </c>
      <c r="F1515" s="2">
        <v>3117.469</v>
      </c>
    </row>
    <row r="1516" spans="3:6" x14ac:dyDescent="0.25">
      <c r="C1516" s="2" t="s">
        <v>5074</v>
      </c>
      <c r="D1516" s="2" t="s">
        <v>15</v>
      </c>
      <c r="E1516" s="2">
        <v>105</v>
      </c>
      <c r="F1516" s="2">
        <v>1996</v>
      </c>
    </row>
    <row r="1517" spans="3:6" x14ac:dyDescent="0.25">
      <c r="C1517" s="2" t="s">
        <v>5075</v>
      </c>
      <c r="D1517" s="2" t="s">
        <v>15</v>
      </c>
      <c r="E1517" s="2">
        <v>92</v>
      </c>
      <c r="F1517" s="2">
        <v>1634.309</v>
      </c>
    </row>
    <row r="1518" spans="3:6" x14ac:dyDescent="0.25">
      <c r="C1518" s="2" t="s">
        <v>5076</v>
      </c>
      <c r="D1518" s="2" t="s">
        <v>15</v>
      </c>
      <c r="E1518" s="2">
        <v>71</v>
      </c>
      <c r="F1518" s="2">
        <v>1329</v>
      </c>
    </row>
    <row r="1519" spans="3:6" x14ac:dyDescent="0.25">
      <c r="C1519" s="2" t="s">
        <v>5077</v>
      </c>
      <c r="D1519" s="2" t="s">
        <v>15</v>
      </c>
      <c r="E1519" s="2">
        <v>10</v>
      </c>
      <c r="F1519" s="2">
        <v>155.16</v>
      </c>
    </row>
    <row r="1521" spans="1:7" x14ac:dyDescent="0.25">
      <c r="A1521" s="1">
        <v>46185</v>
      </c>
      <c r="B1521" s="2" t="s">
        <v>71</v>
      </c>
      <c r="C1521" s="2" t="s">
        <v>5078</v>
      </c>
      <c r="D1521" s="2" t="s">
        <v>82</v>
      </c>
      <c r="E1521" s="2">
        <v>121</v>
      </c>
      <c r="G1521" s="1">
        <v>46186</v>
      </c>
    </row>
    <row r="1522" spans="3:5" x14ac:dyDescent="0.25">
      <c r="C1522" s="2" t="s">
        <v>5079</v>
      </c>
      <c r="D1522" s="2" t="s">
        <v>82</v>
      </c>
      <c r="E1522" s="2">
        <v>121</v>
      </c>
    </row>
    <row r="1523" spans="3:5" x14ac:dyDescent="0.25">
      <c r="C1523" s="2" t="s">
        <v>5080</v>
      </c>
      <c r="D1523" s="2" t="s">
        <v>82</v>
      </c>
      <c r="E1523" s="2">
        <v>141</v>
      </c>
    </row>
    <row r="1524" spans="3:5" x14ac:dyDescent="0.25">
      <c r="C1524" s="2" t="s">
        <v>5081</v>
      </c>
      <c r="D1524" s="2" t="s">
        <v>82</v>
      </c>
      <c r="E1524" s="2">
        <v>141</v>
      </c>
    </row>
    <row r="1525" spans="3:5" x14ac:dyDescent="0.25">
      <c r="C1525" s="2" t="s">
        <v>5082</v>
      </c>
      <c r="D1525" s="2" t="s">
        <v>82</v>
      </c>
      <c r="E1525" s="2">
        <v>101</v>
      </c>
    </row>
    <row r="1527" spans="1:7" x14ac:dyDescent="0.25">
      <c r="A1527" s="1">
        <v>46185</v>
      </c>
      <c r="B1527" s="2" t="s">
        <v>71</v>
      </c>
      <c r="C1527" s="2" t="s">
        <v>5083</v>
      </c>
      <c r="D1527" s="2" t="s">
        <v>73</v>
      </c>
      <c r="E1527" s="2">
        <v>98</v>
      </c>
      <c r="F1527" s="2">
        <v>1926.35</v>
      </c>
      <c r="G1527" s="1">
        <v>46184</v>
      </c>
    </row>
    <row r="1528" spans="3:6" x14ac:dyDescent="0.25">
      <c r="C1528" s="2" t="s">
        <v>5084</v>
      </c>
      <c r="D1528" s="2" t="s">
        <v>73</v>
      </c>
      <c r="E1528" s="2">
        <v>93</v>
      </c>
      <c r="F1528" s="2">
        <v>1733.789</v>
      </c>
    </row>
    <row r="1529" spans="3:6" x14ac:dyDescent="0.25">
      <c r="C1529" s="2" t="s">
        <v>5085</v>
      </c>
      <c r="D1529" s="2" t="s">
        <v>73</v>
      </c>
      <c r="E1529" s="2">
        <v>43</v>
      </c>
      <c r="F1529" s="2">
        <v>767.11</v>
      </c>
    </row>
    <row r="1530" spans="3:6" x14ac:dyDescent="0.25">
      <c r="C1530" s="2" t="s">
        <v>5086</v>
      </c>
      <c r="D1530" s="2" t="s">
        <v>73</v>
      </c>
      <c r="E1530" s="2">
        <v>43</v>
      </c>
      <c r="F1530" s="2">
        <v>925.02</v>
      </c>
    </row>
    <row r="1532" spans="1:7" x14ac:dyDescent="0.25">
      <c r="A1532" s="1">
        <v>46185</v>
      </c>
      <c r="B1532" s="2" t="s">
        <v>3948</v>
      </c>
      <c r="C1532" s="2" t="s">
        <v>5087</v>
      </c>
      <c r="D1532" s="2" t="s">
        <v>178</v>
      </c>
      <c r="E1532" s="2">
        <v>102</v>
      </c>
      <c r="F1532" s="2">
        <v>2069.98</v>
      </c>
      <c r="G1532" s="1">
        <v>46184</v>
      </c>
    </row>
    <row r="1533" spans="3:6" x14ac:dyDescent="0.25">
      <c r="C1533" s="2" t="s">
        <v>5088</v>
      </c>
      <c r="D1533" s="2" t="s">
        <v>178</v>
      </c>
      <c r="E1533" s="2">
        <v>102</v>
      </c>
      <c r="F1533" s="2">
        <v>2096.83</v>
      </c>
    </row>
    <row r="1534" spans="3:6" x14ac:dyDescent="0.25">
      <c r="C1534" s="2" t="s">
        <v>5089</v>
      </c>
      <c r="D1534" s="2" t="s">
        <v>178</v>
      </c>
      <c r="E1534" s="2">
        <v>60</v>
      </c>
      <c r="F1534" s="2">
        <v>250.299</v>
      </c>
    </row>
    <row r="1535" spans="3:6" x14ac:dyDescent="0.25">
      <c r="C1535" s="2" t="s">
        <v>5090</v>
      </c>
      <c r="D1535" s="2" t="s">
        <v>178</v>
      </c>
      <c r="E1535" s="2">
        <v>141</v>
      </c>
      <c r="F1535" s="2">
        <v>2864.209</v>
      </c>
    </row>
    <row r="1536" spans="3:6" x14ac:dyDescent="0.25">
      <c r="C1536" s="2" t="s">
        <v>5091</v>
      </c>
      <c r="D1536" s="2" t="s">
        <v>178</v>
      </c>
      <c r="E1536" s="2">
        <v>142</v>
      </c>
      <c r="F1536" s="2">
        <v>2745.549</v>
      </c>
    </row>
    <row r="1537" spans="3:6" x14ac:dyDescent="0.25">
      <c r="C1537" s="2" t="s">
        <v>5092</v>
      </c>
      <c r="D1537" s="2" t="s">
        <v>178</v>
      </c>
      <c r="E1537" s="2">
        <v>102</v>
      </c>
      <c r="F1537" s="2">
        <v>1837.978</v>
      </c>
    </row>
    <row r="1538" spans="3:6" x14ac:dyDescent="0.25">
      <c r="C1538" s="2" t="s">
        <v>5093</v>
      </c>
      <c r="D1538" s="2" t="s">
        <v>178</v>
      </c>
      <c r="E1538" s="2">
        <v>62</v>
      </c>
      <c r="F1538" s="2">
        <v>1147.279</v>
      </c>
    </row>
    <row r="1539" spans="3:6" x14ac:dyDescent="0.25">
      <c r="C1539" s="2" t="s">
        <v>5094</v>
      </c>
      <c r="D1539" s="2" t="s">
        <v>178</v>
      </c>
      <c r="E1539" s="2">
        <v>40</v>
      </c>
      <c r="F1539" s="2">
        <v>761.679</v>
      </c>
    </row>
    <row r="1540" spans="3:6" x14ac:dyDescent="0.25">
      <c r="C1540" s="2" t="s">
        <v>5095</v>
      </c>
      <c r="D1540" s="2" t="s">
        <v>178</v>
      </c>
      <c r="E1540" s="2">
        <v>134</v>
      </c>
      <c r="F1540" s="2">
        <v>2595.018</v>
      </c>
    </row>
    <row r="1541" spans="3:6" x14ac:dyDescent="0.25">
      <c r="C1541" s="2" t="s">
        <v>5096</v>
      </c>
      <c r="D1541" s="2" t="s">
        <v>178</v>
      </c>
      <c r="E1541" s="2">
        <v>123</v>
      </c>
      <c r="F1541" s="2">
        <v>2347.359</v>
      </c>
    </row>
    <row r="1542" spans="3:6" x14ac:dyDescent="0.25">
      <c r="C1542" s="2" t="s">
        <v>5097</v>
      </c>
      <c r="D1542" s="2" t="s">
        <v>178</v>
      </c>
      <c r="E1542" s="2">
        <v>141</v>
      </c>
      <c r="F1542" s="2">
        <v>2703.86</v>
      </c>
    </row>
    <row r="1543" spans="3:6" x14ac:dyDescent="0.25">
      <c r="C1543" s="2" t="s">
        <v>5098</v>
      </c>
      <c r="D1543" s="2" t="s">
        <v>178</v>
      </c>
      <c r="E1543" s="2">
        <v>102</v>
      </c>
      <c r="F1543" s="2">
        <v>1956.43</v>
      </c>
    </row>
    <row r="1544" spans="3:6" x14ac:dyDescent="0.25">
      <c r="C1544" s="2" t="s">
        <v>5099</v>
      </c>
      <c r="D1544" s="2" t="s">
        <v>178</v>
      </c>
      <c r="E1544" s="2">
        <v>123</v>
      </c>
      <c r="F1544" s="2">
        <v>2467.749</v>
      </c>
    </row>
    <row r="1545" spans="3:6" x14ac:dyDescent="0.25">
      <c r="C1545" s="2" t="s">
        <v>5100</v>
      </c>
      <c r="D1545" s="2" t="s">
        <v>178</v>
      </c>
      <c r="E1545" s="2">
        <v>123</v>
      </c>
      <c r="F1545" s="2">
        <v>2534.19</v>
      </c>
    </row>
    <row r="1546" spans="3:6" x14ac:dyDescent="0.25">
      <c r="C1546" s="2" t="s">
        <v>5101</v>
      </c>
      <c r="D1546" s="2" t="s">
        <v>178</v>
      </c>
      <c r="E1546" s="2">
        <v>123</v>
      </c>
      <c r="F1546" s="2">
        <v>2500.6</v>
      </c>
    </row>
    <row r="1547" spans="3:6" x14ac:dyDescent="0.25">
      <c r="C1547" s="2" t="s">
        <v>5102</v>
      </c>
      <c r="D1547" s="2" t="s">
        <v>178</v>
      </c>
      <c r="E1547" s="2">
        <v>23</v>
      </c>
      <c r="F1547" s="2">
        <v>375.809</v>
      </c>
    </row>
    <row r="1548" spans="3:6" x14ac:dyDescent="0.25">
      <c r="C1548" s="2" t="s">
        <v>5103</v>
      </c>
      <c r="D1548" s="2" t="s">
        <v>178</v>
      </c>
      <c r="E1548" s="2">
        <v>55</v>
      </c>
      <c r="F1548" s="2">
        <v>1034.51</v>
      </c>
    </row>
    <row r="1549" spans="3:6" x14ac:dyDescent="0.25">
      <c r="C1549" s="2" t="s">
        <v>5104</v>
      </c>
      <c r="D1549" s="2" t="s">
        <v>178</v>
      </c>
      <c r="E1549" s="2">
        <v>63</v>
      </c>
      <c r="F1549" s="2">
        <v>1195.199</v>
      </c>
    </row>
    <row r="1550" spans="3:6" x14ac:dyDescent="0.25">
      <c r="C1550" s="2" t="s">
        <v>5105</v>
      </c>
      <c r="D1550" s="2" t="s">
        <v>178</v>
      </c>
      <c r="E1550" s="2">
        <v>141</v>
      </c>
      <c r="F1550" s="2">
        <v>2829.87</v>
      </c>
    </row>
    <row r="1551" spans="3:6" x14ac:dyDescent="0.25">
      <c r="C1551" s="2" t="s">
        <v>5106</v>
      </c>
      <c r="D1551" s="2" t="s">
        <v>178</v>
      </c>
      <c r="E1551" s="2">
        <v>102</v>
      </c>
      <c r="F1551" s="2">
        <v>1715.569</v>
      </c>
    </row>
    <row r="1552" spans="3:6" x14ac:dyDescent="0.25">
      <c r="C1552" s="2" t="s">
        <v>5107</v>
      </c>
      <c r="D1552" s="2" t="s">
        <v>178</v>
      </c>
      <c r="E1552" s="2">
        <v>141</v>
      </c>
      <c r="F1552" s="2">
        <v>2798.889</v>
      </c>
    </row>
    <row r="1553" spans="3:6" x14ac:dyDescent="0.25">
      <c r="C1553" s="2" t="s">
        <v>5108</v>
      </c>
      <c r="D1553" s="2" t="s">
        <v>178</v>
      </c>
      <c r="E1553" s="2">
        <v>44</v>
      </c>
      <c r="F1553" s="2">
        <v>783.55</v>
      </c>
    </row>
    <row r="1554" spans="3:6" x14ac:dyDescent="0.25">
      <c r="C1554" s="2" t="s">
        <v>5109</v>
      </c>
      <c r="D1554" s="2" t="s">
        <v>178</v>
      </c>
      <c r="E1554" s="2">
        <v>59</v>
      </c>
      <c r="F1554" s="2">
        <v>1171.59</v>
      </c>
    </row>
    <row r="1555" spans="3:6" x14ac:dyDescent="0.25">
      <c r="C1555" s="2" t="s">
        <v>5110</v>
      </c>
      <c r="D1555" s="2" t="s">
        <v>178</v>
      </c>
      <c r="E1555" s="2">
        <v>39</v>
      </c>
      <c r="F1555" s="2">
        <v>758.539</v>
      </c>
    </row>
    <row r="1556" spans="3:6" x14ac:dyDescent="0.25">
      <c r="C1556" s="2" t="s">
        <v>5111</v>
      </c>
      <c r="D1556" s="2" t="s">
        <v>178</v>
      </c>
      <c r="E1556" s="2">
        <v>75</v>
      </c>
      <c r="F1556" s="2">
        <v>1406.729</v>
      </c>
    </row>
    <row r="1557" spans="3:6" x14ac:dyDescent="0.25">
      <c r="C1557" s="2" t="s">
        <v>5112</v>
      </c>
      <c r="D1557" s="2" t="s">
        <v>178</v>
      </c>
      <c r="E1557" s="2">
        <v>66</v>
      </c>
      <c r="F1557" s="2">
        <v>1264.249</v>
      </c>
    </row>
    <row r="1558" spans="3:6" x14ac:dyDescent="0.25">
      <c r="C1558" s="2" t="s">
        <v>5113</v>
      </c>
      <c r="D1558" s="2" t="s">
        <v>178</v>
      </c>
      <c r="E1558" s="2">
        <v>100</v>
      </c>
      <c r="F1558" s="2">
        <v>1622.959</v>
      </c>
    </row>
    <row r="1559" spans="3:6" x14ac:dyDescent="0.25">
      <c r="C1559" s="2" t="s">
        <v>5114</v>
      </c>
      <c r="D1559" s="2" t="s">
        <v>178</v>
      </c>
      <c r="E1559" s="2">
        <v>41</v>
      </c>
      <c r="F1559" s="2">
        <v>873.85</v>
      </c>
    </row>
    <row r="1560" spans="3:6" x14ac:dyDescent="0.25">
      <c r="C1560" s="2" t="s">
        <v>5115</v>
      </c>
      <c r="D1560" s="2" t="s">
        <v>178</v>
      </c>
      <c r="E1560" s="2">
        <v>141</v>
      </c>
      <c r="F1560" s="2">
        <v>2860.48</v>
      </c>
    </row>
    <row r="1561" spans="3:6" x14ac:dyDescent="0.25">
      <c r="C1561" s="2" t="s">
        <v>5116</v>
      </c>
      <c r="D1561" s="2" t="s">
        <v>178</v>
      </c>
      <c r="E1561" s="2">
        <v>102</v>
      </c>
      <c r="F1561" s="2">
        <v>2079.96</v>
      </c>
    </row>
    <row r="1562" spans="3:6" x14ac:dyDescent="0.25">
      <c r="C1562" s="2" t="s">
        <v>5117</v>
      </c>
      <c r="D1562" s="2" t="s">
        <v>178</v>
      </c>
      <c r="E1562" s="2">
        <v>34</v>
      </c>
      <c r="F1562" s="2">
        <v>648.62</v>
      </c>
    </row>
    <row r="1563" spans="3:6" x14ac:dyDescent="0.25">
      <c r="C1563" s="2" t="s">
        <v>5118</v>
      </c>
      <c r="D1563" s="2" t="s">
        <v>178</v>
      </c>
      <c r="E1563" s="2">
        <v>107</v>
      </c>
      <c r="F1563" s="2">
        <v>2181.119</v>
      </c>
    </row>
    <row r="1564" spans="3:6" x14ac:dyDescent="0.25">
      <c r="C1564" s="2" t="s">
        <v>5119</v>
      </c>
      <c r="D1564" s="2" t="s">
        <v>178</v>
      </c>
      <c r="E1564" s="2">
        <v>82</v>
      </c>
      <c r="F1564" s="2">
        <v>1614.35</v>
      </c>
    </row>
    <row r="1565" spans="3:6" x14ac:dyDescent="0.25">
      <c r="C1565" s="2" t="s">
        <v>5120</v>
      </c>
      <c r="D1565" s="2" t="s">
        <v>178</v>
      </c>
      <c r="E1565" s="2">
        <v>59</v>
      </c>
      <c r="F1565" s="2">
        <v>1143.91</v>
      </c>
    </row>
    <row r="1566" spans="3:6" x14ac:dyDescent="0.25">
      <c r="C1566" s="2" t="s">
        <v>5121</v>
      </c>
      <c r="D1566" s="2" t="s">
        <v>178</v>
      </c>
      <c r="E1566" s="2">
        <v>141</v>
      </c>
      <c r="F1566" s="2">
        <v>2929.48</v>
      </c>
    </row>
    <row r="1567" spans="3:6" x14ac:dyDescent="0.25">
      <c r="C1567" s="2" t="s">
        <v>5122</v>
      </c>
      <c r="D1567" s="2" t="s">
        <v>178</v>
      </c>
      <c r="E1567" s="2">
        <v>29</v>
      </c>
      <c r="F1567" s="2">
        <v>467.23</v>
      </c>
    </row>
    <row r="1568" spans="3:6" x14ac:dyDescent="0.25">
      <c r="C1568" s="2" t="s">
        <v>5123</v>
      </c>
      <c r="D1568" s="2" t="s">
        <v>178</v>
      </c>
      <c r="E1568" s="2">
        <v>42</v>
      </c>
      <c r="F1568" s="2">
        <v>747.939</v>
      </c>
    </row>
    <row r="1569" spans="3:6" x14ac:dyDescent="0.25">
      <c r="C1569" s="2" t="s">
        <v>5124</v>
      </c>
      <c r="D1569" s="2" t="s">
        <v>178</v>
      </c>
      <c r="E1569" s="2">
        <v>2</v>
      </c>
      <c r="F1569" s="2" t="s">
        <v>4167</v>
      </c>
    </row>
    <row r="1570" spans="3:6" x14ac:dyDescent="0.25">
      <c r="C1570" s="2" t="s">
        <v>5125</v>
      </c>
      <c r="D1570" s="2" t="s">
        <v>178</v>
      </c>
      <c r="E1570" s="2">
        <v>2</v>
      </c>
      <c r="F1570" s="2" t="s">
        <v>4167</v>
      </c>
    </row>
    <row r="1571" spans="3:6" x14ac:dyDescent="0.25">
      <c r="C1571" s="2" t="s">
        <v>5126</v>
      </c>
      <c r="D1571" s="2" t="s">
        <v>178</v>
      </c>
      <c r="E1571" s="2">
        <v>142</v>
      </c>
      <c r="F1571" s="2">
        <v>2771.88</v>
      </c>
    </row>
    <row r="1572" spans="3:6" x14ac:dyDescent="0.25">
      <c r="C1572" s="2" t="s">
        <v>5127</v>
      </c>
      <c r="D1572" s="2" t="s">
        <v>178</v>
      </c>
      <c r="E1572" s="2">
        <v>45</v>
      </c>
      <c r="F1572" s="2">
        <v>844.54</v>
      </c>
    </row>
    <row r="1573" spans="3:6" x14ac:dyDescent="0.25">
      <c r="C1573" s="2" t="s">
        <v>5128</v>
      </c>
      <c r="D1573" s="2" t="s">
        <v>178</v>
      </c>
      <c r="E1573" s="2">
        <v>96</v>
      </c>
      <c r="F1573" s="2">
        <v>1844.909</v>
      </c>
    </row>
    <row r="1574" spans="3:6" x14ac:dyDescent="0.25">
      <c r="C1574" s="2" t="s">
        <v>5129</v>
      </c>
      <c r="D1574" s="2" t="s">
        <v>178</v>
      </c>
      <c r="E1574" s="2">
        <v>141</v>
      </c>
      <c r="F1574" s="2">
        <v>2843.779</v>
      </c>
    </row>
    <row r="1575" spans="3:6" x14ac:dyDescent="0.25">
      <c r="C1575" s="2" t="s">
        <v>5130</v>
      </c>
      <c r="D1575" s="2" t="s">
        <v>178</v>
      </c>
      <c r="E1575" s="2">
        <v>46</v>
      </c>
      <c r="F1575" s="2">
        <v>873.24</v>
      </c>
    </row>
    <row r="1576" spans="3:6" x14ac:dyDescent="0.25">
      <c r="C1576" s="2" t="s">
        <v>5131</v>
      </c>
      <c r="D1576" s="2" t="s">
        <v>178</v>
      </c>
      <c r="E1576" s="2">
        <v>95</v>
      </c>
      <c r="F1576" s="2">
        <v>1904.899</v>
      </c>
    </row>
    <row r="1577" spans="3:6" x14ac:dyDescent="0.25">
      <c r="C1577" s="2" t="s">
        <v>5132</v>
      </c>
      <c r="D1577" s="2" t="s">
        <v>178</v>
      </c>
      <c r="E1577" s="2">
        <v>49</v>
      </c>
      <c r="F1577" s="2">
        <v>992.57</v>
      </c>
    </row>
    <row r="1578" spans="3:6" x14ac:dyDescent="0.25">
      <c r="C1578" s="2" t="s">
        <v>5133</v>
      </c>
      <c r="D1578" s="2" t="s">
        <v>178</v>
      </c>
      <c r="E1578" s="2">
        <v>92</v>
      </c>
      <c r="F1578" s="2">
        <v>1674.18</v>
      </c>
    </row>
    <row r="1579" spans="3:6" x14ac:dyDescent="0.25">
      <c r="C1579" s="2" t="s">
        <v>5134</v>
      </c>
      <c r="D1579" s="2" t="s">
        <v>178</v>
      </c>
      <c r="E1579" s="2">
        <v>46</v>
      </c>
      <c r="F1579" s="2">
        <v>883.62</v>
      </c>
    </row>
    <row r="1580" spans="3:6" x14ac:dyDescent="0.25">
      <c r="C1580" s="2" t="s">
        <v>5135</v>
      </c>
      <c r="D1580" s="2" t="s">
        <v>178</v>
      </c>
      <c r="E1580" s="2">
        <v>32</v>
      </c>
      <c r="F1580" s="2">
        <v>653.11</v>
      </c>
    </row>
    <row r="1581" spans="3:6" x14ac:dyDescent="0.25">
      <c r="C1581" s="2" t="s">
        <v>5136</v>
      </c>
      <c r="D1581" s="2" t="s">
        <v>178</v>
      </c>
      <c r="E1581" s="2">
        <v>65</v>
      </c>
      <c r="F1581" s="2">
        <v>1272.21</v>
      </c>
    </row>
    <row r="1583" spans="1:7" x14ac:dyDescent="0.25">
      <c r="A1583" s="1">
        <v>46185</v>
      </c>
      <c r="B1583" s="2" t="s">
        <v>5137</v>
      </c>
      <c r="C1583" s="2" t="s">
        <v>5138</v>
      </c>
      <c r="D1583" s="2" t="s">
        <v>15</v>
      </c>
      <c r="E1583" s="2">
        <v>91</v>
      </c>
      <c r="F1583" s="2">
        <v>2074.24</v>
      </c>
      <c r="G1583" s="1">
        <v>46183</v>
      </c>
    </row>
    <row r="1585" spans="1:7" x14ac:dyDescent="0.25">
      <c r="A1585" s="1">
        <v>46185</v>
      </c>
      <c r="B1585" s="2" t="s">
        <v>989</v>
      </c>
      <c r="C1585" s="2" t="s">
        <v>5139</v>
      </c>
      <c r="D1585" s="2" t="s">
        <v>9</v>
      </c>
      <c r="E1585" s="2">
        <v>151</v>
      </c>
      <c r="F1585" s="2">
        <v>3096.192</v>
      </c>
      <c r="G1585" s="1">
        <v>46186</v>
      </c>
    </row>
    <row r="1586" spans="3:6" x14ac:dyDescent="0.25">
      <c r="C1586" s="2" t="s">
        <v>5140</v>
      </c>
      <c r="D1586" s="2" t="s">
        <v>9</v>
      </c>
      <c r="E1586" s="2">
        <v>156</v>
      </c>
      <c r="F1586" s="2">
        <v>2952.343</v>
      </c>
    </row>
    <row r="1587" spans="3:6" x14ac:dyDescent="0.25">
      <c r="C1587" s="2" t="s">
        <v>5141</v>
      </c>
      <c r="D1587" s="2" t="s">
        <v>9</v>
      </c>
      <c r="E1587" s="2">
        <v>76</v>
      </c>
      <c r="F1587" s="2">
        <v>1617.24</v>
      </c>
    </row>
    <row r="1589" spans="1:7" x14ac:dyDescent="0.25">
      <c r="A1589" s="1">
        <v>46185</v>
      </c>
      <c r="B1589" s="2" t="s">
        <v>7</v>
      </c>
      <c r="C1589" s="2" t="s">
        <v>5142</v>
      </c>
      <c r="D1589" s="2" t="s">
        <v>9</v>
      </c>
      <c r="E1589" s="2">
        <v>69</v>
      </c>
      <c r="F1589" s="2">
        <v>1306.55</v>
      </c>
      <c r="G1589" s="1">
        <v>46186</v>
      </c>
    </row>
    <row r="1590" spans="3:6" x14ac:dyDescent="0.25">
      <c r="C1590" s="2" t="s">
        <v>5143</v>
      </c>
      <c r="D1590" s="2" t="s">
        <v>9</v>
      </c>
      <c r="E1590" s="2">
        <v>67</v>
      </c>
      <c r="F1590" s="2">
        <v>1306.79</v>
      </c>
    </row>
    <row r="1592" spans="1:7" x14ac:dyDescent="0.25">
      <c r="A1592" s="1">
        <v>46185</v>
      </c>
      <c r="B1592" s="2" t="s">
        <v>897</v>
      </c>
      <c r="C1592" s="2" t="s">
        <v>5144</v>
      </c>
      <c r="D1592" s="2" t="s">
        <v>292</v>
      </c>
      <c r="E1592" s="2">
        <v>36</v>
      </c>
      <c r="F1592" s="2">
        <v>722.619</v>
      </c>
      <c r="G1592" s="1">
        <v>46202</v>
      </c>
    </row>
    <row r="1593" spans="3:6" x14ac:dyDescent="0.25">
      <c r="C1593" s="2" t="s">
        <v>5145</v>
      </c>
      <c r="D1593" s="2" t="s">
        <v>292</v>
      </c>
      <c r="E1593" s="2">
        <v>141</v>
      </c>
      <c r="F1593" s="2">
        <v>2976.84</v>
      </c>
    </row>
    <row r="1594" spans="3:6" x14ac:dyDescent="0.25">
      <c r="C1594" s="2" t="s">
        <v>5146</v>
      </c>
      <c r="D1594" s="2" t="s">
        <v>292</v>
      </c>
      <c r="E1594" s="2">
        <v>26</v>
      </c>
      <c r="F1594" s="2">
        <v>502.88</v>
      </c>
    </row>
    <row r="1595" spans="3:6" x14ac:dyDescent="0.25">
      <c r="C1595" s="2" t="s">
        <v>5147</v>
      </c>
      <c r="D1595" s="2" t="s">
        <v>292</v>
      </c>
      <c r="E1595" s="2">
        <v>104</v>
      </c>
      <c r="F1595" s="2">
        <v>2196.12</v>
      </c>
    </row>
    <row r="1596" spans="3:6" x14ac:dyDescent="0.25">
      <c r="C1596" s="2" t="s">
        <v>5148</v>
      </c>
      <c r="D1596" s="2" t="s">
        <v>292</v>
      </c>
      <c r="E1596" s="2">
        <v>50</v>
      </c>
      <c r="F1596" s="2">
        <v>241.61</v>
      </c>
    </row>
    <row r="1597" spans="3:6" x14ac:dyDescent="0.25">
      <c r="C1597" s="2" t="s">
        <v>5149</v>
      </c>
      <c r="D1597" s="2" t="s">
        <v>292</v>
      </c>
      <c r="E1597" s="2">
        <v>121</v>
      </c>
      <c r="F1597" s="2">
        <v>2161.126</v>
      </c>
    </row>
    <row r="1598" spans="3:6" x14ac:dyDescent="0.25">
      <c r="C1598" s="2" t="s">
        <v>5150</v>
      </c>
      <c r="D1598" s="2" t="s">
        <v>292</v>
      </c>
      <c r="E1598" s="2">
        <v>78</v>
      </c>
      <c r="F1598" s="2">
        <v>1541.019</v>
      </c>
    </row>
    <row r="1599" spans="3:6" x14ac:dyDescent="0.25">
      <c r="C1599" s="2" t="s">
        <v>5151</v>
      </c>
      <c r="D1599" s="2" t="s">
        <v>292</v>
      </c>
      <c r="E1599" s="2">
        <v>141</v>
      </c>
      <c r="F1599" s="2">
        <v>2907.85</v>
      </c>
    </row>
    <row r="1600" spans="3:6" x14ac:dyDescent="0.25">
      <c r="C1600" s="2" t="s">
        <v>5152</v>
      </c>
      <c r="D1600" s="2" t="s">
        <v>292</v>
      </c>
      <c r="E1600" s="2">
        <v>65</v>
      </c>
      <c r="F1600" s="2">
        <v>1304.61</v>
      </c>
    </row>
    <row r="1601" spans="3:6" x14ac:dyDescent="0.25">
      <c r="C1601" s="2" t="s">
        <v>5153</v>
      </c>
      <c r="D1601" s="2" t="s">
        <v>292</v>
      </c>
      <c r="E1601" s="2">
        <v>11</v>
      </c>
      <c r="F1601" s="2">
        <v>202.36</v>
      </c>
    </row>
    <row r="1602" spans="3:6" x14ac:dyDescent="0.25">
      <c r="C1602" s="2" t="s">
        <v>5154</v>
      </c>
      <c r="D1602" s="2" t="s">
        <v>292</v>
      </c>
      <c r="E1602" s="2">
        <v>45</v>
      </c>
      <c r="F1602" s="2">
        <v>221.33</v>
      </c>
    </row>
    <row r="1603" spans="3:6" x14ac:dyDescent="0.25">
      <c r="C1603" s="2" t="s">
        <v>5155</v>
      </c>
      <c r="D1603" s="2" t="s">
        <v>292</v>
      </c>
      <c r="E1603" s="2">
        <v>141</v>
      </c>
      <c r="F1603" s="2">
        <v>1360.071</v>
      </c>
    </row>
    <row r="1604" spans="3:6" x14ac:dyDescent="0.25">
      <c r="C1604" s="2" t="s">
        <v>5156</v>
      </c>
      <c r="D1604" s="2" t="s">
        <v>292</v>
      </c>
      <c r="E1604" s="2">
        <v>141</v>
      </c>
      <c r="F1604" s="2">
        <v>3167.05</v>
      </c>
    </row>
    <row r="1605" spans="3:6" x14ac:dyDescent="0.25">
      <c r="C1605" s="2" t="s">
        <v>5157</v>
      </c>
      <c r="D1605" s="2" t="s">
        <v>292</v>
      </c>
      <c r="E1605" s="2">
        <v>141</v>
      </c>
      <c r="F1605" s="2">
        <v>2868.45</v>
      </c>
    </row>
    <row r="1606" spans="3:6" x14ac:dyDescent="0.25">
      <c r="C1606" s="2" t="s">
        <v>5158</v>
      </c>
      <c r="D1606" s="2" t="s">
        <v>292</v>
      </c>
      <c r="E1606" s="2">
        <v>141</v>
      </c>
      <c r="F1606" s="2">
        <v>2862.24</v>
      </c>
    </row>
    <row r="1607" spans="3:6" x14ac:dyDescent="0.25">
      <c r="C1607" s="2" t="s">
        <v>5159</v>
      </c>
      <c r="D1607" s="2" t="s">
        <v>292</v>
      </c>
      <c r="E1607" s="2">
        <v>29</v>
      </c>
      <c r="F1607" s="2">
        <v>515.03</v>
      </c>
    </row>
    <row r="1608" spans="3:6" x14ac:dyDescent="0.25">
      <c r="C1608" s="2" t="s">
        <v>5160</v>
      </c>
      <c r="D1608" s="2" t="s">
        <v>292</v>
      </c>
      <c r="E1608" s="2">
        <v>94</v>
      </c>
      <c r="F1608" s="2">
        <v>1891</v>
      </c>
    </row>
    <row r="1609" spans="3:6" x14ac:dyDescent="0.25">
      <c r="C1609" s="2" t="s">
        <v>5161</v>
      </c>
      <c r="D1609" s="2" t="s">
        <v>292</v>
      </c>
      <c r="E1609" s="2">
        <v>71</v>
      </c>
      <c r="F1609" s="2">
        <v>1464.11</v>
      </c>
    </row>
    <row r="1610" spans="3:6" x14ac:dyDescent="0.25">
      <c r="C1610" s="2" t="s">
        <v>5162</v>
      </c>
      <c r="D1610" s="2" t="s">
        <v>292</v>
      </c>
      <c r="E1610" s="2">
        <v>12</v>
      </c>
      <c r="F1610" s="2">
        <v>167.56</v>
      </c>
    </row>
    <row r="1611" spans="3:6" x14ac:dyDescent="0.25">
      <c r="C1611" s="2" t="s">
        <v>5163</v>
      </c>
      <c r="D1611" s="2" t="s">
        <v>292</v>
      </c>
      <c r="E1611" s="2">
        <v>17</v>
      </c>
      <c r="F1611" s="2">
        <v>300.339</v>
      </c>
    </row>
    <row r="1612" spans="3:6" x14ac:dyDescent="0.25">
      <c r="C1612" s="2" t="s">
        <v>5164</v>
      </c>
      <c r="D1612" s="2" t="s">
        <v>292</v>
      </c>
      <c r="E1612" s="2">
        <v>124</v>
      </c>
      <c r="F1612" s="2">
        <v>2154.77</v>
      </c>
    </row>
    <row r="1613" spans="3:6" x14ac:dyDescent="0.25">
      <c r="C1613" s="2" t="s">
        <v>5165</v>
      </c>
      <c r="D1613" s="2" t="s">
        <v>292</v>
      </c>
      <c r="E1613" s="2">
        <v>99</v>
      </c>
      <c r="F1613" s="2">
        <v>1932.26</v>
      </c>
    </row>
    <row r="1614" spans="3:6" x14ac:dyDescent="0.25">
      <c r="C1614" s="2" t="s">
        <v>5166</v>
      </c>
      <c r="D1614" s="2" t="s">
        <v>292</v>
      </c>
      <c r="E1614" s="2">
        <v>42</v>
      </c>
      <c r="F1614" s="2">
        <v>838.32</v>
      </c>
    </row>
    <row r="1615" spans="3:6" x14ac:dyDescent="0.25">
      <c r="C1615" s="2" t="s">
        <v>5167</v>
      </c>
      <c r="D1615" s="2" t="s">
        <v>292</v>
      </c>
      <c r="E1615" s="2">
        <v>141</v>
      </c>
      <c r="F1615" s="2">
        <v>2859.189</v>
      </c>
    </row>
    <row r="1616" spans="3:6" x14ac:dyDescent="0.25">
      <c r="C1616" s="2" t="s">
        <v>5168</v>
      </c>
      <c r="D1616" s="2" t="s">
        <v>292</v>
      </c>
      <c r="E1616" s="2">
        <v>60</v>
      </c>
      <c r="F1616" s="2">
        <v>317.27</v>
      </c>
    </row>
    <row r="1617" spans="3:6" x14ac:dyDescent="0.25">
      <c r="C1617" s="2" t="s">
        <v>5169</v>
      </c>
      <c r="D1617" s="2" t="s">
        <v>292</v>
      </c>
      <c r="E1617" s="2">
        <v>141</v>
      </c>
      <c r="F1617" s="2">
        <v>1450.164</v>
      </c>
    </row>
    <row r="1618" spans="3:6" x14ac:dyDescent="0.25">
      <c r="C1618" s="2" t="s">
        <v>5170</v>
      </c>
      <c r="D1618" s="2" t="s">
        <v>292</v>
      </c>
      <c r="E1618" s="2">
        <v>87</v>
      </c>
      <c r="F1618" s="2">
        <v>1775.259</v>
      </c>
    </row>
    <row r="1619" spans="3:6" x14ac:dyDescent="0.25">
      <c r="C1619" s="2" t="s">
        <v>5171</v>
      </c>
      <c r="D1619" s="2" t="s">
        <v>292</v>
      </c>
      <c r="E1619" s="2">
        <v>142</v>
      </c>
      <c r="F1619" s="2">
        <v>2885.1</v>
      </c>
    </row>
    <row r="1620" spans="3:6" x14ac:dyDescent="0.25">
      <c r="C1620" s="2" t="s">
        <v>5172</v>
      </c>
      <c r="D1620" s="2" t="s">
        <v>292</v>
      </c>
      <c r="E1620" s="2">
        <v>50</v>
      </c>
      <c r="F1620" s="2">
        <v>1123.32</v>
      </c>
    </row>
    <row r="1621" spans="3:6" x14ac:dyDescent="0.25">
      <c r="C1621" s="2" t="s">
        <v>5173</v>
      </c>
      <c r="D1621" s="2" t="s">
        <v>292</v>
      </c>
      <c r="E1621" s="2">
        <v>47</v>
      </c>
      <c r="F1621" s="2">
        <v>977.388</v>
      </c>
    </row>
    <row r="1622" spans="3:6" x14ac:dyDescent="0.25">
      <c r="C1622" s="2" t="s">
        <v>5174</v>
      </c>
      <c r="D1622" s="2" t="s">
        <v>292</v>
      </c>
      <c r="E1622" s="2">
        <v>36</v>
      </c>
      <c r="F1622" s="2">
        <v>744.639</v>
      </c>
    </row>
    <row r="1623" spans="3:6" x14ac:dyDescent="0.25">
      <c r="C1623" s="2" t="s">
        <v>5175</v>
      </c>
      <c r="D1623" s="2" t="s">
        <v>292</v>
      </c>
      <c r="E1623" s="2">
        <v>102</v>
      </c>
      <c r="F1623" s="2">
        <v>2055.47</v>
      </c>
    </row>
    <row r="1624" spans="3:6" x14ac:dyDescent="0.25">
      <c r="C1624" s="2" t="s">
        <v>5176</v>
      </c>
      <c r="D1624" s="2" t="s">
        <v>292</v>
      </c>
      <c r="E1624" s="2">
        <v>102</v>
      </c>
      <c r="F1624" s="2">
        <v>2118.399</v>
      </c>
    </row>
    <row r="1625" spans="3:6" x14ac:dyDescent="0.25">
      <c r="C1625" s="2" t="s">
        <v>5177</v>
      </c>
      <c r="D1625" s="2" t="s">
        <v>292</v>
      </c>
      <c r="E1625" s="2">
        <v>102</v>
      </c>
      <c r="F1625" s="2">
        <v>2115.08</v>
      </c>
    </row>
    <row r="1626" spans="3:6" x14ac:dyDescent="0.25">
      <c r="C1626" s="2" t="s">
        <v>5178</v>
      </c>
      <c r="D1626" s="2" t="s">
        <v>292</v>
      </c>
      <c r="E1626" s="2">
        <v>49</v>
      </c>
      <c r="F1626" s="2">
        <v>1009.32</v>
      </c>
    </row>
    <row r="1627" spans="3:6" x14ac:dyDescent="0.25">
      <c r="C1627" s="2" t="s">
        <v>5179</v>
      </c>
      <c r="D1627" s="2" t="s">
        <v>292</v>
      </c>
      <c r="E1627" s="2">
        <v>59</v>
      </c>
      <c r="F1627" s="2">
        <v>1306.84</v>
      </c>
    </row>
    <row r="1628" spans="3:6" x14ac:dyDescent="0.25">
      <c r="C1628" s="2" t="s">
        <v>5180</v>
      </c>
      <c r="D1628" s="2" t="s">
        <v>292</v>
      </c>
      <c r="E1628" s="2">
        <v>71</v>
      </c>
      <c r="F1628" s="2">
        <v>1439.88</v>
      </c>
    </row>
    <row r="1629" spans="3:6" x14ac:dyDescent="0.25">
      <c r="C1629" s="2" t="s">
        <v>5181</v>
      </c>
      <c r="D1629" s="2" t="s">
        <v>292</v>
      </c>
      <c r="E1629" s="2">
        <v>10</v>
      </c>
      <c r="F1629" s="2">
        <v>119.45</v>
      </c>
    </row>
    <row r="1630" spans="3:6" x14ac:dyDescent="0.25">
      <c r="C1630" s="2" t="s">
        <v>5182</v>
      </c>
      <c r="D1630" s="2" t="s">
        <v>292</v>
      </c>
      <c r="E1630" s="2">
        <v>55</v>
      </c>
      <c r="F1630" s="2">
        <v>1157.15</v>
      </c>
    </row>
    <row r="1631" spans="3:6" x14ac:dyDescent="0.25">
      <c r="C1631" s="2" t="s">
        <v>5183</v>
      </c>
      <c r="D1631" s="2" t="s">
        <v>292</v>
      </c>
      <c r="E1631" s="2">
        <v>63</v>
      </c>
      <c r="F1631" s="2">
        <v>1280.65</v>
      </c>
    </row>
    <row r="1632" spans="3:6" x14ac:dyDescent="0.25">
      <c r="C1632" s="2" t="s">
        <v>5184</v>
      </c>
      <c r="D1632" s="2" t="s">
        <v>292</v>
      </c>
      <c r="E1632" s="2">
        <v>78</v>
      </c>
      <c r="F1632" s="2">
        <v>1551.06</v>
      </c>
    </row>
    <row r="1633" spans="3:6" x14ac:dyDescent="0.25">
      <c r="C1633" s="2" t="s">
        <v>5185</v>
      </c>
      <c r="D1633" s="2" t="s">
        <v>292</v>
      </c>
      <c r="E1633" s="2">
        <v>62</v>
      </c>
      <c r="F1633" s="2">
        <v>1039.476</v>
      </c>
    </row>
    <row r="1634" spans="3:6" x14ac:dyDescent="0.25">
      <c r="C1634" s="2" t="s">
        <v>5186</v>
      </c>
      <c r="D1634" s="2" t="s">
        <v>292</v>
      </c>
      <c r="E1634" s="2">
        <v>102</v>
      </c>
      <c r="F1634" s="2">
        <v>2077.72</v>
      </c>
    </row>
    <row r="1635" spans="3:6" x14ac:dyDescent="0.25">
      <c r="C1635" s="2" t="s">
        <v>5187</v>
      </c>
      <c r="D1635" s="2" t="s">
        <v>292</v>
      </c>
      <c r="E1635" s="2">
        <v>39</v>
      </c>
      <c r="F1635" s="2">
        <v>575.026</v>
      </c>
    </row>
    <row r="1636" spans="3:6" x14ac:dyDescent="0.25">
      <c r="C1636" s="2" t="s">
        <v>5188</v>
      </c>
      <c r="D1636" s="2" t="s">
        <v>292</v>
      </c>
      <c r="E1636" s="2">
        <v>102</v>
      </c>
      <c r="F1636" s="2">
        <v>2098.958</v>
      </c>
    </row>
    <row r="1637" spans="3:6" x14ac:dyDescent="0.25">
      <c r="C1637" s="2" t="s">
        <v>5189</v>
      </c>
      <c r="D1637" s="2" t="s">
        <v>292</v>
      </c>
      <c r="E1637" s="2">
        <v>102</v>
      </c>
      <c r="F1637" s="2">
        <v>1823.559</v>
      </c>
    </row>
    <row r="1638" spans="3:6" x14ac:dyDescent="0.25">
      <c r="C1638" s="2" t="s">
        <v>5190</v>
      </c>
      <c r="D1638" s="2" t="s">
        <v>292</v>
      </c>
      <c r="E1638" s="2">
        <v>173</v>
      </c>
      <c r="F1638" s="2">
        <v>0</v>
      </c>
    </row>
    <row r="1639" spans="3:6" x14ac:dyDescent="0.25">
      <c r="C1639" s="2" t="s">
        <v>5191</v>
      </c>
      <c r="D1639" s="2" t="s">
        <v>292</v>
      </c>
      <c r="E1639" s="2">
        <v>144</v>
      </c>
      <c r="F1639" s="2">
        <v>0</v>
      </c>
    </row>
    <row r="1640" spans="3:6" x14ac:dyDescent="0.25">
      <c r="C1640" s="2" t="s">
        <v>5175</v>
      </c>
      <c r="D1640" s="2" t="s">
        <v>292</v>
      </c>
      <c r="E1640" s="2">
        <v>102</v>
      </c>
      <c r="F1640" s="2">
        <v>0</v>
      </c>
    </row>
    <row r="1641" spans="3:6" x14ac:dyDescent="0.25">
      <c r="C1641" s="2" t="s">
        <v>5177</v>
      </c>
      <c r="D1641" s="2" t="s">
        <v>292</v>
      </c>
      <c r="E1641" s="2">
        <v>102</v>
      </c>
      <c r="F1641" s="2">
        <v>0</v>
      </c>
    </row>
    <row r="1642" spans="3:6" x14ac:dyDescent="0.25">
      <c r="C1642" s="2" t="s">
        <v>5176</v>
      </c>
      <c r="D1642" s="2" t="s">
        <v>292</v>
      </c>
      <c r="E1642" s="2">
        <v>102</v>
      </c>
      <c r="F1642" s="2">
        <v>0</v>
      </c>
    </row>
    <row r="1643" spans="3:6" x14ac:dyDescent="0.25">
      <c r="C1643" s="2" t="s">
        <v>5189</v>
      </c>
      <c r="D1643" s="2" t="s">
        <v>292</v>
      </c>
      <c r="E1643" s="2">
        <v>102</v>
      </c>
      <c r="F1643" s="2">
        <v>0</v>
      </c>
    </row>
    <row r="1644" spans="3:6" x14ac:dyDescent="0.25">
      <c r="C1644" s="2" t="s">
        <v>5188</v>
      </c>
      <c r="D1644" s="2" t="s">
        <v>292</v>
      </c>
      <c r="E1644" s="2">
        <v>102</v>
      </c>
      <c r="F1644" s="2">
        <v>0</v>
      </c>
    </row>
    <row r="1646" spans="1:7" x14ac:dyDescent="0.25">
      <c r="A1646" s="1">
        <v>46185</v>
      </c>
      <c r="B1646" s="2" t="s">
        <v>290</v>
      </c>
      <c r="C1646" s="2" t="s">
        <v>5192</v>
      </c>
      <c r="D1646" s="2" t="s">
        <v>178</v>
      </c>
      <c r="E1646" s="2">
        <v>141</v>
      </c>
      <c r="F1646" s="2">
        <v>2882.971</v>
      </c>
      <c r="G1646" s="1">
        <v>46186</v>
      </c>
    </row>
    <row r="1648" spans="1:7" x14ac:dyDescent="0.25">
      <c r="A1648" s="1">
        <v>46185</v>
      </c>
      <c r="B1648" s="2" t="s">
        <v>4254</v>
      </c>
      <c r="C1648" s="2" t="s">
        <v>5193</v>
      </c>
      <c r="D1648" s="2" t="s">
        <v>4096</v>
      </c>
      <c r="E1648" s="2">
        <v>100</v>
      </c>
      <c r="F1648" s="2">
        <v>1951.52</v>
      </c>
      <c r="G1648" s="1">
        <v>46185</v>
      </c>
    </row>
    <row r="1650" spans="1:7" x14ac:dyDescent="0.25">
      <c r="A1650" s="1">
        <v>46185</v>
      </c>
      <c r="B1650" s="2" t="s">
        <v>4259</v>
      </c>
      <c r="C1650" s="2" t="s">
        <v>5194</v>
      </c>
      <c r="D1650" s="2" t="s">
        <v>15</v>
      </c>
      <c r="E1650" s="2">
        <v>299</v>
      </c>
      <c r="F1650" s="2">
        <v>852.88</v>
      </c>
      <c r="G1650" s="1">
        <v>46186</v>
      </c>
    </row>
    <row r="1651" spans="3:6" x14ac:dyDescent="0.25">
      <c r="C1651" s="2" t="s">
        <v>5195</v>
      </c>
      <c r="D1651" s="2" t="s">
        <v>30</v>
      </c>
      <c r="E1651" s="2">
        <v>55</v>
      </c>
      <c r="F1651" s="2">
        <v>1098.01</v>
      </c>
    </row>
    <row r="1652" spans="3:6" x14ac:dyDescent="0.25">
      <c r="C1652" s="2" t="s">
        <v>5196</v>
      </c>
      <c r="D1652" s="2" t="s">
        <v>30</v>
      </c>
      <c r="E1652" s="2">
        <v>80</v>
      </c>
      <c r="F1652" s="2">
        <v>1346.388</v>
      </c>
    </row>
    <row r="1653" spans="3:6" x14ac:dyDescent="0.25">
      <c r="C1653" s="2" t="s">
        <v>5197</v>
      </c>
      <c r="D1653" s="2" t="s">
        <v>15</v>
      </c>
      <c r="E1653" s="2">
        <v>163</v>
      </c>
      <c r="F1653" s="2">
        <v>2776.719</v>
      </c>
    </row>
    <row r="1654" spans="3:6" x14ac:dyDescent="0.25">
      <c r="C1654" s="2" t="s">
        <v>5198</v>
      </c>
      <c r="D1654" s="2" t="s">
        <v>15</v>
      </c>
      <c r="E1654" s="2">
        <v>163</v>
      </c>
      <c r="F1654" s="2">
        <v>3116.27</v>
      </c>
    </row>
    <row r="1655" spans="3:6" x14ac:dyDescent="0.25">
      <c r="C1655" s="2" t="s">
        <v>5199</v>
      </c>
      <c r="D1655" s="2" t="s">
        <v>15</v>
      </c>
      <c r="E1655" s="2">
        <v>163</v>
      </c>
      <c r="F1655" s="2">
        <v>3131.809</v>
      </c>
    </row>
    <row r="1656" spans="3:6" x14ac:dyDescent="0.25">
      <c r="C1656" s="2" t="s">
        <v>5200</v>
      </c>
      <c r="D1656" s="2" t="s">
        <v>15</v>
      </c>
      <c r="E1656" s="2">
        <v>163</v>
      </c>
      <c r="F1656" s="2">
        <v>3064.229</v>
      </c>
    </row>
    <row r="1657" spans="3:6" x14ac:dyDescent="0.25">
      <c r="C1657" s="2" t="s">
        <v>5201</v>
      </c>
      <c r="D1657" s="2" t="s">
        <v>36</v>
      </c>
      <c r="E1657" s="2">
        <v>45</v>
      </c>
      <c r="F1657" s="2">
        <v>743</v>
      </c>
    </row>
    <row r="1658" spans="3:6" x14ac:dyDescent="0.25">
      <c r="C1658" s="2" t="s">
        <v>5202</v>
      </c>
      <c r="D1658" s="2" t="s">
        <v>36</v>
      </c>
      <c r="E1658" s="2">
        <v>60</v>
      </c>
      <c r="F1658" s="2">
        <v>1116.19</v>
      </c>
    </row>
    <row r="1659" spans="3:6" x14ac:dyDescent="0.25">
      <c r="C1659" s="2" t="s">
        <v>5203</v>
      </c>
      <c r="D1659" s="2" t="s">
        <v>36</v>
      </c>
      <c r="E1659" s="2">
        <v>13</v>
      </c>
      <c r="F1659" s="2">
        <v>250.45</v>
      </c>
    </row>
    <row r="1660" spans="3:6" x14ac:dyDescent="0.25">
      <c r="C1660" s="2" t="s">
        <v>5204</v>
      </c>
      <c r="D1660" s="2" t="s">
        <v>36</v>
      </c>
      <c r="E1660" s="2">
        <v>80</v>
      </c>
      <c r="F1660" s="2">
        <v>1525.56</v>
      </c>
    </row>
    <row r="1661" spans="3:6" x14ac:dyDescent="0.25">
      <c r="C1661" s="2" t="s">
        <v>5205</v>
      </c>
      <c r="D1661" s="2" t="s">
        <v>26</v>
      </c>
      <c r="E1661" s="2">
        <v>56</v>
      </c>
      <c r="F1661" s="2">
        <v>960.02</v>
      </c>
    </row>
    <row r="1662" spans="3:6" x14ac:dyDescent="0.25">
      <c r="C1662" s="2" t="s">
        <v>5206</v>
      </c>
      <c r="D1662" s="2" t="s">
        <v>26</v>
      </c>
      <c r="E1662" s="2">
        <v>100</v>
      </c>
      <c r="F1662" s="2">
        <v>1947.21</v>
      </c>
    </row>
    <row r="1663" spans="3:6" x14ac:dyDescent="0.25">
      <c r="C1663" s="2" t="s">
        <v>5207</v>
      </c>
      <c r="D1663" s="2" t="s">
        <v>26</v>
      </c>
      <c r="E1663" s="2">
        <v>100</v>
      </c>
      <c r="F1663" s="2">
        <v>2023.409</v>
      </c>
    </row>
    <row r="1664" spans="3:6" x14ac:dyDescent="0.25">
      <c r="C1664" s="2" t="s">
        <v>5208</v>
      </c>
      <c r="D1664" s="2" t="s">
        <v>26</v>
      </c>
      <c r="E1664" s="2">
        <v>56</v>
      </c>
      <c r="F1664" s="2">
        <v>1071.45</v>
      </c>
    </row>
    <row r="1665" spans="3:6" x14ac:dyDescent="0.25">
      <c r="C1665" s="2" t="s">
        <v>5209</v>
      </c>
      <c r="D1665" s="2" t="s">
        <v>26</v>
      </c>
      <c r="E1665" s="2">
        <v>100</v>
      </c>
      <c r="F1665" s="2">
        <v>1846.63</v>
      </c>
    </row>
    <row r="1666" spans="3:6" x14ac:dyDescent="0.25">
      <c r="C1666" s="2" t="s">
        <v>5210</v>
      </c>
      <c r="D1666" s="2" t="s">
        <v>26</v>
      </c>
      <c r="E1666" s="2">
        <v>56</v>
      </c>
      <c r="F1666" s="2">
        <v>1037.12</v>
      </c>
    </row>
    <row r="1667" spans="3:6" x14ac:dyDescent="0.25">
      <c r="C1667" s="2" t="s">
        <v>5211</v>
      </c>
      <c r="D1667" s="2" t="s">
        <v>26</v>
      </c>
      <c r="E1667" s="2">
        <v>56</v>
      </c>
      <c r="F1667" s="2">
        <v>1108.96</v>
      </c>
    </row>
    <row r="1668" spans="3:6" x14ac:dyDescent="0.25">
      <c r="C1668" s="2" t="s">
        <v>5212</v>
      </c>
      <c r="D1668" s="2" t="s">
        <v>26</v>
      </c>
      <c r="E1668" s="2">
        <v>100</v>
      </c>
      <c r="F1668" s="2">
        <v>1971.4</v>
      </c>
    </row>
    <row r="1669" spans="3:6" x14ac:dyDescent="0.25">
      <c r="C1669" s="2" t="s">
        <v>5213</v>
      </c>
      <c r="D1669" s="2" t="s">
        <v>26</v>
      </c>
      <c r="E1669" s="2">
        <v>56</v>
      </c>
      <c r="F1669" s="2">
        <v>1038.91</v>
      </c>
    </row>
    <row r="1670" spans="3:6" x14ac:dyDescent="0.25">
      <c r="C1670" s="2" t="s">
        <v>5214</v>
      </c>
      <c r="D1670" s="2" t="s">
        <v>26</v>
      </c>
      <c r="E1670" s="2">
        <v>100</v>
      </c>
      <c r="F1670" s="2">
        <v>1698.89</v>
      </c>
    </row>
    <row r="1671" spans="3:6" x14ac:dyDescent="0.25">
      <c r="C1671" s="2" t="s">
        <v>5215</v>
      </c>
      <c r="D1671" s="2" t="s">
        <v>26</v>
      </c>
      <c r="E1671" s="2">
        <v>100</v>
      </c>
      <c r="F1671" s="2">
        <v>1951.889</v>
      </c>
    </row>
    <row r="1672" spans="3:6" x14ac:dyDescent="0.25">
      <c r="C1672" s="2" t="s">
        <v>5216</v>
      </c>
      <c r="D1672" s="2" t="s">
        <v>26</v>
      </c>
      <c r="E1672" s="2">
        <v>56</v>
      </c>
      <c r="F1672" s="2">
        <v>974.81</v>
      </c>
    </row>
    <row r="1673" spans="3:6" x14ac:dyDescent="0.25">
      <c r="C1673" s="2" t="s">
        <v>5217</v>
      </c>
      <c r="D1673" s="2" t="s">
        <v>42</v>
      </c>
      <c r="E1673" s="2">
        <v>96</v>
      </c>
      <c r="F1673" s="2">
        <v>1773.688</v>
      </c>
    </row>
    <row r="1674" spans="3:6" x14ac:dyDescent="0.25">
      <c r="C1674" s="2" t="s">
        <v>5218</v>
      </c>
      <c r="D1674" s="2" t="s">
        <v>42</v>
      </c>
      <c r="E1674" s="2">
        <v>35</v>
      </c>
      <c r="F1674" s="2">
        <v>640.919</v>
      </c>
    </row>
    <row r="1675" spans="3:6" x14ac:dyDescent="0.25">
      <c r="C1675" s="2" t="s">
        <v>5219</v>
      </c>
      <c r="D1675" s="2" t="s">
        <v>42</v>
      </c>
      <c r="E1675" s="2">
        <v>25</v>
      </c>
      <c r="F1675" s="2">
        <v>453.62</v>
      </c>
    </row>
    <row r="1676" spans="3:6" x14ac:dyDescent="0.25">
      <c r="C1676" s="2" t="s">
        <v>5220</v>
      </c>
      <c r="D1676" s="2" t="s">
        <v>42</v>
      </c>
      <c r="E1676" s="2">
        <v>56</v>
      </c>
      <c r="F1676" s="2">
        <v>1066.74</v>
      </c>
    </row>
    <row r="1677" spans="3:6" x14ac:dyDescent="0.25">
      <c r="C1677" s="2" t="s">
        <v>5221</v>
      </c>
      <c r="D1677" s="2" t="s">
        <v>42</v>
      </c>
      <c r="E1677" s="2">
        <v>100</v>
      </c>
      <c r="F1677" s="2">
        <v>1879.269</v>
      </c>
    </row>
    <row r="1678" spans="3:6" x14ac:dyDescent="0.25">
      <c r="C1678" s="2" t="s">
        <v>5222</v>
      </c>
      <c r="D1678" s="2" t="s">
        <v>30</v>
      </c>
      <c r="E1678" s="2">
        <v>105</v>
      </c>
      <c r="F1678" s="2">
        <v>1982.87</v>
      </c>
    </row>
    <row r="1679" spans="3:6" x14ac:dyDescent="0.25">
      <c r="C1679" s="2" t="s">
        <v>5223</v>
      </c>
      <c r="D1679" s="2" t="s">
        <v>30</v>
      </c>
      <c r="E1679" s="2">
        <v>105</v>
      </c>
      <c r="F1679" s="2">
        <v>1920.57</v>
      </c>
    </row>
    <row r="1680" spans="3:6" x14ac:dyDescent="0.25">
      <c r="C1680" s="2" t="s">
        <v>5224</v>
      </c>
      <c r="D1680" s="2" t="s">
        <v>30</v>
      </c>
      <c r="E1680" s="2">
        <v>163</v>
      </c>
      <c r="F1680" s="2">
        <v>3029.6</v>
      </c>
    </row>
    <row r="1681" spans="3:6" x14ac:dyDescent="0.25">
      <c r="C1681" s="2" t="s">
        <v>5225</v>
      </c>
      <c r="D1681" s="2" t="s">
        <v>30</v>
      </c>
      <c r="E1681" s="2">
        <v>163</v>
      </c>
      <c r="F1681" s="2">
        <v>2938.73</v>
      </c>
    </row>
    <row r="1682" spans="3:6" x14ac:dyDescent="0.25">
      <c r="C1682" s="2" t="s">
        <v>5226</v>
      </c>
      <c r="D1682" s="2" t="s">
        <v>30</v>
      </c>
      <c r="E1682" s="2">
        <v>163</v>
      </c>
      <c r="F1682" s="2">
        <v>3210.628</v>
      </c>
    </row>
    <row r="1683" spans="3:6" x14ac:dyDescent="0.25">
      <c r="C1683" s="2" t="s">
        <v>5227</v>
      </c>
      <c r="D1683" s="2" t="s">
        <v>30</v>
      </c>
      <c r="E1683" s="2">
        <v>163</v>
      </c>
      <c r="F1683" s="2">
        <v>3112.249</v>
      </c>
    </row>
    <row r="1684" spans="3:6" x14ac:dyDescent="0.25">
      <c r="C1684" s="2" t="s">
        <v>5228</v>
      </c>
      <c r="D1684" s="2" t="s">
        <v>30</v>
      </c>
      <c r="E1684" s="2">
        <v>163</v>
      </c>
      <c r="F1684" s="2">
        <v>3253.289</v>
      </c>
    </row>
    <row r="1685" spans="3:6" x14ac:dyDescent="0.25">
      <c r="C1685" s="2" t="s">
        <v>5229</v>
      </c>
      <c r="D1685" s="2" t="s">
        <v>15</v>
      </c>
      <c r="E1685" s="2">
        <v>134</v>
      </c>
      <c r="F1685" s="2">
        <v>2494.467</v>
      </c>
    </row>
    <row r="1686" spans="3:6" x14ac:dyDescent="0.25">
      <c r="C1686" s="2" t="s">
        <v>5230</v>
      </c>
      <c r="D1686" s="2" t="s">
        <v>15</v>
      </c>
      <c r="E1686" s="2">
        <v>134</v>
      </c>
      <c r="F1686" s="2">
        <v>2514.529</v>
      </c>
    </row>
    <row r="1687" spans="3:6" x14ac:dyDescent="0.25">
      <c r="C1687" s="2" t="s">
        <v>5231</v>
      </c>
      <c r="D1687" s="2" t="s">
        <v>15</v>
      </c>
      <c r="E1687" s="2">
        <v>134</v>
      </c>
      <c r="F1687" s="2">
        <v>2517.55</v>
      </c>
    </row>
    <row r="1688" spans="3:6" x14ac:dyDescent="0.25">
      <c r="C1688" s="2" t="s">
        <v>5232</v>
      </c>
      <c r="D1688" s="2" t="s">
        <v>15</v>
      </c>
      <c r="E1688" s="2">
        <v>134</v>
      </c>
      <c r="F1688" s="2">
        <v>2506.229</v>
      </c>
    </row>
    <row r="1689" spans="3:6" x14ac:dyDescent="0.25">
      <c r="C1689" s="2" t="s">
        <v>5233</v>
      </c>
      <c r="D1689" s="2" t="s">
        <v>15</v>
      </c>
      <c r="E1689" s="2">
        <v>134</v>
      </c>
      <c r="F1689" s="2">
        <v>2404.528</v>
      </c>
    </row>
    <row r="1690" spans="3:6" x14ac:dyDescent="0.25">
      <c r="C1690" s="2" t="s">
        <v>5234</v>
      </c>
      <c r="D1690" s="2" t="s">
        <v>15</v>
      </c>
      <c r="E1690" s="2">
        <v>134</v>
      </c>
      <c r="F1690" s="2">
        <v>2564.509</v>
      </c>
    </row>
    <row r="1691" spans="3:6" x14ac:dyDescent="0.25">
      <c r="C1691" s="2" t="s">
        <v>5235</v>
      </c>
      <c r="D1691" s="2" t="s">
        <v>15</v>
      </c>
      <c r="E1691" s="2">
        <v>163</v>
      </c>
      <c r="F1691" s="2">
        <v>3118.179</v>
      </c>
    </row>
    <row r="1692" spans="3:6" x14ac:dyDescent="0.25">
      <c r="C1692" s="2" t="s">
        <v>5236</v>
      </c>
      <c r="D1692" s="2" t="s">
        <v>15</v>
      </c>
      <c r="E1692" s="2">
        <v>105</v>
      </c>
      <c r="F1692" s="2">
        <v>1893.81</v>
      </c>
    </row>
    <row r="1693" spans="3:6" x14ac:dyDescent="0.25">
      <c r="C1693" s="2" t="s">
        <v>5237</v>
      </c>
      <c r="D1693" s="2" t="s">
        <v>42</v>
      </c>
      <c r="E1693" s="2">
        <v>12</v>
      </c>
      <c r="F1693" s="2">
        <v>247</v>
      </c>
    </row>
    <row r="1695" spans="2:7" x14ac:dyDescent="0.25">
      <c r="B1695" s="2" t="s">
        <v>48</v>
      </c>
      <c r="C1695" s="2" t="s">
        <v>5238</v>
      </c>
      <c r="D1695" s="2" t="s">
        <v>30</v>
      </c>
      <c r="E1695" s="2">
        <v>156</v>
      </c>
      <c r="F1695" s="2">
        <v>2928.439</v>
      </c>
      <c r="G1695" s="1">
        <v>46186</v>
      </c>
    </row>
    <row r="1696" spans="3:6" x14ac:dyDescent="0.25">
      <c r="C1696" s="2" t="s">
        <v>5239</v>
      </c>
      <c r="D1696" s="2" t="s">
        <v>15</v>
      </c>
      <c r="E1696" s="2">
        <v>148</v>
      </c>
      <c r="F1696" s="2">
        <v>2713.599</v>
      </c>
    </row>
    <row r="1697" spans="3:6" x14ac:dyDescent="0.25">
      <c r="C1697" s="2" t="s">
        <v>5240</v>
      </c>
      <c r="D1697" s="2" t="s">
        <v>30</v>
      </c>
      <c r="E1697" s="2">
        <v>105</v>
      </c>
      <c r="F1697" s="2">
        <v>1876.506</v>
      </c>
    </row>
    <row r="1698" spans="3:6" x14ac:dyDescent="0.25">
      <c r="C1698" s="2" t="s">
        <v>5241</v>
      </c>
      <c r="D1698" s="2" t="s">
        <v>30</v>
      </c>
      <c r="E1698" s="2">
        <v>106</v>
      </c>
      <c r="F1698" s="2">
        <v>1841.129</v>
      </c>
    </row>
    <row r="1699" spans="3:6" x14ac:dyDescent="0.25">
      <c r="C1699" s="2" t="s">
        <v>5242</v>
      </c>
      <c r="D1699" s="2" t="s">
        <v>53</v>
      </c>
      <c r="E1699" s="2">
        <v>156</v>
      </c>
      <c r="F1699" s="2">
        <v>2877.709</v>
      </c>
    </row>
    <row r="1700" spans="3:6" x14ac:dyDescent="0.25">
      <c r="C1700" s="2" t="s">
        <v>5243</v>
      </c>
      <c r="D1700" s="2" t="s">
        <v>53</v>
      </c>
      <c r="E1700" s="2">
        <v>156</v>
      </c>
      <c r="F1700" s="2">
        <v>2899.759</v>
      </c>
    </row>
    <row r="1702" spans="1:7" x14ac:dyDescent="0.25">
      <c r="A1702" s="1">
        <v>46185</v>
      </c>
      <c r="B1702" s="2" t="s">
        <v>420</v>
      </c>
      <c r="C1702" s="2" t="s">
        <v>5244</v>
      </c>
      <c r="D1702" s="2" t="s">
        <v>59</v>
      </c>
      <c r="E1702" s="2">
        <v>159</v>
      </c>
      <c r="F1702" s="2">
        <v>3021.362</v>
      </c>
      <c r="G1702" s="1">
        <v>46184</v>
      </c>
    </row>
    <row r="1703" spans="3:6" x14ac:dyDescent="0.25">
      <c r="C1703" s="2" t="s">
        <v>5245</v>
      </c>
      <c r="D1703" s="2" t="s">
        <v>59</v>
      </c>
      <c r="E1703" s="2">
        <v>282</v>
      </c>
      <c r="F1703" s="2">
        <v>0</v>
      </c>
    </row>
    <row r="1704" spans="3:6" x14ac:dyDescent="0.25">
      <c r="C1704" s="2" t="s">
        <v>5246</v>
      </c>
      <c r="D1704" s="2" t="s">
        <v>59</v>
      </c>
      <c r="E1704" s="2">
        <v>268</v>
      </c>
      <c r="F1704" s="2">
        <v>5082.792</v>
      </c>
    </row>
    <row r="1705" spans="3:6" x14ac:dyDescent="0.25">
      <c r="C1705" s="2" t="s">
        <v>5247</v>
      </c>
      <c r="D1705" s="2" t="s">
        <v>59</v>
      </c>
      <c r="E1705" s="2">
        <v>105</v>
      </c>
      <c r="F1705" s="2">
        <v>0</v>
      </c>
    </row>
    <row r="1706" spans="3:6" x14ac:dyDescent="0.25">
      <c r="C1706" s="2" t="s">
        <v>5248</v>
      </c>
      <c r="D1706" s="2" t="s">
        <v>59</v>
      </c>
      <c r="E1706" s="2">
        <v>163</v>
      </c>
      <c r="F1706" s="2">
        <v>0</v>
      </c>
    </row>
    <row r="1707" spans="3:6" x14ac:dyDescent="0.25">
      <c r="C1707" s="2" t="s">
        <v>5249</v>
      </c>
      <c r="D1707" s="2" t="s">
        <v>59</v>
      </c>
      <c r="E1707" s="2">
        <v>163</v>
      </c>
      <c r="F1707" s="2">
        <v>3021.539</v>
      </c>
    </row>
    <row r="1708" spans="3:6" x14ac:dyDescent="0.25">
      <c r="C1708" s="2" t="s">
        <v>5250</v>
      </c>
      <c r="D1708" s="2" t="s">
        <v>59</v>
      </c>
      <c r="E1708" s="2">
        <v>105</v>
      </c>
      <c r="F1708" s="2">
        <v>2098.477</v>
      </c>
    </row>
    <row r="1709" spans="3:6" x14ac:dyDescent="0.25">
      <c r="C1709" s="2" t="s">
        <v>5251</v>
      </c>
      <c r="D1709" s="2" t="s">
        <v>59</v>
      </c>
      <c r="E1709" s="2">
        <v>105</v>
      </c>
      <c r="F1709" s="2">
        <v>1958.834</v>
      </c>
    </row>
    <row r="1710" spans="3:6" x14ac:dyDescent="0.25">
      <c r="C1710" s="2" t="s">
        <v>5252</v>
      </c>
      <c r="D1710" s="2" t="s">
        <v>59</v>
      </c>
      <c r="E1710" s="2">
        <v>105</v>
      </c>
      <c r="F1710" s="2">
        <v>0</v>
      </c>
    </row>
    <row r="1712" spans="1:7" x14ac:dyDescent="0.25">
      <c r="A1712" s="1">
        <v>46185</v>
      </c>
      <c r="B1712" s="2" t="s">
        <v>5253</v>
      </c>
      <c r="C1712" s="2" t="s">
        <v>5254</v>
      </c>
      <c r="D1712" s="2" t="s">
        <v>59</v>
      </c>
      <c r="E1712" s="2">
        <v>105</v>
      </c>
      <c r="F1712" s="2">
        <v>2061.65</v>
      </c>
      <c r="G1712" s="1">
        <v>46184</v>
      </c>
    </row>
    <row r="1713" spans="3:6" x14ac:dyDescent="0.25">
      <c r="C1713" s="2" t="s">
        <v>5255</v>
      </c>
      <c r="D1713" s="2" t="s">
        <v>59</v>
      </c>
      <c r="E1713" s="2">
        <v>219</v>
      </c>
      <c r="F1713" s="2">
        <v>5224.69</v>
      </c>
    </row>
    <row r="1714" spans="3:6" x14ac:dyDescent="0.25">
      <c r="C1714" s="2" t="s">
        <v>5256</v>
      </c>
      <c r="D1714" s="2" t="s">
        <v>59</v>
      </c>
      <c r="E1714" s="2">
        <v>277</v>
      </c>
      <c r="F1714" s="2">
        <v>4824.423</v>
      </c>
    </row>
    <row r="1715" spans="3:6" x14ac:dyDescent="0.25">
      <c r="C1715" s="2" t="s">
        <v>5257</v>
      </c>
      <c r="D1715" s="2" t="s">
        <v>59</v>
      </c>
      <c r="E1715" s="2">
        <v>163</v>
      </c>
      <c r="F1715" s="2">
        <v>3127.69</v>
      </c>
    </row>
    <row r="1716" spans="3:6" x14ac:dyDescent="0.25">
      <c r="C1716" s="2" t="s">
        <v>5258</v>
      </c>
      <c r="D1716" s="2" t="s">
        <v>59</v>
      </c>
      <c r="E1716" s="2">
        <v>326</v>
      </c>
      <c r="F1716" s="2">
        <v>6329.487</v>
      </c>
    </row>
    <row r="1717" spans="3:6" x14ac:dyDescent="0.25">
      <c r="C1717" s="2" t="s">
        <v>5259</v>
      </c>
      <c r="D1717" s="2" t="s">
        <v>59</v>
      </c>
      <c r="E1717" s="2">
        <v>153</v>
      </c>
      <c r="F1717" s="2">
        <v>3053.15</v>
      </c>
    </row>
    <row r="1718" spans="3:6" x14ac:dyDescent="0.25">
      <c r="C1718" s="2" t="s">
        <v>5260</v>
      </c>
      <c r="D1718" s="2" t="s">
        <v>59</v>
      </c>
      <c r="E1718" s="2">
        <v>105</v>
      </c>
      <c r="F1718" s="2">
        <v>2094.56</v>
      </c>
    </row>
    <row r="1719" spans="3:6" x14ac:dyDescent="0.25">
      <c r="C1719" s="2" t="s">
        <v>5261</v>
      </c>
      <c r="D1719" s="2" t="s">
        <v>59</v>
      </c>
      <c r="E1719" s="2">
        <v>105</v>
      </c>
      <c r="F1719" s="2">
        <v>2000.87</v>
      </c>
    </row>
    <row r="1721" spans="1:7" x14ac:dyDescent="0.25">
      <c r="A1721" s="1">
        <v>46185</v>
      </c>
      <c r="B1721" s="2" t="s">
        <v>666</v>
      </c>
      <c r="C1721" s="2" t="s">
        <v>5262</v>
      </c>
      <c r="D1721" s="2" t="s">
        <v>59</v>
      </c>
      <c r="E1721" s="2">
        <v>142</v>
      </c>
      <c r="F1721" s="2">
        <v>2969.43</v>
      </c>
      <c r="G1721" s="1">
        <v>46186</v>
      </c>
    </row>
    <row r="1722" spans="3:6" x14ac:dyDescent="0.25">
      <c r="C1722" s="2" t="s">
        <v>5263</v>
      </c>
      <c r="D1722" s="2" t="s">
        <v>59</v>
      </c>
      <c r="E1722" s="2">
        <v>142</v>
      </c>
      <c r="F1722" s="2">
        <v>3043.78</v>
      </c>
    </row>
    <row r="1724" spans="1:7" x14ac:dyDescent="0.25">
      <c r="A1724" s="1">
        <v>46186</v>
      </c>
      <c r="B1724" s="2" t="s">
        <v>5264</v>
      </c>
      <c r="C1724" s="2" t="s">
        <v>5265</v>
      </c>
      <c r="D1724" s="2" t="s">
        <v>15</v>
      </c>
      <c r="E1724" s="2">
        <v>91</v>
      </c>
      <c r="F1724" s="2">
        <v>1465.828</v>
      </c>
      <c r="G1724" s="1">
        <v>46186</v>
      </c>
    </row>
    <row r="1726" spans="1:7" x14ac:dyDescent="0.25">
      <c r="A1726" s="1">
        <v>46186</v>
      </c>
      <c r="B1726" s="2" t="s">
        <v>1009</v>
      </c>
      <c r="C1726" s="2" t="s">
        <v>5266</v>
      </c>
      <c r="D1726" s="2" t="s">
        <v>82</v>
      </c>
      <c r="E1726" s="2">
        <v>121</v>
      </c>
      <c r="F1726" s="2">
        <v>2509.25</v>
      </c>
      <c r="G1726" s="1">
        <v>46186</v>
      </c>
    </row>
    <row r="1727" spans="3:6" x14ac:dyDescent="0.25">
      <c r="C1727" s="2" t="s">
        <v>5267</v>
      </c>
      <c r="D1727" s="2" t="s">
        <v>82</v>
      </c>
      <c r="E1727" s="2">
        <v>121</v>
      </c>
      <c r="F1727" s="2">
        <v>2424.079</v>
      </c>
    </row>
    <row r="1728" spans="3:6" x14ac:dyDescent="0.25">
      <c r="C1728" s="2" t="s">
        <v>5268</v>
      </c>
      <c r="D1728" s="2" t="s">
        <v>82</v>
      </c>
      <c r="E1728" s="2">
        <v>104</v>
      </c>
      <c r="F1728" s="2">
        <v>2142.112</v>
      </c>
    </row>
    <row r="1729" spans="3:6" x14ac:dyDescent="0.25">
      <c r="C1729" s="2" t="s">
        <v>5269</v>
      </c>
      <c r="D1729" s="2" t="s">
        <v>82</v>
      </c>
      <c r="E1729" s="2">
        <v>119</v>
      </c>
      <c r="F1729" s="2">
        <v>947.681</v>
      </c>
    </row>
    <row r="1730" spans="3:6" x14ac:dyDescent="0.25">
      <c r="C1730" s="2" t="s">
        <v>5270</v>
      </c>
      <c r="D1730" s="2" t="s">
        <v>82</v>
      </c>
      <c r="E1730" s="2">
        <v>131</v>
      </c>
      <c r="F1730" s="2">
        <v>2004.038</v>
      </c>
    </row>
    <row r="1731" spans="3:6" x14ac:dyDescent="0.25">
      <c r="C1731" s="2" t="s">
        <v>5271</v>
      </c>
      <c r="D1731" s="2" t="s">
        <v>82</v>
      </c>
      <c r="E1731" s="2">
        <v>102</v>
      </c>
      <c r="F1731" s="2">
        <v>2088.33</v>
      </c>
    </row>
    <row r="1732" spans="3:6" x14ac:dyDescent="0.25">
      <c r="C1732" s="2" t="s">
        <v>5272</v>
      </c>
      <c r="D1732" s="2" t="s">
        <v>82</v>
      </c>
      <c r="E1732" s="2">
        <v>40</v>
      </c>
      <c r="F1732" s="2">
        <v>780.33</v>
      </c>
    </row>
    <row r="1733" spans="3:6" x14ac:dyDescent="0.25">
      <c r="C1733" s="2" t="s">
        <v>5273</v>
      </c>
      <c r="D1733" s="2" t="s">
        <v>82</v>
      </c>
      <c r="E1733" s="2">
        <v>141</v>
      </c>
      <c r="F1733" s="2">
        <v>2959.58</v>
      </c>
    </row>
    <row r="1734" spans="3:6" x14ac:dyDescent="0.25">
      <c r="C1734" s="2" t="s">
        <v>5274</v>
      </c>
      <c r="D1734" s="2" t="s">
        <v>82</v>
      </c>
      <c r="E1734" s="2">
        <v>118</v>
      </c>
      <c r="F1734" s="2">
        <v>2458.71</v>
      </c>
    </row>
    <row r="1735" spans="3:6" x14ac:dyDescent="0.25">
      <c r="C1735" s="2" t="s">
        <v>5275</v>
      </c>
      <c r="D1735" s="2" t="s">
        <v>82</v>
      </c>
      <c r="E1735" s="2">
        <v>24</v>
      </c>
      <c r="F1735" s="2">
        <v>442.35</v>
      </c>
    </row>
    <row r="1736" spans="3:6" x14ac:dyDescent="0.25">
      <c r="C1736" s="2" t="s">
        <v>5276</v>
      </c>
      <c r="D1736" s="2" t="s">
        <v>82</v>
      </c>
      <c r="E1736" s="2">
        <v>108</v>
      </c>
      <c r="F1736" s="2">
        <v>2150.36</v>
      </c>
    </row>
    <row r="1737" spans="3:6" x14ac:dyDescent="0.25">
      <c r="C1737" s="2" t="s">
        <v>5277</v>
      </c>
      <c r="D1737" s="2" t="s">
        <v>82</v>
      </c>
      <c r="E1737" s="2">
        <v>34</v>
      </c>
      <c r="F1737" s="2">
        <v>606.18</v>
      </c>
    </row>
    <row r="1738" spans="3:6" x14ac:dyDescent="0.25">
      <c r="C1738" s="2" t="s">
        <v>5278</v>
      </c>
      <c r="D1738" s="2" t="s">
        <v>82</v>
      </c>
      <c r="E1738" s="2">
        <v>142</v>
      </c>
      <c r="F1738" s="2">
        <v>2527.35</v>
      </c>
    </row>
    <row r="1739" spans="3:6" x14ac:dyDescent="0.25">
      <c r="C1739" s="2" t="s">
        <v>5279</v>
      </c>
      <c r="D1739" s="2" t="s">
        <v>82</v>
      </c>
      <c r="E1739" s="2">
        <v>90</v>
      </c>
      <c r="F1739" s="2">
        <v>1857.48</v>
      </c>
    </row>
    <row r="1740" spans="3:6" x14ac:dyDescent="0.25">
      <c r="C1740" s="2" t="s">
        <v>5280</v>
      </c>
      <c r="D1740" s="2" t="s">
        <v>82</v>
      </c>
      <c r="E1740" s="2">
        <v>51</v>
      </c>
      <c r="F1740" s="2">
        <v>971.4</v>
      </c>
    </row>
    <row r="1741" spans="3:6" x14ac:dyDescent="0.25">
      <c r="C1741" s="2" t="s">
        <v>5281</v>
      </c>
      <c r="D1741" s="2" t="s">
        <v>82</v>
      </c>
      <c r="E1741" s="2">
        <v>101</v>
      </c>
      <c r="F1741" s="2">
        <v>1938.92</v>
      </c>
    </row>
    <row r="1743" spans="1:7" x14ac:dyDescent="0.25">
      <c r="A1743" s="1">
        <v>46186</v>
      </c>
      <c r="B1743" s="2" t="s">
        <v>1012</v>
      </c>
      <c r="C1743" s="2" t="s">
        <v>5282</v>
      </c>
      <c r="D1743" s="2" t="s">
        <v>73</v>
      </c>
      <c r="E1743" s="2">
        <v>92</v>
      </c>
      <c r="F1743" s="2">
        <v>1745.02</v>
      </c>
      <c r="G1743" s="1">
        <v>46186</v>
      </c>
    </row>
    <row r="1744" spans="3:6" x14ac:dyDescent="0.25">
      <c r="C1744" s="2" t="s">
        <v>5283</v>
      </c>
      <c r="D1744" s="2" t="s">
        <v>73</v>
      </c>
      <c r="E1744" s="2">
        <v>58</v>
      </c>
      <c r="F1744" s="2">
        <v>1045.448</v>
      </c>
    </row>
    <row r="1745" spans="3:6" x14ac:dyDescent="0.25">
      <c r="C1745" s="2" t="s">
        <v>5284</v>
      </c>
      <c r="D1745" s="2" t="s">
        <v>73</v>
      </c>
      <c r="E1745" s="2">
        <v>43</v>
      </c>
      <c r="F1745" s="2">
        <v>736.98</v>
      </c>
    </row>
    <row r="1746" spans="3:6" x14ac:dyDescent="0.25">
      <c r="C1746" s="2" t="s">
        <v>5285</v>
      </c>
      <c r="D1746" s="2" t="s">
        <v>73</v>
      </c>
      <c r="E1746" s="2">
        <v>58</v>
      </c>
      <c r="F1746" s="2">
        <v>1224.4</v>
      </c>
    </row>
    <row r="1747" spans="3:6" x14ac:dyDescent="0.25">
      <c r="C1747" s="2" t="s">
        <v>5286</v>
      </c>
      <c r="D1747" s="2" t="s">
        <v>73</v>
      </c>
      <c r="E1747" s="2">
        <v>13</v>
      </c>
      <c r="F1747" s="2">
        <v>240.86</v>
      </c>
    </row>
    <row r="1748" spans="3:6" x14ac:dyDescent="0.25">
      <c r="C1748" s="2" t="s">
        <v>5287</v>
      </c>
      <c r="D1748" s="2" t="s">
        <v>73</v>
      </c>
      <c r="E1748" s="2">
        <v>15</v>
      </c>
      <c r="F1748" s="2">
        <v>355</v>
      </c>
    </row>
    <row r="1749" spans="3:6" x14ac:dyDescent="0.25">
      <c r="C1749" s="2" t="s">
        <v>5288</v>
      </c>
      <c r="D1749" s="2" t="s">
        <v>73</v>
      </c>
      <c r="E1749" s="2">
        <v>98</v>
      </c>
      <c r="F1749" s="2">
        <v>1878.13</v>
      </c>
    </row>
    <row r="1751" spans="1:7" x14ac:dyDescent="0.25">
      <c r="A1751" s="1">
        <v>46186</v>
      </c>
      <c r="B1751" s="2" t="s">
        <v>3948</v>
      </c>
      <c r="C1751" s="2" t="s">
        <v>5289</v>
      </c>
      <c r="D1751" s="2" t="s">
        <v>4096</v>
      </c>
      <c r="E1751" s="2">
        <v>101</v>
      </c>
      <c r="F1751" s="2">
        <v>1825.487</v>
      </c>
      <c r="G1751" s="1">
        <v>46186</v>
      </c>
    </row>
    <row r="1753" spans="1:7" x14ac:dyDescent="0.25">
      <c r="A1753" s="1">
        <v>46186</v>
      </c>
      <c r="B1753" s="2" t="s">
        <v>4335</v>
      </c>
      <c r="C1753" s="2" t="s">
        <v>5290</v>
      </c>
      <c r="D1753" s="2" t="s">
        <v>82</v>
      </c>
      <c r="E1753" s="2">
        <v>75</v>
      </c>
      <c r="F1753" s="2">
        <v>1618.8</v>
      </c>
      <c r="G1753" s="1">
        <v>46186</v>
      </c>
    </row>
    <row r="1754" spans="3:6" x14ac:dyDescent="0.25">
      <c r="C1754" s="2" t="s">
        <v>5291</v>
      </c>
      <c r="D1754" s="2" t="s">
        <v>82</v>
      </c>
      <c r="E1754" s="2">
        <v>102</v>
      </c>
      <c r="F1754" s="2">
        <v>2049.65</v>
      </c>
    </row>
    <row r="1755" spans="3:6" x14ac:dyDescent="0.25">
      <c r="C1755" s="2" t="s">
        <v>5292</v>
      </c>
      <c r="D1755" s="2" t="s">
        <v>82</v>
      </c>
      <c r="E1755" s="2">
        <v>11</v>
      </c>
      <c r="F1755" s="2">
        <v>209.85</v>
      </c>
    </row>
    <row r="1756" spans="3:6" x14ac:dyDescent="0.25">
      <c r="C1756" s="2" t="s">
        <v>5293</v>
      </c>
      <c r="D1756" s="2" t="s">
        <v>82</v>
      </c>
      <c r="E1756" s="2">
        <v>10</v>
      </c>
      <c r="F1756" s="2">
        <v>199.02</v>
      </c>
    </row>
    <row r="1757" spans="3:6" x14ac:dyDescent="0.25">
      <c r="C1757" s="2" t="s">
        <v>5294</v>
      </c>
      <c r="D1757" s="2" t="s">
        <v>82</v>
      </c>
      <c r="E1757" s="2">
        <v>53</v>
      </c>
      <c r="F1757" s="2">
        <v>1040.57</v>
      </c>
    </row>
    <row r="1758" spans="3:6" x14ac:dyDescent="0.25">
      <c r="C1758" s="2" t="s">
        <v>5295</v>
      </c>
      <c r="D1758" s="2" t="s">
        <v>82</v>
      </c>
      <c r="E1758" s="2">
        <v>16</v>
      </c>
      <c r="F1758" s="2">
        <v>260.83</v>
      </c>
    </row>
    <row r="1759" spans="3:6" x14ac:dyDescent="0.25">
      <c r="C1759" s="2" t="s">
        <v>5296</v>
      </c>
      <c r="D1759" s="2" t="s">
        <v>82</v>
      </c>
      <c r="E1759" s="2">
        <v>32</v>
      </c>
      <c r="F1759" s="2">
        <v>622.74</v>
      </c>
    </row>
    <row r="1760" spans="3:6" x14ac:dyDescent="0.25">
      <c r="C1760" s="2" t="s">
        <v>5297</v>
      </c>
      <c r="D1760" s="2" t="s">
        <v>82</v>
      </c>
      <c r="E1760" s="2">
        <v>100</v>
      </c>
      <c r="F1760" s="2">
        <v>1967.8</v>
      </c>
    </row>
    <row r="1761" spans="3:6" x14ac:dyDescent="0.25">
      <c r="C1761" s="2" t="s">
        <v>5298</v>
      </c>
      <c r="D1761" s="2" t="s">
        <v>82</v>
      </c>
      <c r="E1761" s="2">
        <v>21</v>
      </c>
      <c r="F1761" s="2">
        <v>407.81</v>
      </c>
    </row>
    <row r="1762" spans="3:6" x14ac:dyDescent="0.25">
      <c r="C1762" s="2" t="s">
        <v>5299</v>
      </c>
      <c r="D1762" s="2" t="s">
        <v>82</v>
      </c>
      <c r="E1762" s="2">
        <v>134</v>
      </c>
      <c r="F1762" s="2">
        <v>2749.009</v>
      </c>
    </row>
    <row r="1763" spans="3:6" x14ac:dyDescent="0.25">
      <c r="C1763" s="2" t="s">
        <v>5300</v>
      </c>
      <c r="D1763" s="2" t="s">
        <v>82</v>
      </c>
      <c r="E1763" s="2">
        <v>141</v>
      </c>
      <c r="F1763" s="2">
        <v>2701.488</v>
      </c>
    </row>
    <row r="1764" spans="3:6" x14ac:dyDescent="0.25">
      <c r="C1764" s="2" t="s">
        <v>5301</v>
      </c>
      <c r="D1764" s="2" t="s">
        <v>82</v>
      </c>
      <c r="E1764" s="2">
        <v>95</v>
      </c>
      <c r="F1764" s="2">
        <v>1759.51</v>
      </c>
    </row>
    <row r="1765" spans="3:6" x14ac:dyDescent="0.25">
      <c r="C1765" s="2" t="s">
        <v>5302</v>
      </c>
      <c r="D1765" s="2" t="s">
        <v>82</v>
      </c>
      <c r="E1765" s="2">
        <v>46</v>
      </c>
      <c r="F1765" s="2">
        <v>858.2</v>
      </c>
    </row>
    <row r="1766" spans="3:6" x14ac:dyDescent="0.25">
      <c r="C1766" s="2" t="s">
        <v>5303</v>
      </c>
      <c r="D1766" s="2" t="s">
        <v>82</v>
      </c>
      <c r="E1766" s="2">
        <v>86</v>
      </c>
      <c r="F1766" s="2">
        <v>1370.34</v>
      </c>
    </row>
    <row r="1767" spans="3:6" x14ac:dyDescent="0.25">
      <c r="C1767" s="2" t="s">
        <v>5304</v>
      </c>
      <c r="D1767" s="2" t="s">
        <v>82</v>
      </c>
      <c r="E1767" s="2">
        <v>41</v>
      </c>
      <c r="F1767" s="2">
        <v>783.119</v>
      </c>
    </row>
    <row r="1768" spans="3:6" x14ac:dyDescent="0.25">
      <c r="C1768" s="2" t="s">
        <v>5305</v>
      </c>
      <c r="D1768" s="2" t="s">
        <v>82</v>
      </c>
      <c r="E1768" s="2">
        <v>21</v>
      </c>
      <c r="F1768" s="2">
        <v>391.48</v>
      </c>
    </row>
    <row r="1769" spans="3:6" x14ac:dyDescent="0.25">
      <c r="C1769" s="2" t="s">
        <v>5306</v>
      </c>
      <c r="D1769" s="2" t="s">
        <v>82</v>
      </c>
      <c r="E1769" s="2">
        <v>141</v>
      </c>
      <c r="F1769" s="2">
        <v>2847.96</v>
      </c>
    </row>
    <row r="1770" spans="3:6" x14ac:dyDescent="0.25">
      <c r="C1770" s="2" t="s">
        <v>5307</v>
      </c>
      <c r="D1770" s="2" t="s">
        <v>82</v>
      </c>
      <c r="E1770" s="2">
        <v>141</v>
      </c>
      <c r="F1770" s="2">
        <v>2882.759</v>
      </c>
    </row>
    <row r="1771" spans="3:6" x14ac:dyDescent="0.25">
      <c r="C1771" s="2" t="s">
        <v>5308</v>
      </c>
      <c r="D1771" s="2" t="s">
        <v>82</v>
      </c>
      <c r="E1771" s="2">
        <v>87</v>
      </c>
      <c r="F1771" s="2">
        <v>398.848</v>
      </c>
    </row>
    <row r="1772" spans="3:6" x14ac:dyDescent="0.25">
      <c r="C1772" s="2" t="s">
        <v>5309</v>
      </c>
      <c r="D1772" s="2" t="s">
        <v>82</v>
      </c>
      <c r="E1772" s="2">
        <v>63</v>
      </c>
      <c r="F1772" s="2">
        <v>275.699</v>
      </c>
    </row>
    <row r="1773" spans="3:6" x14ac:dyDescent="0.25">
      <c r="C1773" s="2" t="s">
        <v>5310</v>
      </c>
      <c r="D1773" s="2" t="s">
        <v>82</v>
      </c>
      <c r="E1773" s="2">
        <v>122</v>
      </c>
      <c r="F1773" s="2">
        <v>2493.44</v>
      </c>
    </row>
    <row r="1774" spans="3:6" x14ac:dyDescent="0.25">
      <c r="C1774" s="2" t="s">
        <v>5311</v>
      </c>
      <c r="D1774" s="2" t="s">
        <v>82</v>
      </c>
      <c r="E1774" s="2">
        <v>78</v>
      </c>
      <c r="F1774" s="2">
        <v>1601.089</v>
      </c>
    </row>
    <row r="1775" spans="3:6" x14ac:dyDescent="0.25">
      <c r="C1775" s="2" t="s">
        <v>5312</v>
      </c>
      <c r="D1775" s="2" t="s">
        <v>82</v>
      </c>
      <c r="E1775" s="2">
        <v>43</v>
      </c>
      <c r="F1775" s="2">
        <v>861.75</v>
      </c>
    </row>
    <row r="1776" spans="3:6" x14ac:dyDescent="0.25">
      <c r="C1776" s="2" t="s">
        <v>5313</v>
      </c>
      <c r="D1776" s="2" t="s">
        <v>82</v>
      </c>
      <c r="E1776" s="2">
        <v>141</v>
      </c>
      <c r="F1776" s="2">
        <v>2860.15</v>
      </c>
    </row>
    <row r="1777" spans="3:6" x14ac:dyDescent="0.25">
      <c r="C1777" s="2" t="s">
        <v>5314</v>
      </c>
      <c r="D1777" s="2" t="s">
        <v>82</v>
      </c>
      <c r="E1777" s="2">
        <v>143</v>
      </c>
      <c r="F1777" s="2">
        <v>2731.58</v>
      </c>
    </row>
    <row r="1778" spans="3:6" x14ac:dyDescent="0.25">
      <c r="C1778" s="2" t="s">
        <v>5315</v>
      </c>
      <c r="D1778" s="2" t="s">
        <v>82</v>
      </c>
      <c r="E1778" s="2">
        <v>77</v>
      </c>
      <c r="F1778" s="2">
        <v>2411.231</v>
      </c>
    </row>
    <row r="1779" spans="3:6" x14ac:dyDescent="0.25">
      <c r="C1779" s="2" t="s">
        <v>5316</v>
      </c>
      <c r="D1779" s="2" t="s">
        <v>82</v>
      </c>
      <c r="E1779" s="2">
        <v>71</v>
      </c>
      <c r="F1779" s="2">
        <v>1353.88</v>
      </c>
    </row>
    <row r="1780" spans="3:6" x14ac:dyDescent="0.25">
      <c r="C1780" s="2" t="s">
        <v>5317</v>
      </c>
      <c r="D1780" s="2" t="s">
        <v>82</v>
      </c>
      <c r="E1780" s="2">
        <v>70</v>
      </c>
      <c r="F1780" s="2">
        <v>1381.88</v>
      </c>
    </row>
    <row r="1781" spans="3:6" x14ac:dyDescent="0.25">
      <c r="C1781" s="2" t="s">
        <v>5318</v>
      </c>
      <c r="D1781" s="2" t="s">
        <v>82</v>
      </c>
      <c r="E1781" s="2">
        <v>102</v>
      </c>
      <c r="F1781" s="2">
        <v>1882.889</v>
      </c>
    </row>
    <row r="1782" spans="3:6" x14ac:dyDescent="0.25">
      <c r="C1782" s="2" t="s">
        <v>5319</v>
      </c>
      <c r="D1782" s="2" t="s">
        <v>82</v>
      </c>
      <c r="E1782" s="2">
        <v>79</v>
      </c>
      <c r="F1782" s="2">
        <v>1465.659</v>
      </c>
    </row>
    <row r="1783" spans="3:6" x14ac:dyDescent="0.25">
      <c r="C1783" s="2" t="s">
        <v>5320</v>
      </c>
      <c r="D1783" s="2" t="s">
        <v>82</v>
      </c>
      <c r="E1783" s="2">
        <v>23</v>
      </c>
      <c r="F1783" s="2">
        <v>405.59</v>
      </c>
    </row>
    <row r="1784" spans="3:6" x14ac:dyDescent="0.25">
      <c r="C1784" s="2" t="s">
        <v>5321</v>
      </c>
      <c r="D1784" s="2" t="s">
        <v>82</v>
      </c>
      <c r="E1784" s="2">
        <v>102</v>
      </c>
      <c r="F1784" s="2">
        <v>2057.79</v>
      </c>
    </row>
    <row r="1785" spans="3:6" x14ac:dyDescent="0.25">
      <c r="C1785" s="2" t="s">
        <v>5322</v>
      </c>
      <c r="D1785" s="2" t="s">
        <v>82</v>
      </c>
      <c r="E1785" s="2">
        <v>102</v>
      </c>
      <c r="F1785" s="2">
        <v>2096.61</v>
      </c>
    </row>
    <row r="1786" spans="3:6" x14ac:dyDescent="0.25">
      <c r="C1786" s="2" t="s">
        <v>5323</v>
      </c>
      <c r="D1786" s="2" t="s">
        <v>82</v>
      </c>
      <c r="E1786" s="2">
        <v>141</v>
      </c>
      <c r="F1786" s="2">
        <v>2950.99</v>
      </c>
    </row>
    <row r="1787" spans="3:6" x14ac:dyDescent="0.25">
      <c r="C1787" s="2" t="s">
        <v>5324</v>
      </c>
      <c r="D1787" s="2" t="s">
        <v>82</v>
      </c>
      <c r="E1787" s="2">
        <v>141</v>
      </c>
      <c r="F1787" s="2">
        <v>2765.55</v>
      </c>
    </row>
    <row r="1788" spans="3:6" x14ac:dyDescent="0.25">
      <c r="C1788" s="2" t="s">
        <v>5325</v>
      </c>
      <c r="D1788" s="2" t="s">
        <v>82</v>
      </c>
      <c r="E1788" s="2">
        <v>141</v>
      </c>
      <c r="F1788" s="2">
        <v>2875.529</v>
      </c>
    </row>
    <row r="1789" spans="3:6" x14ac:dyDescent="0.25">
      <c r="C1789" s="2" t="s">
        <v>5326</v>
      </c>
      <c r="D1789" s="2" t="s">
        <v>82</v>
      </c>
      <c r="E1789" s="2">
        <v>141</v>
      </c>
      <c r="F1789" s="2">
        <v>2952.59</v>
      </c>
    </row>
    <row r="1790" spans="3:6" x14ac:dyDescent="0.25">
      <c r="C1790" s="2" t="s">
        <v>5327</v>
      </c>
      <c r="D1790" s="2" t="s">
        <v>82</v>
      </c>
      <c r="E1790" s="2">
        <v>52</v>
      </c>
      <c r="F1790" s="2">
        <v>997.32</v>
      </c>
    </row>
    <row r="1791" spans="3:6" x14ac:dyDescent="0.25">
      <c r="C1791" s="2" t="s">
        <v>5328</v>
      </c>
      <c r="D1791" s="2" t="s">
        <v>82</v>
      </c>
      <c r="E1791" s="2">
        <v>35</v>
      </c>
      <c r="F1791" s="2">
        <v>694.97</v>
      </c>
    </row>
    <row r="1792" spans="3:6" x14ac:dyDescent="0.25">
      <c r="C1792" s="2" t="s">
        <v>5329</v>
      </c>
      <c r="D1792" s="2" t="s">
        <v>82</v>
      </c>
      <c r="E1792" s="2">
        <v>25</v>
      </c>
      <c r="F1792" s="2">
        <v>528.63</v>
      </c>
    </row>
    <row r="1793" spans="3:6" x14ac:dyDescent="0.25">
      <c r="C1793" s="2" t="s">
        <v>5330</v>
      </c>
      <c r="D1793" s="2" t="s">
        <v>82</v>
      </c>
      <c r="E1793" s="2">
        <v>29</v>
      </c>
      <c r="F1793" s="2">
        <v>590.39</v>
      </c>
    </row>
    <row r="1794" spans="3:6" x14ac:dyDescent="0.25">
      <c r="C1794" s="2" t="s">
        <v>5331</v>
      </c>
      <c r="D1794" s="2" t="s">
        <v>82</v>
      </c>
      <c r="E1794" s="2">
        <v>141</v>
      </c>
      <c r="F1794" s="2">
        <v>2879.42</v>
      </c>
    </row>
    <row r="1796" spans="1:7" x14ac:dyDescent="0.25">
      <c r="A1796" s="1">
        <v>46186</v>
      </c>
      <c r="B1796" s="2" t="s">
        <v>7</v>
      </c>
      <c r="C1796" s="2" t="s">
        <v>5332</v>
      </c>
      <c r="D1796" s="2" t="s">
        <v>9</v>
      </c>
      <c r="E1796" s="2">
        <v>99</v>
      </c>
      <c r="F1796" s="2">
        <v>1945.743</v>
      </c>
      <c r="G1796" s="1">
        <v>46186</v>
      </c>
    </row>
    <row r="1797" spans="3:6" x14ac:dyDescent="0.25">
      <c r="C1797" s="2" t="s">
        <v>5333</v>
      </c>
      <c r="D1797" s="2" t="s">
        <v>9</v>
      </c>
      <c r="E1797" s="2">
        <v>61</v>
      </c>
      <c r="F1797" s="2">
        <v>1255.19</v>
      </c>
    </row>
    <row r="1799" spans="1:7" x14ac:dyDescent="0.25">
      <c r="A1799" s="1">
        <v>46186</v>
      </c>
      <c r="B1799" s="2" t="s">
        <v>2368</v>
      </c>
      <c r="C1799" s="2" t="s">
        <v>5334</v>
      </c>
      <c r="D1799" s="2" t="s">
        <v>292</v>
      </c>
      <c r="E1799" s="2">
        <v>105</v>
      </c>
      <c r="F1799" s="2">
        <v>2181.27</v>
      </c>
      <c r="G1799" s="1">
        <v>46186</v>
      </c>
    </row>
    <row r="1801" spans="1:7" x14ac:dyDescent="0.25">
      <c r="A1801" s="1">
        <v>46186</v>
      </c>
      <c r="B1801" s="2" t="s">
        <v>12</v>
      </c>
      <c r="C1801" s="2" t="s">
        <v>5335</v>
      </c>
      <c r="D1801" s="2" t="s">
        <v>15</v>
      </c>
      <c r="E1801" s="2">
        <v>163</v>
      </c>
      <c r="F1801" s="2">
        <v>3134.74</v>
      </c>
      <c r="G1801" s="1">
        <v>46186</v>
      </c>
    </row>
    <row r="1802" spans="3:6" x14ac:dyDescent="0.25">
      <c r="C1802" s="2" t="s">
        <v>5336</v>
      </c>
      <c r="D1802" s="2" t="s">
        <v>15</v>
      </c>
      <c r="E1802" s="2">
        <v>163</v>
      </c>
      <c r="F1802" s="2">
        <v>2972.198</v>
      </c>
    </row>
    <row r="1803" spans="3:6" x14ac:dyDescent="0.25">
      <c r="C1803" s="2" t="s">
        <v>5337</v>
      </c>
      <c r="D1803" s="2" t="s">
        <v>15</v>
      </c>
      <c r="E1803" s="2">
        <v>163</v>
      </c>
      <c r="F1803" s="2">
        <v>3040.67</v>
      </c>
    </row>
    <row r="1804" spans="3:6" x14ac:dyDescent="0.25">
      <c r="C1804" s="2" t="s">
        <v>5338</v>
      </c>
      <c r="D1804" s="2" t="s">
        <v>15</v>
      </c>
      <c r="E1804" s="2">
        <v>94</v>
      </c>
      <c r="F1804" s="2">
        <v>1739.159</v>
      </c>
    </row>
    <row r="1805" spans="3:6" x14ac:dyDescent="0.25">
      <c r="C1805" s="2" t="s">
        <v>5339</v>
      </c>
      <c r="D1805" s="2" t="s">
        <v>15</v>
      </c>
      <c r="E1805" s="2">
        <v>69</v>
      </c>
      <c r="F1805" s="2">
        <v>1304</v>
      </c>
    </row>
    <row r="1806" spans="3:6" x14ac:dyDescent="0.25">
      <c r="C1806" s="2" t="s">
        <v>5340</v>
      </c>
      <c r="D1806" s="2" t="s">
        <v>15</v>
      </c>
      <c r="E1806" s="2">
        <v>163</v>
      </c>
      <c r="F1806" s="2">
        <v>3055.17</v>
      </c>
    </row>
    <row r="1807" spans="3:6" x14ac:dyDescent="0.25">
      <c r="C1807" s="2" t="s">
        <v>5341</v>
      </c>
      <c r="D1807" s="2" t="s">
        <v>15</v>
      </c>
      <c r="E1807" s="2">
        <v>105</v>
      </c>
      <c r="F1807" s="2">
        <v>2101.339</v>
      </c>
    </row>
    <row r="1808" spans="3:6" x14ac:dyDescent="0.25">
      <c r="C1808" s="2" t="s">
        <v>5342</v>
      </c>
      <c r="D1808" s="2" t="s">
        <v>15</v>
      </c>
      <c r="E1808" s="2">
        <v>105</v>
      </c>
      <c r="F1808" s="2">
        <v>1826.759</v>
      </c>
    </row>
    <row r="1809" spans="3:6" x14ac:dyDescent="0.25">
      <c r="C1809" s="2" t="s">
        <v>5343</v>
      </c>
      <c r="D1809" s="2" t="s">
        <v>15</v>
      </c>
      <c r="E1809" s="2">
        <v>276</v>
      </c>
      <c r="F1809" s="2">
        <v>696.167</v>
      </c>
    </row>
    <row r="1810" spans="3:6" x14ac:dyDescent="0.25">
      <c r="C1810" s="2" t="s">
        <v>5344</v>
      </c>
      <c r="D1810" s="2" t="s">
        <v>15</v>
      </c>
      <c r="E1810" s="2">
        <v>36</v>
      </c>
      <c r="F1810" s="2">
        <v>684</v>
      </c>
    </row>
    <row r="1811" spans="3:6" x14ac:dyDescent="0.25">
      <c r="C1811" s="2" t="s">
        <v>5345</v>
      </c>
      <c r="D1811" s="2" t="s">
        <v>26</v>
      </c>
      <c r="E1811" s="2">
        <v>100</v>
      </c>
      <c r="F1811" s="2">
        <v>1822.44</v>
      </c>
    </row>
    <row r="1812" spans="3:6" x14ac:dyDescent="0.25">
      <c r="C1812" s="2" t="s">
        <v>5346</v>
      </c>
      <c r="D1812" s="2" t="s">
        <v>26</v>
      </c>
      <c r="E1812" s="2">
        <v>56</v>
      </c>
      <c r="F1812" s="2">
        <v>1050.82</v>
      </c>
    </row>
    <row r="1813" spans="3:6" x14ac:dyDescent="0.25">
      <c r="C1813" s="2" t="s">
        <v>5347</v>
      </c>
      <c r="D1813" s="2" t="s">
        <v>26</v>
      </c>
      <c r="E1813" s="2">
        <v>100</v>
      </c>
      <c r="F1813" s="2">
        <v>1998.52</v>
      </c>
    </row>
    <row r="1814" spans="3:6" x14ac:dyDescent="0.25">
      <c r="C1814" s="2" t="s">
        <v>5348</v>
      </c>
      <c r="D1814" s="2" t="s">
        <v>26</v>
      </c>
      <c r="E1814" s="2">
        <v>56</v>
      </c>
      <c r="F1814" s="2">
        <v>1109.08</v>
      </c>
    </row>
    <row r="1815" spans="3:6" x14ac:dyDescent="0.25">
      <c r="C1815" s="2" t="s">
        <v>5349</v>
      </c>
      <c r="D1815" s="2" t="s">
        <v>26</v>
      </c>
      <c r="E1815" s="2">
        <v>100</v>
      </c>
      <c r="F1815" s="2">
        <v>1823.07</v>
      </c>
    </row>
    <row r="1816" spans="3:6" x14ac:dyDescent="0.25">
      <c r="C1816" s="2" t="s">
        <v>5350</v>
      </c>
      <c r="D1816" s="2" t="s">
        <v>26</v>
      </c>
      <c r="E1816" s="2">
        <v>56</v>
      </c>
      <c r="F1816" s="2">
        <v>1134.01</v>
      </c>
    </row>
    <row r="1817" spans="3:6" x14ac:dyDescent="0.25">
      <c r="C1817" s="2" t="s">
        <v>5351</v>
      </c>
      <c r="D1817" s="2" t="s">
        <v>26</v>
      </c>
      <c r="E1817" s="2">
        <v>100</v>
      </c>
      <c r="F1817" s="2">
        <v>1909.54</v>
      </c>
    </row>
    <row r="1818" spans="3:6" x14ac:dyDescent="0.25">
      <c r="C1818" s="2" t="s">
        <v>5352</v>
      </c>
      <c r="D1818" s="2" t="s">
        <v>26</v>
      </c>
      <c r="E1818" s="2">
        <v>56</v>
      </c>
      <c r="F1818" s="2">
        <v>1139.65</v>
      </c>
    </row>
    <row r="1819" spans="3:6" x14ac:dyDescent="0.25">
      <c r="C1819" s="2" t="s">
        <v>5353</v>
      </c>
      <c r="D1819" s="2" t="s">
        <v>26</v>
      </c>
      <c r="E1819" s="2">
        <v>56</v>
      </c>
      <c r="F1819" s="2">
        <v>1040.828</v>
      </c>
    </row>
    <row r="1820" spans="3:6" x14ac:dyDescent="0.25">
      <c r="C1820" s="2" t="s">
        <v>5354</v>
      </c>
      <c r="D1820" s="2" t="s">
        <v>26</v>
      </c>
      <c r="E1820" s="2">
        <v>100</v>
      </c>
      <c r="F1820" s="2">
        <v>1952.699</v>
      </c>
    </row>
    <row r="1821" spans="3:6" x14ac:dyDescent="0.25">
      <c r="C1821" s="2" t="s">
        <v>5355</v>
      </c>
      <c r="D1821" s="2" t="s">
        <v>26</v>
      </c>
      <c r="E1821" s="2">
        <v>56</v>
      </c>
      <c r="F1821" s="2">
        <v>1105.84</v>
      </c>
    </row>
    <row r="1822" spans="3:6" x14ac:dyDescent="0.25">
      <c r="C1822" s="2" t="s">
        <v>5356</v>
      </c>
      <c r="D1822" s="2" t="s">
        <v>26</v>
      </c>
      <c r="E1822" s="2">
        <v>100</v>
      </c>
      <c r="F1822" s="2">
        <v>1980.509</v>
      </c>
    </row>
    <row r="1823" spans="3:6" x14ac:dyDescent="0.25">
      <c r="C1823" s="2" t="s">
        <v>5357</v>
      </c>
      <c r="D1823" s="2" t="s">
        <v>30</v>
      </c>
      <c r="E1823" s="2">
        <v>134</v>
      </c>
      <c r="F1823" s="2">
        <v>2573.579</v>
      </c>
    </row>
    <row r="1824" spans="3:6" x14ac:dyDescent="0.25">
      <c r="C1824" s="2" t="s">
        <v>5358</v>
      </c>
      <c r="D1824" s="2" t="s">
        <v>30</v>
      </c>
      <c r="E1824" s="2">
        <v>134</v>
      </c>
      <c r="F1824" s="2">
        <v>2461.249</v>
      </c>
    </row>
    <row r="1825" spans="3:6" x14ac:dyDescent="0.25">
      <c r="C1825" s="2" t="s">
        <v>5359</v>
      </c>
      <c r="D1825" s="2" t="s">
        <v>30</v>
      </c>
      <c r="E1825" s="2">
        <v>134</v>
      </c>
      <c r="F1825" s="2">
        <v>2636.47</v>
      </c>
    </row>
    <row r="1826" spans="3:6" x14ac:dyDescent="0.25">
      <c r="C1826" s="2" t="s">
        <v>5360</v>
      </c>
      <c r="D1826" s="2" t="s">
        <v>30</v>
      </c>
      <c r="E1826" s="2">
        <v>134</v>
      </c>
      <c r="F1826" s="2">
        <v>2576.73</v>
      </c>
    </row>
    <row r="1827" spans="3:6" x14ac:dyDescent="0.25">
      <c r="C1827" s="2" t="s">
        <v>5361</v>
      </c>
      <c r="D1827" s="2" t="s">
        <v>30</v>
      </c>
      <c r="E1827" s="2">
        <v>134</v>
      </c>
      <c r="F1827" s="2">
        <v>2761.949</v>
      </c>
    </row>
    <row r="1828" spans="3:6" x14ac:dyDescent="0.25">
      <c r="C1828" s="2" t="s">
        <v>5362</v>
      </c>
      <c r="D1828" s="2" t="s">
        <v>30</v>
      </c>
      <c r="E1828" s="2">
        <v>134</v>
      </c>
      <c r="F1828" s="2">
        <v>2627.31</v>
      </c>
    </row>
    <row r="1829" spans="3:6" x14ac:dyDescent="0.25">
      <c r="C1829" s="2" t="s">
        <v>5363</v>
      </c>
      <c r="D1829" s="2" t="s">
        <v>30</v>
      </c>
      <c r="E1829" s="2">
        <v>156</v>
      </c>
      <c r="F1829" s="2">
        <v>2807.299</v>
      </c>
    </row>
    <row r="1830" spans="3:6" x14ac:dyDescent="0.25">
      <c r="C1830" s="2" t="s">
        <v>5364</v>
      </c>
      <c r="D1830" s="2" t="s">
        <v>30</v>
      </c>
      <c r="E1830" s="2">
        <v>163</v>
      </c>
      <c r="F1830" s="2">
        <v>3231.83</v>
      </c>
    </row>
    <row r="1831" spans="3:6" x14ac:dyDescent="0.25">
      <c r="C1831" s="2" t="s">
        <v>5365</v>
      </c>
      <c r="D1831" s="2" t="s">
        <v>30</v>
      </c>
      <c r="E1831" s="2">
        <v>163</v>
      </c>
      <c r="F1831" s="2">
        <v>3144.6</v>
      </c>
    </row>
    <row r="1832" spans="3:6" x14ac:dyDescent="0.25">
      <c r="C1832" s="2" t="s">
        <v>5366</v>
      </c>
      <c r="D1832" s="2" t="s">
        <v>30</v>
      </c>
      <c r="E1832" s="2">
        <v>58</v>
      </c>
      <c r="F1832" s="2">
        <v>1068.38</v>
      </c>
    </row>
    <row r="1833" spans="3:6" x14ac:dyDescent="0.25">
      <c r="C1833" s="2" t="s">
        <v>5367</v>
      </c>
      <c r="D1833" s="2" t="s">
        <v>30</v>
      </c>
      <c r="E1833" s="2">
        <v>35</v>
      </c>
      <c r="F1833" s="2">
        <v>740.02</v>
      </c>
    </row>
    <row r="1834" spans="3:6" x14ac:dyDescent="0.25">
      <c r="C1834" s="2" t="s">
        <v>5368</v>
      </c>
      <c r="D1834" s="2" t="s">
        <v>36</v>
      </c>
      <c r="E1834" s="2">
        <v>6</v>
      </c>
      <c r="F1834" s="2">
        <v>120</v>
      </c>
    </row>
    <row r="1835" spans="3:6" x14ac:dyDescent="0.25">
      <c r="C1835" s="2" t="s">
        <v>5369</v>
      </c>
      <c r="D1835" s="2" t="s">
        <v>36</v>
      </c>
      <c r="E1835" s="2">
        <v>19</v>
      </c>
      <c r="F1835" s="2">
        <v>367.95</v>
      </c>
    </row>
    <row r="1836" spans="3:6" x14ac:dyDescent="0.25">
      <c r="C1836" s="2" t="s">
        <v>5370</v>
      </c>
      <c r="D1836" s="2" t="s">
        <v>36</v>
      </c>
      <c r="E1836" s="2">
        <v>80</v>
      </c>
      <c r="F1836" s="2">
        <v>1628.12</v>
      </c>
    </row>
    <row r="1837" spans="3:6" x14ac:dyDescent="0.25">
      <c r="C1837" s="2" t="s">
        <v>5371</v>
      </c>
      <c r="D1837" s="2" t="s">
        <v>36</v>
      </c>
      <c r="E1837" s="2">
        <v>45</v>
      </c>
      <c r="F1837" s="2">
        <v>812.1</v>
      </c>
    </row>
    <row r="1838" spans="3:6" x14ac:dyDescent="0.25">
      <c r="C1838" s="2" t="s">
        <v>5372</v>
      </c>
      <c r="D1838" s="2" t="s">
        <v>36</v>
      </c>
      <c r="E1838" s="2">
        <v>60</v>
      </c>
      <c r="F1838" s="2">
        <v>1047.14</v>
      </c>
    </row>
    <row r="1839" spans="3:6" x14ac:dyDescent="0.25">
      <c r="C1839" s="2" t="s">
        <v>5373</v>
      </c>
      <c r="D1839" s="2" t="s">
        <v>36</v>
      </c>
      <c r="E1839" s="2">
        <v>60</v>
      </c>
      <c r="F1839" s="2">
        <v>1104.17</v>
      </c>
    </row>
    <row r="1840" spans="3:6" x14ac:dyDescent="0.25">
      <c r="C1840" s="2" t="s">
        <v>5374</v>
      </c>
      <c r="D1840" s="2" t="s">
        <v>36</v>
      </c>
      <c r="E1840" s="2">
        <v>45</v>
      </c>
      <c r="F1840" s="2">
        <v>776.859</v>
      </c>
    </row>
    <row r="1841" spans="3:6" x14ac:dyDescent="0.25">
      <c r="C1841" s="2" t="s">
        <v>5375</v>
      </c>
      <c r="D1841" s="2" t="s">
        <v>36</v>
      </c>
      <c r="E1841" s="2">
        <v>45</v>
      </c>
      <c r="F1841" s="2">
        <v>859.75</v>
      </c>
    </row>
    <row r="1842" spans="3:6" x14ac:dyDescent="0.25">
      <c r="C1842" s="2" t="s">
        <v>5376</v>
      </c>
      <c r="D1842" s="2" t="s">
        <v>36</v>
      </c>
      <c r="E1842" s="2">
        <v>60</v>
      </c>
      <c r="F1842" s="2">
        <v>1088.26</v>
      </c>
    </row>
    <row r="1843" spans="3:6" x14ac:dyDescent="0.25">
      <c r="C1843" s="2" t="s">
        <v>5377</v>
      </c>
      <c r="D1843" s="2" t="s">
        <v>42</v>
      </c>
      <c r="E1843" s="2">
        <v>6</v>
      </c>
      <c r="F1843" s="2">
        <v>114.37</v>
      </c>
    </row>
    <row r="1844" spans="3:6" x14ac:dyDescent="0.25">
      <c r="C1844" s="2" t="s">
        <v>5378</v>
      </c>
      <c r="D1844" s="2" t="s">
        <v>42</v>
      </c>
      <c r="E1844" s="2">
        <v>71</v>
      </c>
      <c r="F1844" s="2">
        <v>1305.93</v>
      </c>
    </row>
    <row r="1845" spans="3:6" x14ac:dyDescent="0.25">
      <c r="C1845" s="2" t="s">
        <v>5379</v>
      </c>
      <c r="D1845" s="2" t="s">
        <v>42</v>
      </c>
      <c r="E1845" s="2">
        <v>79</v>
      </c>
      <c r="F1845" s="2">
        <v>1457.399</v>
      </c>
    </row>
    <row r="1846" spans="3:6" x14ac:dyDescent="0.25">
      <c r="C1846" s="2" t="s">
        <v>5380</v>
      </c>
      <c r="D1846" s="2" t="s">
        <v>136</v>
      </c>
      <c r="E1846" s="2">
        <v>61</v>
      </c>
      <c r="F1846" s="2">
        <v>1014.689</v>
      </c>
    </row>
    <row r="1847" spans="3:6" x14ac:dyDescent="0.25">
      <c r="C1847" s="2" t="s">
        <v>5381</v>
      </c>
      <c r="D1847" s="2" t="s">
        <v>136</v>
      </c>
      <c r="E1847" s="2">
        <v>95</v>
      </c>
      <c r="F1847" s="2">
        <v>1796.56</v>
      </c>
    </row>
    <row r="1849" spans="1:7" x14ac:dyDescent="0.25">
      <c r="A1849" s="1">
        <v>46186</v>
      </c>
      <c r="B1849" s="2" t="s">
        <v>5382</v>
      </c>
      <c r="C1849" s="2" t="s">
        <v>5383</v>
      </c>
      <c r="D1849" s="2" t="s">
        <v>3848</v>
      </c>
      <c r="E1849" s="2">
        <v>81</v>
      </c>
      <c r="F1849" s="2">
        <v>2392.843</v>
      </c>
      <c r="G1849" s="1">
        <v>46186</v>
      </c>
    </row>
    <row r="1851" spans="1:7" x14ac:dyDescent="0.25">
      <c r="A1851" s="1">
        <v>46186</v>
      </c>
      <c r="B1851" s="2" t="s">
        <v>5384</v>
      </c>
      <c r="C1851" s="2" t="s">
        <v>5385</v>
      </c>
      <c r="D1851" s="2" t="s">
        <v>4334</v>
      </c>
      <c r="E1851" s="2">
        <v>112</v>
      </c>
      <c r="F1851" s="2">
        <v>1977.46</v>
      </c>
      <c r="G1851" s="1">
        <v>46186</v>
      </c>
    </row>
    <row r="1853" spans="1:7" x14ac:dyDescent="0.25">
      <c r="A1853" s="1">
        <v>46187</v>
      </c>
      <c r="B1853" s="2" t="s">
        <v>4880</v>
      </c>
      <c r="C1853" s="2" t="s">
        <v>5386</v>
      </c>
      <c r="D1853" s="2" t="s">
        <v>15</v>
      </c>
      <c r="E1853" s="2">
        <v>91</v>
      </c>
      <c r="F1853" s="2">
        <v>1420</v>
      </c>
      <c r="G1853" s="1">
        <v>46186</v>
      </c>
    </row>
    <row r="1855" spans="1:7" x14ac:dyDescent="0.25">
      <c r="A1855" s="1">
        <v>46187</v>
      </c>
      <c r="B1855" s="2" t="s">
        <v>1032</v>
      </c>
      <c r="C1855" s="2" t="s">
        <v>5387</v>
      </c>
      <c r="D1855" s="2" t="s">
        <v>73</v>
      </c>
      <c r="E1855" s="2">
        <v>89</v>
      </c>
      <c r="F1855" s="2">
        <v>1751.27</v>
      </c>
      <c r="G1855" s="1">
        <v>46186</v>
      </c>
    </row>
    <row r="1856" spans="3:6" x14ac:dyDescent="0.25">
      <c r="C1856" s="2" t="s">
        <v>5388</v>
      </c>
      <c r="D1856" s="2" t="s">
        <v>73</v>
      </c>
      <c r="E1856" s="2">
        <v>90</v>
      </c>
      <c r="F1856" s="2">
        <v>1849.54</v>
      </c>
    </row>
    <row r="1857" spans="3:6" x14ac:dyDescent="0.25">
      <c r="C1857" s="2" t="s">
        <v>5389</v>
      </c>
      <c r="D1857" s="2" t="s">
        <v>73</v>
      </c>
      <c r="E1857" s="2">
        <v>2</v>
      </c>
      <c r="F1857" s="2">
        <v>120.4</v>
      </c>
    </row>
    <row r="1858" spans="3:6" x14ac:dyDescent="0.25">
      <c r="C1858" s="2" t="s">
        <v>5390</v>
      </c>
      <c r="D1858" s="2" t="s">
        <v>73</v>
      </c>
      <c r="E1858" s="2">
        <v>49</v>
      </c>
      <c r="F1858" s="2">
        <v>855.15</v>
      </c>
    </row>
    <row r="1859" spans="3:6" x14ac:dyDescent="0.25">
      <c r="C1859" s="2" t="s">
        <v>5391</v>
      </c>
      <c r="D1859" s="2" t="s">
        <v>73</v>
      </c>
      <c r="E1859" s="2">
        <v>25</v>
      </c>
      <c r="F1859" s="2">
        <v>509.17</v>
      </c>
    </row>
    <row r="1860" spans="3:6" x14ac:dyDescent="0.25">
      <c r="C1860" s="2" t="s">
        <v>5392</v>
      </c>
      <c r="D1860" s="2" t="s">
        <v>73</v>
      </c>
      <c r="E1860" s="2">
        <v>16</v>
      </c>
      <c r="F1860" s="2">
        <v>278.499</v>
      </c>
    </row>
    <row r="1862" spans="1:7" x14ac:dyDescent="0.25">
      <c r="A1862" s="1">
        <v>46187</v>
      </c>
      <c r="B1862" s="2" t="s">
        <v>71</v>
      </c>
      <c r="C1862" s="2" t="s">
        <v>5393</v>
      </c>
      <c r="D1862" s="2" t="s">
        <v>73</v>
      </c>
      <c r="E1862" s="2">
        <v>85</v>
      </c>
      <c r="F1862" s="2">
        <v>1598.63</v>
      </c>
      <c r="G1862" s="1">
        <v>46186</v>
      </c>
    </row>
    <row r="1863" spans="3:6" x14ac:dyDescent="0.25">
      <c r="C1863" s="2" t="s">
        <v>5394</v>
      </c>
      <c r="D1863" s="2" t="s">
        <v>73</v>
      </c>
      <c r="E1863" s="2">
        <v>101</v>
      </c>
      <c r="F1863" s="2">
        <v>1955.47</v>
      </c>
    </row>
    <row r="1864" spans="3:6" x14ac:dyDescent="0.25">
      <c r="C1864" s="2" t="s">
        <v>5395</v>
      </c>
      <c r="D1864" s="2" t="s">
        <v>73</v>
      </c>
      <c r="E1864" s="2">
        <v>92</v>
      </c>
      <c r="F1864" s="2">
        <v>1613.319</v>
      </c>
    </row>
    <row r="1865" spans="3:6" x14ac:dyDescent="0.25">
      <c r="C1865" s="2" t="s">
        <v>5396</v>
      </c>
      <c r="D1865" s="2" t="s">
        <v>73</v>
      </c>
      <c r="E1865" s="2">
        <v>9</v>
      </c>
      <c r="F1865" s="2">
        <v>188.21</v>
      </c>
    </row>
    <row r="1866" spans="3:6" x14ac:dyDescent="0.25">
      <c r="C1866" s="2" t="s">
        <v>5397</v>
      </c>
      <c r="D1866" s="2" t="s">
        <v>73</v>
      </c>
      <c r="E1866" s="2">
        <v>42</v>
      </c>
      <c r="F1866" s="2">
        <v>836.63</v>
      </c>
    </row>
    <row r="1867" spans="3:6" x14ac:dyDescent="0.25">
      <c r="C1867" s="2" t="s">
        <v>5398</v>
      </c>
      <c r="D1867" s="2" t="s">
        <v>73</v>
      </c>
      <c r="E1867" s="2">
        <v>59</v>
      </c>
      <c r="F1867" s="2">
        <v>1032.44</v>
      </c>
    </row>
    <row r="1869" spans="1:7" x14ac:dyDescent="0.25">
      <c r="A1869" s="1">
        <v>46187</v>
      </c>
      <c r="B1869" s="2" t="s">
        <v>5399</v>
      </c>
      <c r="C1869" s="2" t="s">
        <v>5400</v>
      </c>
      <c r="D1869" s="2" t="s">
        <v>178</v>
      </c>
      <c r="E1869" s="2">
        <v>141</v>
      </c>
      <c r="F1869" s="2">
        <v>2916.1</v>
      </c>
      <c r="G1869" s="1">
        <v>46186</v>
      </c>
    </row>
    <row r="1870" spans="3:6" x14ac:dyDescent="0.25">
      <c r="C1870" s="2" t="s">
        <v>5401</v>
      </c>
      <c r="D1870" s="2" t="s">
        <v>178</v>
      </c>
      <c r="E1870" s="2">
        <v>141</v>
      </c>
      <c r="F1870" s="2">
        <v>2950.76</v>
      </c>
    </row>
    <row r="1871" spans="3:6" x14ac:dyDescent="0.25">
      <c r="C1871" s="2" t="s">
        <v>5402</v>
      </c>
      <c r="D1871" s="2" t="s">
        <v>178</v>
      </c>
      <c r="E1871" s="2">
        <v>141</v>
      </c>
      <c r="F1871" s="2">
        <v>2844.989</v>
      </c>
    </row>
    <row r="1872" spans="3:6" x14ac:dyDescent="0.25">
      <c r="C1872" s="2" t="s">
        <v>5403</v>
      </c>
      <c r="D1872" s="2" t="s">
        <v>178</v>
      </c>
      <c r="E1872" s="2">
        <v>102</v>
      </c>
      <c r="F1872" s="2">
        <v>2055.308</v>
      </c>
    </row>
    <row r="1873" spans="3:6" x14ac:dyDescent="0.25">
      <c r="C1873" s="2" t="s">
        <v>5404</v>
      </c>
      <c r="D1873" s="2" t="s">
        <v>178</v>
      </c>
      <c r="E1873" s="2">
        <v>45</v>
      </c>
      <c r="F1873" s="2">
        <v>192.07</v>
      </c>
    </row>
    <row r="1874" spans="3:6" x14ac:dyDescent="0.25">
      <c r="C1874" s="2" t="s">
        <v>5405</v>
      </c>
      <c r="D1874" s="2" t="s">
        <v>178</v>
      </c>
      <c r="E1874" s="2">
        <v>123</v>
      </c>
      <c r="F1874" s="2">
        <v>2309.108</v>
      </c>
    </row>
    <row r="1875" spans="3:6" x14ac:dyDescent="0.25">
      <c r="C1875" s="2" t="s">
        <v>5406</v>
      </c>
      <c r="D1875" s="2" t="s">
        <v>178</v>
      </c>
      <c r="E1875" s="2">
        <v>123</v>
      </c>
      <c r="F1875" s="2">
        <v>2344.679</v>
      </c>
    </row>
    <row r="1876" spans="3:6" x14ac:dyDescent="0.25">
      <c r="C1876" s="2" t="s">
        <v>5407</v>
      </c>
      <c r="D1876" s="2" t="s">
        <v>178</v>
      </c>
      <c r="E1876" s="2">
        <v>123</v>
      </c>
      <c r="F1876" s="2">
        <v>2497.53</v>
      </c>
    </row>
    <row r="1877" spans="3:6" x14ac:dyDescent="0.25">
      <c r="C1877" s="2" t="s">
        <v>5408</v>
      </c>
      <c r="D1877" s="2" t="s">
        <v>178</v>
      </c>
      <c r="E1877" s="2">
        <v>141</v>
      </c>
      <c r="F1877" s="2">
        <v>2850.37</v>
      </c>
    </row>
    <row r="1878" spans="3:6" x14ac:dyDescent="0.25">
      <c r="C1878" s="2" t="s">
        <v>5409</v>
      </c>
      <c r="D1878" s="2" t="s">
        <v>178</v>
      </c>
      <c r="E1878" s="2">
        <v>60</v>
      </c>
      <c r="F1878" s="2">
        <v>262.009</v>
      </c>
    </row>
    <row r="1879" spans="3:6" x14ac:dyDescent="0.25">
      <c r="C1879" s="2" t="s">
        <v>5410</v>
      </c>
      <c r="D1879" s="2" t="s">
        <v>178</v>
      </c>
      <c r="E1879" s="2">
        <v>123</v>
      </c>
      <c r="F1879" s="2">
        <v>2557.35</v>
      </c>
    </row>
    <row r="1880" spans="3:6" x14ac:dyDescent="0.25">
      <c r="C1880" s="2" t="s">
        <v>5411</v>
      </c>
      <c r="D1880" s="2" t="s">
        <v>178</v>
      </c>
      <c r="E1880" s="2">
        <v>142</v>
      </c>
      <c r="F1880" s="2">
        <v>2972.53</v>
      </c>
    </row>
    <row r="1881" spans="3:6" x14ac:dyDescent="0.25">
      <c r="C1881" s="2" t="s">
        <v>5412</v>
      </c>
      <c r="D1881" s="2" t="s">
        <v>178</v>
      </c>
      <c r="E1881" s="2">
        <v>141</v>
      </c>
      <c r="F1881" s="2">
        <v>2842.53</v>
      </c>
    </row>
    <row r="1882" spans="3:6" x14ac:dyDescent="0.25">
      <c r="C1882" s="2" t="s">
        <v>5413</v>
      </c>
      <c r="D1882" s="2" t="s">
        <v>178</v>
      </c>
      <c r="E1882" s="2">
        <v>54</v>
      </c>
      <c r="F1882" s="2">
        <v>965.47</v>
      </c>
    </row>
    <row r="1883" spans="3:6" x14ac:dyDescent="0.25">
      <c r="C1883" s="2" t="s">
        <v>5414</v>
      </c>
      <c r="D1883" s="2" t="s">
        <v>178</v>
      </c>
      <c r="E1883" s="2">
        <v>48</v>
      </c>
      <c r="F1883" s="2">
        <v>794.34</v>
      </c>
    </row>
    <row r="1884" spans="3:6" x14ac:dyDescent="0.25">
      <c r="C1884" s="2" t="s">
        <v>5415</v>
      </c>
      <c r="D1884" s="2" t="s">
        <v>178</v>
      </c>
      <c r="E1884" s="2">
        <v>45</v>
      </c>
      <c r="F1884" s="2">
        <v>195.77</v>
      </c>
    </row>
    <row r="1885" spans="3:6" x14ac:dyDescent="0.25">
      <c r="C1885" s="2" t="s">
        <v>5416</v>
      </c>
      <c r="D1885" s="2" t="s">
        <v>178</v>
      </c>
      <c r="E1885" s="2">
        <v>134</v>
      </c>
      <c r="F1885" s="2">
        <v>2752.67</v>
      </c>
    </row>
    <row r="1886" spans="3:6" x14ac:dyDescent="0.25">
      <c r="C1886" s="2" t="s">
        <v>5417</v>
      </c>
      <c r="D1886" s="2" t="s">
        <v>178</v>
      </c>
      <c r="E1886" s="2">
        <v>141</v>
      </c>
      <c r="F1886" s="2">
        <v>2781.36</v>
      </c>
    </row>
    <row r="1887" spans="3:6" x14ac:dyDescent="0.25">
      <c r="C1887" s="2" t="s">
        <v>5418</v>
      </c>
      <c r="D1887" s="2" t="s">
        <v>178</v>
      </c>
      <c r="E1887" s="2">
        <v>142</v>
      </c>
      <c r="F1887" s="2">
        <v>2810.55</v>
      </c>
    </row>
    <row r="1888" spans="3:6" x14ac:dyDescent="0.25">
      <c r="C1888" s="2" t="s">
        <v>5419</v>
      </c>
      <c r="D1888" s="2" t="s">
        <v>178</v>
      </c>
      <c r="E1888" s="2">
        <v>102</v>
      </c>
      <c r="F1888" s="2">
        <v>1920.41</v>
      </c>
    </row>
    <row r="1889" spans="3:6" x14ac:dyDescent="0.25">
      <c r="C1889" s="2" t="s">
        <v>5420</v>
      </c>
      <c r="D1889" s="2" t="s">
        <v>178</v>
      </c>
      <c r="E1889" s="2">
        <v>141</v>
      </c>
      <c r="F1889" s="2">
        <v>2928.79</v>
      </c>
    </row>
    <row r="1890" spans="3:6" x14ac:dyDescent="0.25">
      <c r="C1890" s="2" t="s">
        <v>5421</v>
      </c>
      <c r="D1890" s="2" t="s">
        <v>178</v>
      </c>
      <c r="E1890" s="2">
        <v>142</v>
      </c>
      <c r="F1890" s="2">
        <v>2981.66</v>
      </c>
    </row>
    <row r="1891" spans="3:6" x14ac:dyDescent="0.25">
      <c r="C1891" s="2" t="s">
        <v>5422</v>
      </c>
      <c r="D1891" s="2" t="s">
        <v>178</v>
      </c>
      <c r="E1891" s="2">
        <v>141</v>
      </c>
      <c r="F1891" s="2">
        <v>2829.529</v>
      </c>
    </row>
    <row r="1892" spans="3:6" x14ac:dyDescent="0.25">
      <c r="C1892" s="2" t="s">
        <v>5423</v>
      </c>
      <c r="D1892" s="2" t="s">
        <v>178</v>
      </c>
      <c r="E1892" s="2">
        <v>102</v>
      </c>
      <c r="F1892" s="2">
        <v>2061.15</v>
      </c>
    </row>
    <row r="1893" spans="3:6" x14ac:dyDescent="0.25">
      <c r="C1893" s="2" t="s">
        <v>5424</v>
      </c>
      <c r="D1893" s="2" t="s">
        <v>178</v>
      </c>
      <c r="E1893" s="2">
        <v>141</v>
      </c>
      <c r="F1893" s="2">
        <v>2872.73</v>
      </c>
    </row>
    <row r="1894" spans="3:6" x14ac:dyDescent="0.25">
      <c r="C1894" s="2" t="s">
        <v>5425</v>
      </c>
      <c r="D1894" s="2" t="s">
        <v>178</v>
      </c>
      <c r="E1894" s="2">
        <v>141</v>
      </c>
      <c r="F1894" s="2">
        <v>2871.31</v>
      </c>
    </row>
    <row r="1895" spans="3:6" x14ac:dyDescent="0.25">
      <c r="C1895" s="2" t="s">
        <v>5426</v>
      </c>
      <c r="D1895" s="2" t="s">
        <v>178</v>
      </c>
      <c r="E1895" s="2">
        <v>141</v>
      </c>
      <c r="F1895" s="2">
        <v>2841.06</v>
      </c>
    </row>
    <row r="1896" spans="3:6" x14ac:dyDescent="0.25">
      <c r="C1896" s="2" t="s">
        <v>5427</v>
      </c>
      <c r="D1896" s="2" t="s">
        <v>178</v>
      </c>
      <c r="E1896" s="2">
        <v>77</v>
      </c>
      <c r="F1896" s="2">
        <v>1556.24</v>
      </c>
    </row>
    <row r="1897" spans="3:6" x14ac:dyDescent="0.25">
      <c r="C1897" s="2" t="s">
        <v>5428</v>
      </c>
      <c r="D1897" s="2" t="s">
        <v>178</v>
      </c>
      <c r="E1897" s="2">
        <v>25</v>
      </c>
      <c r="F1897" s="2">
        <v>488.03</v>
      </c>
    </row>
    <row r="1898" spans="3:6" x14ac:dyDescent="0.25">
      <c r="C1898" s="2" t="s">
        <v>5429</v>
      </c>
      <c r="D1898" s="2" t="s">
        <v>178</v>
      </c>
      <c r="E1898" s="2">
        <v>55</v>
      </c>
      <c r="F1898" s="2">
        <v>971.959</v>
      </c>
    </row>
    <row r="1899" spans="3:6" x14ac:dyDescent="0.25">
      <c r="C1899" s="2" t="s">
        <v>5430</v>
      </c>
      <c r="D1899" s="2" t="s">
        <v>178</v>
      </c>
      <c r="E1899" s="2">
        <v>20</v>
      </c>
      <c r="F1899" s="2">
        <v>297.04</v>
      </c>
    </row>
    <row r="1900" spans="3:6" x14ac:dyDescent="0.25">
      <c r="C1900" s="2" t="s">
        <v>5431</v>
      </c>
      <c r="D1900" s="2" t="s">
        <v>178</v>
      </c>
      <c r="E1900" s="2">
        <v>3</v>
      </c>
      <c r="F1900" s="2">
        <v>23.14</v>
      </c>
    </row>
    <row r="1901" spans="3:6" x14ac:dyDescent="0.25">
      <c r="C1901" s="2" t="s">
        <v>5432</v>
      </c>
      <c r="D1901" s="2" t="s">
        <v>178</v>
      </c>
      <c r="E1901" s="2">
        <v>144</v>
      </c>
      <c r="F1901" s="2">
        <v>2093.619</v>
      </c>
    </row>
    <row r="1902" spans="3:6" x14ac:dyDescent="0.25">
      <c r="C1902" s="2" t="s">
        <v>5433</v>
      </c>
      <c r="D1902" s="2" t="s">
        <v>178</v>
      </c>
      <c r="E1902" s="2">
        <v>141</v>
      </c>
      <c r="F1902" s="2">
        <v>2367.4</v>
      </c>
    </row>
    <row r="1903" spans="3:6" x14ac:dyDescent="0.25">
      <c r="C1903" s="2" t="s">
        <v>5434</v>
      </c>
      <c r="D1903" s="2" t="s">
        <v>178</v>
      </c>
      <c r="E1903" s="2">
        <v>141</v>
      </c>
      <c r="F1903" s="2">
        <v>2907.61</v>
      </c>
    </row>
    <row r="1904" spans="3:6" x14ac:dyDescent="0.25">
      <c r="C1904" s="2" t="s">
        <v>5435</v>
      </c>
      <c r="D1904" s="2" t="s">
        <v>178</v>
      </c>
      <c r="E1904" s="2">
        <v>102</v>
      </c>
      <c r="F1904" s="2">
        <v>2026.66</v>
      </c>
    </row>
    <row r="1905" spans="3:6" x14ac:dyDescent="0.25">
      <c r="C1905" s="2" t="s">
        <v>5436</v>
      </c>
      <c r="D1905" s="2" t="s">
        <v>178</v>
      </c>
      <c r="E1905" s="2">
        <v>102</v>
      </c>
      <c r="F1905" s="2">
        <v>2081.92</v>
      </c>
    </row>
    <row r="1906" spans="3:6" x14ac:dyDescent="0.25">
      <c r="C1906" s="2" t="s">
        <v>5437</v>
      </c>
      <c r="D1906" s="2" t="s">
        <v>178</v>
      </c>
      <c r="E1906" s="2">
        <v>94</v>
      </c>
      <c r="F1906" s="2">
        <v>1956.149</v>
      </c>
    </row>
    <row r="1907" spans="3:6" x14ac:dyDescent="0.25">
      <c r="C1907" s="2" t="s">
        <v>5438</v>
      </c>
      <c r="D1907" s="2" t="s">
        <v>178</v>
      </c>
      <c r="E1907" s="2">
        <v>47</v>
      </c>
      <c r="F1907" s="2">
        <v>955.05</v>
      </c>
    </row>
    <row r="1909" spans="1:7" x14ac:dyDescent="0.25">
      <c r="A1909" s="1">
        <v>46187</v>
      </c>
      <c r="B1909" s="2" t="s">
        <v>5439</v>
      </c>
      <c r="C1909" s="2" t="s">
        <v>5440</v>
      </c>
      <c r="D1909" s="2" t="s">
        <v>292</v>
      </c>
      <c r="E1909" s="2">
        <v>58</v>
      </c>
      <c r="F1909" s="2">
        <v>1415.16</v>
      </c>
      <c r="G1909" s="1">
        <v>46186</v>
      </c>
    </row>
    <row r="1911" spans="1:7" x14ac:dyDescent="0.25">
      <c r="A1911" s="1">
        <v>46187</v>
      </c>
      <c r="B1911" s="2" t="s">
        <v>80</v>
      </c>
      <c r="C1911" s="2" t="s">
        <v>5441</v>
      </c>
      <c r="D1911" s="2" t="s">
        <v>82</v>
      </c>
      <c r="E1911" s="2">
        <v>141</v>
      </c>
      <c r="F1911" s="2">
        <v>2974.78</v>
      </c>
      <c r="G1911" s="1">
        <v>46186</v>
      </c>
    </row>
    <row r="1912" spans="3:6" x14ac:dyDescent="0.25">
      <c r="C1912" s="2" t="s">
        <v>5442</v>
      </c>
      <c r="D1912" s="2" t="s">
        <v>82</v>
      </c>
      <c r="E1912" s="2">
        <v>142</v>
      </c>
      <c r="F1912" s="2">
        <v>2855.06</v>
      </c>
    </row>
    <row r="1913" spans="3:6" x14ac:dyDescent="0.25">
      <c r="C1913" s="2" t="s">
        <v>5443</v>
      </c>
      <c r="D1913" s="2" t="s">
        <v>82</v>
      </c>
      <c r="E1913" s="2">
        <v>121</v>
      </c>
      <c r="F1913" s="2">
        <v>2542.12</v>
      </c>
    </row>
    <row r="1914" spans="3:6" x14ac:dyDescent="0.25">
      <c r="C1914" s="2" t="s">
        <v>5444</v>
      </c>
      <c r="D1914" s="2" t="s">
        <v>82</v>
      </c>
      <c r="E1914" s="2">
        <v>141</v>
      </c>
      <c r="F1914" s="2">
        <v>2834.67</v>
      </c>
    </row>
    <row r="1915" spans="3:6" x14ac:dyDescent="0.25">
      <c r="C1915" s="2" t="s">
        <v>5445</v>
      </c>
      <c r="D1915" s="2" t="s">
        <v>82</v>
      </c>
      <c r="E1915" s="2">
        <v>49</v>
      </c>
      <c r="F1915" s="2">
        <v>1016.89</v>
      </c>
    </row>
    <row r="1916" spans="3:6" x14ac:dyDescent="0.25">
      <c r="C1916" s="2" t="s">
        <v>5446</v>
      </c>
      <c r="D1916" s="2" t="s">
        <v>82</v>
      </c>
      <c r="E1916" s="2">
        <v>59</v>
      </c>
      <c r="F1916" s="2">
        <v>1166.16</v>
      </c>
    </row>
    <row r="1917" spans="3:6" x14ac:dyDescent="0.25">
      <c r="C1917" s="2" t="s">
        <v>5447</v>
      </c>
      <c r="D1917" s="2" t="s">
        <v>82</v>
      </c>
      <c r="E1917" s="2">
        <v>33</v>
      </c>
      <c r="F1917" s="2">
        <v>635.34</v>
      </c>
    </row>
    <row r="1918" spans="3:6" x14ac:dyDescent="0.25">
      <c r="C1918" s="2" t="s">
        <v>5448</v>
      </c>
      <c r="D1918" s="2" t="s">
        <v>82</v>
      </c>
      <c r="E1918" s="2">
        <v>28</v>
      </c>
      <c r="F1918" s="2">
        <v>494.24</v>
      </c>
    </row>
    <row r="1919" spans="3:6" x14ac:dyDescent="0.25">
      <c r="C1919" s="2" t="s">
        <v>5449</v>
      </c>
      <c r="D1919" s="2" t="s">
        <v>82</v>
      </c>
      <c r="E1919" s="2">
        <v>97</v>
      </c>
      <c r="F1919" s="2">
        <v>1691.17</v>
      </c>
    </row>
    <row r="1920" spans="3:6" x14ac:dyDescent="0.25">
      <c r="C1920" s="2" t="s">
        <v>5450</v>
      </c>
      <c r="D1920" s="2" t="s">
        <v>82</v>
      </c>
      <c r="E1920" s="2">
        <v>25</v>
      </c>
      <c r="F1920" s="2">
        <v>475.49</v>
      </c>
    </row>
    <row r="1921" spans="3:6" x14ac:dyDescent="0.25">
      <c r="C1921" s="2" t="s">
        <v>5451</v>
      </c>
      <c r="D1921" s="2" t="s">
        <v>82</v>
      </c>
      <c r="E1921" s="2">
        <v>50</v>
      </c>
      <c r="F1921" s="2">
        <v>979.48</v>
      </c>
    </row>
    <row r="1922" spans="3:6" x14ac:dyDescent="0.25">
      <c r="C1922" s="2" t="s">
        <v>5452</v>
      </c>
      <c r="D1922" s="2" t="s">
        <v>82</v>
      </c>
      <c r="E1922" s="2">
        <v>102</v>
      </c>
      <c r="F1922" s="2">
        <v>2043.329</v>
      </c>
    </row>
    <row r="1923" spans="3:6" x14ac:dyDescent="0.25">
      <c r="C1923" s="2" t="s">
        <v>5453</v>
      </c>
      <c r="D1923" s="2" t="s">
        <v>82</v>
      </c>
      <c r="E1923" s="2">
        <v>102</v>
      </c>
      <c r="F1923" s="2">
        <v>2001.94</v>
      </c>
    </row>
    <row r="1924" spans="3:6" x14ac:dyDescent="0.25">
      <c r="C1924" s="2" t="s">
        <v>5454</v>
      </c>
      <c r="D1924" s="2" t="s">
        <v>82</v>
      </c>
      <c r="E1924" s="2">
        <v>41</v>
      </c>
      <c r="F1924" s="2">
        <v>813.14</v>
      </c>
    </row>
    <row r="1925" spans="3:6" x14ac:dyDescent="0.25">
      <c r="C1925" s="2" t="s">
        <v>5455</v>
      </c>
      <c r="D1925" s="2" t="s">
        <v>82</v>
      </c>
      <c r="E1925" s="2">
        <v>53</v>
      </c>
      <c r="F1925" s="2">
        <v>1034.73</v>
      </c>
    </row>
    <row r="1926" spans="3:6" x14ac:dyDescent="0.25">
      <c r="C1926" s="2" t="s">
        <v>5456</v>
      </c>
      <c r="D1926" s="2" t="s">
        <v>82</v>
      </c>
      <c r="E1926" s="2">
        <v>8</v>
      </c>
      <c r="F1926" s="2">
        <v>136.79</v>
      </c>
    </row>
    <row r="1927" spans="3:6" x14ac:dyDescent="0.25">
      <c r="C1927" s="2" t="s">
        <v>5457</v>
      </c>
      <c r="D1927" s="2" t="s">
        <v>82</v>
      </c>
      <c r="E1927" s="2">
        <v>26</v>
      </c>
      <c r="F1927" s="2">
        <v>462.26</v>
      </c>
    </row>
    <row r="1928" spans="3:6" x14ac:dyDescent="0.25">
      <c r="C1928" s="2" t="s">
        <v>5458</v>
      </c>
      <c r="D1928" s="2" t="s">
        <v>82</v>
      </c>
      <c r="E1928" s="2">
        <v>48</v>
      </c>
      <c r="F1928" s="2">
        <v>869.479</v>
      </c>
    </row>
    <row r="1929" spans="3:6" x14ac:dyDescent="0.25">
      <c r="C1929" s="2" t="s">
        <v>5459</v>
      </c>
      <c r="D1929" s="2" t="s">
        <v>82</v>
      </c>
      <c r="E1929" s="2">
        <v>32</v>
      </c>
      <c r="F1929" s="2">
        <v>587.21</v>
      </c>
    </row>
    <row r="1930" spans="3:6" x14ac:dyDescent="0.25">
      <c r="C1930" s="2" t="s">
        <v>5460</v>
      </c>
      <c r="D1930" s="2" t="s">
        <v>82</v>
      </c>
      <c r="E1930" s="2">
        <v>16</v>
      </c>
      <c r="F1930" s="2">
        <v>303.19</v>
      </c>
    </row>
    <row r="1931" spans="3:6" x14ac:dyDescent="0.25">
      <c r="C1931" s="2" t="s">
        <v>5461</v>
      </c>
      <c r="D1931" s="2" t="s">
        <v>82</v>
      </c>
      <c r="E1931" s="2">
        <v>70</v>
      </c>
      <c r="F1931" s="2">
        <v>302.1</v>
      </c>
    </row>
    <row r="1932" spans="3:6" x14ac:dyDescent="0.25">
      <c r="C1932" s="2" t="s">
        <v>5462</v>
      </c>
      <c r="D1932" s="2" t="s">
        <v>82</v>
      </c>
      <c r="E1932" s="2">
        <v>69</v>
      </c>
      <c r="F1932" s="2">
        <v>306.88</v>
      </c>
    </row>
    <row r="1933" spans="3:6" x14ac:dyDescent="0.25">
      <c r="C1933" s="2" t="s">
        <v>5463</v>
      </c>
      <c r="D1933" s="2" t="s">
        <v>82</v>
      </c>
      <c r="E1933" s="2">
        <v>69</v>
      </c>
      <c r="F1933" s="2">
        <v>1457.31</v>
      </c>
    </row>
    <row r="1934" spans="3:6" x14ac:dyDescent="0.25">
      <c r="C1934" s="2" t="s">
        <v>5464</v>
      </c>
      <c r="D1934" s="2" t="s">
        <v>82</v>
      </c>
      <c r="E1934" s="2">
        <v>39</v>
      </c>
      <c r="F1934" s="2">
        <v>689.35</v>
      </c>
    </row>
    <row r="1935" spans="3:6" x14ac:dyDescent="0.25">
      <c r="C1935" s="2" t="s">
        <v>5465</v>
      </c>
      <c r="D1935" s="2" t="s">
        <v>82</v>
      </c>
      <c r="E1935" s="2">
        <v>13</v>
      </c>
      <c r="F1935" s="2">
        <v>255.13</v>
      </c>
    </row>
    <row r="1936" spans="3:6" x14ac:dyDescent="0.25">
      <c r="C1936" s="2" t="s">
        <v>5466</v>
      </c>
      <c r="D1936" s="2" t="s">
        <v>82</v>
      </c>
      <c r="E1936" s="2">
        <v>73</v>
      </c>
      <c r="F1936" s="2">
        <v>1474.57</v>
      </c>
    </row>
    <row r="1937" spans="3:6" x14ac:dyDescent="0.25">
      <c r="C1937" s="2" t="s">
        <v>5467</v>
      </c>
      <c r="D1937" s="2" t="s">
        <v>82</v>
      </c>
      <c r="E1937" s="2">
        <v>61</v>
      </c>
      <c r="F1937" s="2">
        <v>1287.45</v>
      </c>
    </row>
    <row r="1938" spans="3:6" x14ac:dyDescent="0.25">
      <c r="C1938" s="2" t="s">
        <v>5468</v>
      </c>
      <c r="D1938" s="2" t="s">
        <v>82</v>
      </c>
      <c r="E1938" s="2">
        <v>22</v>
      </c>
      <c r="F1938" s="2">
        <v>454.6</v>
      </c>
    </row>
    <row r="1939" spans="3:6" x14ac:dyDescent="0.25">
      <c r="C1939" s="2" t="s">
        <v>5469</v>
      </c>
      <c r="D1939" s="2" t="s">
        <v>82</v>
      </c>
      <c r="E1939" s="2">
        <v>80</v>
      </c>
      <c r="F1939" s="2">
        <v>1640.8</v>
      </c>
    </row>
    <row r="1940" spans="3:6" x14ac:dyDescent="0.25">
      <c r="C1940" s="2" t="s">
        <v>5470</v>
      </c>
      <c r="D1940" s="2" t="s">
        <v>82</v>
      </c>
      <c r="E1940" s="2">
        <v>59</v>
      </c>
      <c r="F1940" s="2">
        <v>1685.78</v>
      </c>
    </row>
    <row r="1941" spans="3:6" x14ac:dyDescent="0.25">
      <c r="C1941" s="2" t="s">
        <v>5471</v>
      </c>
      <c r="D1941" s="2" t="s">
        <v>82</v>
      </c>
      <c r="E1941" s="2">
        <v>141</v>
      </c>
      <c r="F1941" s="2">
        <v>2874.62</v>
      </c>
    </row>
    <row r="1942" spans="3:6" x14ac:dyDescent="0.25">
      <c r="C1942" s="2" t="s">
        <v>5472</v>
      </c>
      <c r="D1942" s="2" t="s">
        <v>82</v>
      </c>
      <c r="E1942" s="2">
        <v>141</v>
      </c>
      <c r="F1942" s="2">
        <v>2881.29</v>
      </c>
    </row>
    <row r="1943" spans="3:6" x14ac:dyDescent="0.25">
      <c r="C1943" s="2" t="s">
        <v>5473</v>
      </c>
      <c r="D1943" s="2" t="s">
        <v>82</v>
      </c>
      <c r="E1943" s="2">
        <v>41</v>
      </c>
      <c r="F1943" s="2">
        <v>779.48</v>
      </c>
    </row>
    <row r="1944" spans="3:6" x14ac:dyDescent="0.25">
      <c r="C1944" s="2" t="s">
        <v>5474</v>
      </c>
      <c r="D1944" s="2" t="s">
        <v>82</v>
      </c>
      <c r="E1944" s="2">
        <v>100</v>
      </c>
      <c r="F1944" s="2">
        <v>2074.62</v>
      </c>
    </row>
    <row r="1945" spans="3:6" x14ac:dyDescent="0.25">
      <c r="C1945" s="2" t="s">
        <v>5475</v>
      </c>
      <c r="D1945" s="2" t="s">
        <v>82</v>
      </c>
      <c r="E1945" s="2">
        <v>141</v>
      </c>
      <c r="F1945" s="2">
        <v>2709.49</v>
      </c>
    </row>
    <row r="1946" spans="3:6" x14ac:dyDescent="0.25">
      <c r="C1946" s="2" t="s">
        <v>5476</v>
      </c>
      <c r="D1946" s="2" t="s">
        <v>82</v>
      </c>
      <c r="E1946" s="2">
        <v>49</v>
      </c>
      <c r="F1946" s="2">
        <v>936.51</v>
      </c>
    </row>
    <row r="1947" spans="3:6" x14ac:dyDescent="0.25">
      <c r="C1947" s="2" t="s">
        <v>5477</v>
      </c>
      <c r="D1947" s="2" t="s">
        <v>82</v>
      </c>
      <c r="E1947" s="2">
        <v>92</v>
      </c>
      <c r="F1947" s="2">
        <v>1865.47</v>
      </c>
    </row>
    <row r="1948" spans="3:6" x14ac:dyDescent="0.25">
      <c r="C1948" s="2" t="s">
        <v>5478</v>
      </c>
      <c r="D1948" s="2" t="s">
        <v>82</v>
      </c>
      <c r="E1948" s="2">
        <v>141</v>
      </c>
      <c r="F1948" s="2">
        <v>2807.939</v>
      </c>
    </row>
    <row r="1949" spans="3:6" x14ac:dyDescent="0.25">
      <c r="C1949" s="2" t="s">
        <v>5479</v>
      </c>
      <c r="D1949" s="2" t="s">
        <v>82</v>
      </c>
      <c r="E1949" s="2">
        <v>141</v>
      </c>
      <c r="F1949" s="2">
        <v>2958.68</v>
      </c>
    </row>
    <row r="1950" spans="3:6" x14ac:dyDescent="0.25">
      <c r="C1950" s="2" t="s">
        <v>5480</v>
      </c>
      <c r="D1950" s="2" t="s">
        <v>82</v>
      </c>
      <c r="E1950" s="2">
        <v>45</v>
      </c>
      <c r="F1950" s="2">
        <v>619.21</v>
      </c>
    </row>
    <row r="1951" spans="3:6" x14ac:dyDescent="0.25">
      <c r="C1951" s="2" t="s">
        <v>5481</v>
      </c>
      <c r="D1951" s="2" t="s">
        <v>82</v>
      </c>
      <c r="E1951" s="2">
        <v>96</v>
      </c>
      <c r="F1951" s="2">
        <v>1935.8</v>
      </c>
    </row>
    <row r="1952" spans="3:6" x14ac:dyDescent="0.25">
      <c r="C1952" s="2" t="s">
        <v>5482</v>
      </c>
      <c r="D1952" s="2" t="s">
        <v>82</v>
      </c>
      <c r="E1952" s="2">
        <v>41</v>
      </c>
      <c r="F1952" s="2">
        <v>877.68</v>
      </c>
    </row>
    <row r="1953" spans="3:6" x14ac:dyDescent="0.25">
      <c r="C1953" s="2" t="s">
        <v>5483</v>
      </c>
      <c r="D1953" s="2" t="s">
        <v>82</v>
      </c>
      <c r="E1953" s="2">
        <v>34</v>
      </c>
      <c r="F1953" s="2">
        <v>703.59</v>
      </c>
    </row>
    <row r="1954" spans="3:6" x14ac:dyDescent="0.25">
      <c r="C1954" s="2" t="s">
        <v>5484</v>
      </c>
      <c r="D1954" s="2" t="s">
        <v>82</v>
      </c>
      <c r="E1954" s="2">
        <v>66</v>
      </c>
      <c r="F1954" s="2">
        <v>1384.78</v>
      </c>
    </row>
    <row r="1955" spans="3:6" x14ac:dyDescent="0.25">
      <c r="C1955" s="2" t="s">
        <v>5485</v>
      </c>
      <c r="D1955" s="2" t="s">
        <v>82</v>
      </c>
      <c r="E1955" s="2">
        <v>14</v>
      </c>
      <c r="F1955" s="2">
        <v>272.27</v>
      </c>
    </row>
    <row r="1956" spans="3:6" x14ac:dyDescent="0.25">
      <c r="C1956" s="2" t="s">
        <v>5486</v>
      </c>
      <c r="D1956" s="2" t="s">
        <v>82</v>
      </c>
      <c r="E1956" s="2">
        <v>15</v>
      </c>
      <c r="F1956" s="2">
        <v>310.58</v>
      </c>
    </row>
    <row r="1957" spans="3:6" x14ac:dyDescent="0.25">
      <c r="C1957" s="2" t="s">
        <v>5487</v>
      </c>
      <c r="D1957" s="2" t="s">
        <v>82</v>
      </c>
      <c r="E1957" s="2">
        <v>51</v>
      </c>
      <c r="F1957" s="2">
        <v>1031.88</v>
      </c>
    </row>
    <row r="1958" spans="3:6" x14ac:dyDescent="0.25">
      <c r="C1958" s="2" t="s">
        <v>5488</v>
      </c>
      <c r="D1958" s="2" t="s">
        <v>82</v>
      </c>
      <c r="E1958" s="2">
        <v>28</v>
      </c>
      <c r="F1958" s="2">
        <v>489.63</v>
      </c>
    </row>
    <row r="1959" spans="3:6" x14ac:dyDescent="0.25">
      <c r="C1959" s="2" t="s">
        <v>5489</v>
      </c>
      <c r="D1959" s="2" t="s">
        <v>82</v>
      </c>
      <c r="E1959" s="2">
        <v>33</v>
      </c>
      <c r="F1959" s="2">
        <v>592.92</v>
      </c>
    </row>
    <row r="1961" spans="1:7" x14ac:dyDescent="0.25">
      <c r="A1961" s="1">
        <v>46187</v>
      </c>
      <c r="B1961" s="2" t="s">
        <v>7</v>
      </c>
      <c r="C1961" s="2" t="s">
        <v>5490</v>
      </c>
      <c r="D1961" s="2" t="s">
        <v>9</v>
      </c>
      <c r="E1961" s="2">
        <v>99</v>
      </c>
      <c r="F1961" s="2">
        <v>1868.294</v>
      </c>
      <c r="G1961" s="1">
        <v>46190</v>
      </c>
    </row>
    <row r="1962" spans="3:6" x14ac:dyDescent="0.25">
      <c r="C1962" s="2" t="s">
        <v>5491</v>
      </c>
      <c r="D1962" s="2" t="s">
        <v>9</v>
      </c>
      <c r="E1962" s="2">
        <v>99</v>
      </c>
      <c r="F1962" s="2">
        <v>1808.091</v>
      </c>
    </row>
    <row r="1964" spans="1:7" x14ac:dyDescent="0.25">
      <c r="A1964" s="1">
        <v>46187</v>
      </c>
      <c r="B1964" s="2" t="s">
        <v>4580</v>
      </c>
      <c r="C1964" s="2" t="s">
        <v>5492</v>
      </c>
      <c r="D1964" s="2" t="s">
        <v>292</v>
      </c>
      <c r="E1964" s="2">
        <v>121</v>
      </c>
      <c r="F1964" s="2">
        <v>2230.801</v>
      </c>
      <c r="G1964" s="1">
        <v>46190</v>
      </c>
    </row>
    <row r="1966" spans="1:7" x14ac:dyDescent="0.25">
      <c r="A1966" s="1">
        <v>46187</v>
      </c>
      <c r="B1966" s="2" t="s">
        <v>5493</v>
      </c>
      <c r="C1966" s="2" t="s">
        <v>5494</v>
      </c>
      <c r="D1966" s="2" t="s">
        <v>4096</v>
      </c>
      <c r="E1966" s="2">
        <v>101</v>
      </c>
      <c r="F1966" s="2">
        <v>1871.52</v>
      </c>
      <c r="G1966" s="1">
        <v>46186</v>
      </c>
    </row>
    <row r="1968" spans="1:7" x14ac:dyDescent="0.25">
      <c r="A1968" s="1">
        <v>46187</v>
      </c>
      <c r="B1968" s="2" t="s">
        <v>5495</v>
      </c>
      <c r="C1968" s="2" t="s">
        <v>5496</v>
      </c>
      <c r="D1968" s="2" t="s">
        <v>4334</v>
      </c>
      <c r="E1968" s="2">
        <v>102</v>
      </c>
      <c r="F1968" s="2">
        <v>2107.27</v>
      </c>
      <c r="G1968" s="1">
        <v>46190</v>
      </c>
    </row>
    <row r="1970" spans="1:7" x14ac:dyDescent="0.25">
      <c r="A1970" s="1">
        <v>46187</v>
      </c>
      <c r="B1970" s="2" t="s">
        <v>1626</v>
      </c>
      <c r="C1970" s="2" t="s">
        <v>5497</v>
      </c>
      <c r="D1970" s="2" t="s">
        <v>59</v>
      </c>
      <c r="E1970" s="2">
        <v>102</v>
      </c>
      <c r="F1970" s="2">
        <v>2081.079</v>
      </c>
      <c r="G1970" s="1">
        <v>46190</v>
      </c>
    </row>
    <row r="1971" spans="3:6" x14ac:dyDescent="0.25">
      <c r="C1971" s="2" t="s">
        <v>5498</v>
      </c>
      <c r="D1971" s="2" t="s">
        <v>59</v>
      </c>
      <c r="E1971" s="2">
        <v>102</v>
      </c>
      <c r="F1971" s="2">
        <v>2050.72</v>
      </c>
    </row>
    <row r="1972" spans="3:6" x14ac:dyDescent="0.25">
      <c r="C1972" s="2" t="s">
        <v>5499</v>
      </c>
      <c r="D1972" s="2" t="s">
        <v>59</v>
      </c>
      <c r="E1972" s="2">
        <v>149</v>
      </c>
      <c r="F1972" s="2">
        <v>2781.759</v>
      </c>
    </row>
    <row r="1973" spans="3:6" x14ac:dyDescent="0.25">
      <c r="C1973" s="2" t="s">
        <v>5500</v>
      </c>
      <c r="D1973" s="2" t="s">
        <v>59</v>
      </c>
      <c r="E1973" s="2">
        <v>251</v>
      </c>
      <c r="F1973" s="2">
        <v>4742.207</v>
      </c>
    </row>
    <row r="1974" spans="3:6" x14ac:dyDescent="0.25">
      <c r="C1974" s="2" t="s">
        <v>5501</v>
      </c>
      <c r="D1974" s="2" t="s">
        <v>59</v>
      </c>
      <c r="E1974" s="2">
        <v>222</v>
      </c>
      <c r="F1974" s="2">
        <v>3915.861</v>
      </c>
    </row>
    <row r="1975" spans="3:6" x14ac:dyDescent="0.25">
      <c r="C1975" s="2" t="s">
        <v>5502</v>
      </c>
      <c r="D1975" s="2" t="s">
        <v>59</v>
      </c>
      <c r="E1975" s="2">
        <v>149</v>
      </c>
      <c r="F1975" s="2">
        <v>2817.818</v>
      </c>
    </row>
    <row r="1976" spans="3:6" x14ac:dyDescent="0.25">
      <c r="C1976" s="2" t="s">
        <v>5503</v>
      </c>
      <c r="D1976" s="2" t="s">
        <v>59</v>
      </c>
      <c r="E1976" s="2">
        <v>251</v>
      </c>
      <c r="F1976" s="2">
        <v>4785.748</v>
      </c>
    </row>
    <row r="1977" spans="3:6" x14ac:dyDescent="0.25">
      <c r="C1977" s="2" t="s">
        <v>5504</v>
      </c>
      <c r="D1977" s="2" t="s">
        <v>59</v>
      </c>
      <c r="E1977" s="2">
        <v>149</v>
      </c>
      <c r="F1977" s="2">
        <v>2695.289</v>
      </c>
    </row>
    <row r="1979" spans="1:7" x14ac:dyDescent="0.25">
      <c r="A1979" s="1">
        <v>46188</v>
      </c>
      <c r="B1979" s="2" t="s">
        <v>1012</v>
      </c>
      <c r="C1979" s="2" t="s">
        <v>5505</v>
      </c>
      <c r="D1979" s="2" t="s">
        <v>82</v>
      </c>
      <c r="E1979" s="2">
        <v>62</v>
      </c>
      <c r="F1979" s="2">
        <v>1290.69</v>
      </c>
      <c r="G1979" s="1">
        <v>46191</v>
      </c>
    </row>
    <row r="1980" spans="3:6" x14ac:dyDescent="0.25">
      <c r="C1980" s="2" t="s">
        <v>5506</v>
      </c>
      <c r="D1980" s="2" t="s">
        <v>82</v>
      </c>
      <c r="E1980" s="2">
        <v>54</v>
      </c>
      <c r="F1980" s="2">
        <v>1129.71</v>
      </c>
    </row>
    <row r="1981" spans="3:6" x14ac:dyDescent="0.25">
      <c r="C1981" s="2" t="s">
        <v>5507</v>
      </c>
      <c r="D1981" s="2" t="s">
        <v>82</v>
      </c>
      <c r="E1981" s="2">
        <v>18</v>
      </c>
      <c r="F1981" s="2">
        <v>332.29</v>
      </c>
    </row>
    <row r="1982" spans="3:6" x14ac:dyDescent="0.25">
      <c r="C1982" s="2" t="s">
        <v>5508</v>
      </c>
      <c r="D1982" s="2" t="s">
        <v>82</v>
      </c>
      <c r="E1982" s="2">
        <v>66</v>
      </c>
      <c r="F1982" s="2">
        <v>1363.829</v>
      </c>
    </row>
    <row r="1983" spans="3:6" x14ac:dyDescent="0.25">
      <c r="C1983" s="2" t="s">
        <v>5509</v>
      </c>
      <c r="D1983" s="2" t="s">
        <v>82</v>
      </c>
      <c r="E1983" s="2">
        <v>68</v>
      </c>
      <c r="F1983" s="2">
        <v>1403.66</v>
      </c>
    </row>
    <row r="1984" spans="3:6" x14ac:dyDescent="0.25">
      <c r="C1984" s="2" t="s">
        <v>5510</v>
      </c>
      <c r="D1984" s="2" t="s">
        <v>82</v>
      </c>
      <c r="E1984" s="2">
        <v>100</v>
      </c>
      <c r="F1984" s="2">
        <v>2031.31</v>
      </c>
    </row>
    <row r="1985" spans="3:6" x14ac:dyDescent="0.25">
      <c r="C1985" s="2" t="s">
        <v>5511</v>
      </c>
      <c r="D1985" s="2" t="s">
        <v>82</v>
      </c>
      <c r="E1985" s="2">
        <v>27</v>
      </c>
      <c r="F1985" s="2">
        <v>544.51</v>
      </c>
    </row>
    <row r="1986" spans="3:6" x14ac:dyDescent="0.25">
      <c r="C1986" s="2" t="s">
        <v>5512</v>
      </c>
      <c r="D1986" s="2" t="s">
        <v>82</v>
      </c>
      <c r="E1986" s="2">
        <v>26</v>
      </c>
      <c r="F1986" s="2">
        <v>551.79</v>
      </c>
    </row>
    <row r="1987" spans="3:6" x14ac:dyDescent="0.25">
      <c r="C1987" s="2" t="s">
        <v>5513</v>
      </c>
      <c r="D1987" s="2" t="s">
        <v>82</v>
      </c>
      <c r="E1987" s="2">
        <v>113</v>
      </c>
      <c r="F1987" s="2">
        <v>2401.04</v>
      </c>
    </row>
    <row r="1988" spans="3:6" x14ac:dyDescent="0.25">
      <c r="C1988" s="2" t="s">
        <v>5514</v>
      </c>
      <c r="D1988" s="2" t="s">
        <v>82</v>
      </c>
      <c r="E1988" s="2">
        <v>40</v>
      </c>
      <c r="F1988" s="2">
        <v>826.24</v>
      </c>
    </row>
    <row r="1989" spans="3:6" x14ac:dyDescent="0.25">
      <c r="C1989" s="2" t="s">
        <v>5515</v>
      </c>
      <c r="D1989" s="2" t="s">
        <v>82</v>
      </c>
      <c r="E1989" s="2">
        <v>25</v>
      </c>
      <c r="F1989" s="2">
        <v>459.5</v>
      </c>
    </row>
    <row r="1990" spans="3:6" x14ac:dyDescent="0.25">
      <c r="C1990" s="2" t="s">
        <v>5516</v>
      </c>
      <c r="D1990" s="2" t="s">
        <v>82</v>
      </c>
      <c r="E1990" s="2">
        <v>23</v>
      </c>
      <c r="F1990" s="2">
        <v>465.5</v>
      </c>
    </row>
    <row r="1991" spans="3:6" x14ac:dyDescent="0.25">
      <c r="C1991" s="2" t="s">
        <v>5517</v>
      </c>
      <c r="D1991" s="2" t="s">
        <v>82</v>
      </c>
      <c r="E1991" s="2">
        <v>18</v>
      </c>
      <c r="F1991" s="2">
        <v>290.2</v>
      </c>
    </row>
    <row r="1992" spans="3:6" x14ac:dyDescent="0.25">
      <c r="C1992" s="2" t="s">
        <v>5518</v>
      </c>
      <c r="D1992" s="2" t="s">
        <v>82</v>
      </c>
      <c r="E1992" s="2">
        <v>20</v>
      </c>
      <c r="F1992" s="2">
        <v>433.45</v>
      </c>
    </row>
    <row r="1993" spans="3:6" x14ac:dyDescent="0.25">
      <c r="C1993" s="2" t="s">
        <v>5519</v>
      </c>
      <c r="D1993" s="2" t="s">
        <v>82</v>
      </c>
      <c r="E1993" s="2">
        <v>10</v>
      </c>
      <c r="F1993" s="2">
        <v>183.3</v>
      </c>
    </row>
    <row r="1994" spans="3:6" x14ac:dyDescent="0.25">
      <c r="C1994" s="2" t="s">
        <v>5520</v>
      </c>
      <c r="D1994" s="2" t="s">
        <v>82</v>
      </c>
      <c r="E1994" s="2">
        <v>34</v>
      </c>
      <c r="F1994" s="2">
        <v>715.85</v>
      </c>
    </row>
    <row r="1995" spans="3:6" x14ac:dyDescent="0.25">
      <c r="C1995" s="2" t="s">
        <v>5521</v>
      </c>
      <c r="D1995" s="2" t="s">
        <v>82</v>
      </c>
      <c r="E1995" s="2">
        <v>6</v>
      </c>
      <c r="F1995" s="2">
        <f>35.67+74.95</f>
        <v>110.62</v>
      </c>
    </row>
    <row r="1996" spans="3:6" x14ac:dyDescent="0.25">
      <c r="C1996" s="2" t="s">
        <v>5522</v>
      </c>
      <c r="D1996" s="2" t="s">
        <v>82</v>
      </c>
      <c r="E1996" s="2">
        <v>14</v>
      </c>
      <c r="F1996" s="2">
        <f>227.89+89.95</f>
        <v>317.84</v>
      </c>
    </row>
    <row r="1997" spans="3:6" x14ac:dyDescent="0.25">
      <c r="C1997" s="2" t="s">
        <v>5523</v>
      </c>
      <c r="D1997" s="2" t="s">
        <v>82</v>
      </c>
      <c r="E1997" s="2">
        <v>47</v>
      </c>
      <c r="F1997" s="2">
        <v>976.93</v>
      </c>
    </row>
    <row r="1998" spans="3:6" x14ac:dyDescent="0.25">
      <c r="C1998" s="2" t="s">
        <v>5524</v>
      </c>
      <c r="D1998" s="2" t="s">
        <v>82</v>
      </c>
      <c r="E1998" s="2">
        <v>23</v>
      </c>
      <c r="F1998" s="2">
        <v>505.9</v>
      </c>
    </row>
    <row r="1999" spans="3:6" x14ac:dyDescent="0.25">
      <c r="C1999" s="2" t="s">
        <v>5525</v>
      </c>
      <c r="D1999" s="2" t="s">
        <v>82</v>
      </c>
      <c r="E1999" s="2">
        <v>31</v>
      </c>
      <c r="F1999" s="2">
        <v>627.24</v>
      </c>
    </row>
    <row r="2000" spans="3:6" x14ac:dyDescent="0.25">
      <c r="C2000" s="2" t="s">
        <v>5526</v>
      </c>
      <c r="D2000" s="2" t="s">
        <v>82</v>
      </c>
      <c r="E2000" s="2">
        <v>153</v>
      </c>
      <c r="F2000" s="2">
        <v>3197.9</v>
      </c>
    </row>
    <row r="2001" spans="3:6" x14ac:dyDescent="0.25">
      <c r="C2001" s="2" t="s">
        <v>5527</v>
      </c>
      <c r="D2001" s="2" t="s">
        <v>82</v>
      </c>
      <c r="E2001" s="2">
        <v>67</v>
      </c>
      <c r="F2001" s="2">
        <v>2327.118</v>
      </c>
    </row>
    <row r="2002" spans="3:6" x14ac:dyDescent="0.25">
      <c r="C2002" s="2" t="s">
        <v>5528</v>
      </c>
      <c r="D2002" s="2" t="s">
        <v>82</v>
      </c>
      <c r="E2002" s="2">
        <v>61</v>
      </c>
      <c r="F2002" s="2">
        <v>1235.6</v>
      </c>
    </row>
    <row r="2003" spans="3:6" x14ac:dyDescent="0.25">
      <c r="C2003" s="2" t="s">
        <v>5529</v>
      </c>
      <c r="D2003" s="2" t="s">
        <v>82</v>
      </c>
      <c r="E2003" s="2">
        <v>73</v>
      </c>
      <c r="F2003" s="2">
        <v>1456.299</v>
      </c>
    </row>
    <row r="2004" spans="3:6" x14ac:dyDescent="0.25">
      <c r="C2004" s="2" t="s">
        <v>5530</v>
      </c>
      <c r="D2004" s="2" t="s">
        <v>82</v>
      </c>
      <c r="E2004" s="2">
        <v>48</v>
      </c>
      <c r="F2004" s="2">
        <v>995.73</v>
      </c>
    </row>
    <row r="2005" spans="3:6" x14ac:dyDescent="0.25">
      <c r="C2005" s="2" t="s">
        <v>5531</v>
      </c>
      <c r="D2005" s="2" t="s">
        <v>82</v>
      </c>
      <c r="E2005" s="2">
        <v>17</v>
      </c>
      <c r="F2005" s="2">
        <v>265.98</v>
      </c>
    </row>
    <row r="2006" spans="3:6" x14ac:dyDescent="0.25">
      <c r="C2006" s="2" t="s">
        <v>5532</v>
      </c>
      <c r="D2006" s="2" t="s">
        <v>82</v>
      </c>
      <c r="E2006" s="2">
        <v>15</v>
      </c>
      <c r="F2006" s="2">
        <v>255.53</v>
      </c>
    </row>
    <row r="2007" spans="3:6" x14ac:dyDescent="0.25">
      <c r="C2007" s="2" t="s">
        <v>5533</v>
      </c>
      <c r="D2007" s="2" t="s">
        <v>82</v>
      </c>
      <c r="E2007" s="2">
        <v>27</v>
      </c>
      <c r="F2007" s="2">
        <v>791.66</v>
      </c>
    </row>
    <row r="2009" spans="1:7" x14ac:dyDescent="0.25">
      <c r="A2009" s="1">
        <v>46188</v>
      </c>
      <c r="B2009" s="2" t="s">
        <v>176</v>
      </c>
      <c r="C2009" s="2" t="s">
        <v>5534</v>
      </c>
      <c r="D2009" s="2" t="s">
        <v>178</v>
      </c>
      <c r="E2009" s="2">
        <v>123</v>
      </c>
      <c r="F2009" s="2">
        <v>2405.189</v>
      </c>
      <c r="G2009" s="1">
        <v>46190</v>
      </c>
    </row>
    <row r="2010" spans="3:6" x14ac:dyDescent="0.25">
      <c r="C2010" s="2" t="s">
        <v>5535</v>
      </c>
      <c r="D2010" s="2" t="s">
        <v>178</v>
      </c>
      <c r="E2010" s="2">
        <v>102</v>
      </c>
      <c r="F2010" s="2">
        <v>1949.849</v>
      </c>
    </row>
    <row r="2011" spans="3:6" x14ac:dyDescent="0.25">
      <c r="C2011" s="2" t="s">
        <v>5536</v>
      </c>
      <c r="D2011" s="2" t="s">
        <v>178</v>
      </c>
      <c r="E2011" s="2">
        <v>134</v>
      </c>
      <c r="F2011" s="2">
        <v>2508.54</v>
      </c>
    </row>
    <row r="2012" spans="3:6" x14ac:dyDescent="0.25">
      <c r="C2012" s="2" t="s">
        <v>5537</v>
      </c>
      <c r="D2012" s="2" t="s">
        <v>178</v>
      </c>
      <c r="E2012" s="2">
        <v>123</v>
      </c>
      <c r="F2012" s="2">
        <v>2388.518</v>
      </c>
    </row>
    <row r="2013" spans="3:6" x14ac:dyDescent="0.25">
      <c r="C2013" s="2" t="s">
        <v>5538</v>
      </c>
      <c r="D2013" s="2" t="s">
        <v>178</v>
      </c>
      <c r="E2013" s="2">
        <v>102</v>
      </c>
      <c r="F2013" s="2">
        <v>2066</v>
      </c>
    </row>
    <row r="2014" spans="3:6" x14ac:dyDescent="0.25">
      <c r="C2014" s="2" t="s">
        <v>5539</v>
      </c>
      <c r="D2014" s="2" t="s">
        <v>178</v>
      </c>
      <c r="E2014" s="2">
        <v>141</v>
      </c>
      <c r="F2014" s="2">
        <v>2963.16</v>
      </c>
    </row>
    <row r="2015" spans="3:6" x14ac:dyDescent="0.25">
      <c r="C2015" s="2" t="s">
        <v>5540</v>
      </c>
      <c r="D2015" s="2" t="s">
        <v>178</v>
      </c>
      <c r="E2015" s="2">
        <v>141</v>
      </c>
      <c r="F2015" s="2">
        <v>3065.55</v>
      </c>
    </row>
    <row r="2016" spans="3:6" x14ac:dyDescent="0.25">
      <c r="C2016" s="2" t="s">
        <v>5541</v>
      </c>
      <c r="D2016" s="2" t="s">
        <v>178</v>
      </c>
      <c r="E2016" s="2">
        <v>142</v>
      </c>
      <c r="F2016" s="2">
        <v>2807.157</v>
      </c>
    </row>
    <row r="2017" spans="3:6" x14ac:dyDescent="0.25">
      <c r="C2017" s="2" t="s">
        <v>5542</v>
      </c>
      <c r="D2017" s="2" t="s">
        <v>178</v>
      </c>
      <c r="E2017" s="2">
        <v>60</v>
      </c>
      <c r="F2017" s="2">
        <v>254.9</v>
      </c>
    </row>
    <row r="2018" spans="3:6" x14ac:dyDescent="0.25">
      <c r="C2018" s="2" t="s">
        <v>5543</v>
      </c>
      <c r="D2018" s="2" t="s">
        <v>178</v>
      </c>
      <c r="E2018" s="2">
        <v>90</v>
      </c>
      <c r="F2018" s="2">
        <v>386.339</v>
      </c>
    </row>
    <row r="2019" spans="3:6" x14ac:dyDescent="0.25">
      <c r="C2019" s="2" t="s">
        <v>5544</v>
      </c>
      <c r="D2019" s="2" t="s">
        <v>178</v>
      </c>
      <c r="E2019" s="2">
        <v>124</v>
      </c>
      <c r="F2019" s="2">
        <v>2386.05</v>
      </c>
    </row>
    <row r="2020" spans="3:6" x14ac:dyDescent="0.25">
      <c r="C2020" s="2" t="s">
        <v>5545</v>
      </c>
      <c r="D2020" s="2" t="s">
        <v>178</v>
      </c>
      <c r="E2020" s="2">
        <v>141</v>
      </c>
      <c r="F2020" s="2">
        <v>2685.78</v>
      </c>
    </row>
    <row r="2021" spans="3:6" x14ac:dyDescent="0.25">
      <c r="C2021" s="2" t="s">
        <v>5546</v>
      </c>
      <c r="D2021" s="2" t="s">
        <v>178</v>
      </c>
      <c r="E2021" s="2">
        <v>141</v>
      </c>
      <c r="F2021" s="2">
        <v>2872.06</v>
      </c>
    </row>
    <row r="2022" spans="3:6" x14ac:dyDescent="0.25">
      <c r="C2022" s="2" t="s">
        <v>5547</v>
      </c>
      <c r="D2022" s="2" t="s">
        <v>178</v>
      </c>
      <c r="E2022" s="2">
        <v>102</v>
      </c>
      <c r="F2022" s="2">
        <v>1922.649</v>
      </c>
    </row>
    <row r="2023" spans="3:6" x14ac:dyDescent="0.25">
      <c r="C2023" s="2" t="s">
        <v>5548</v>
      </c>
      <c r="D2023" s="2" t="s">
        <v>178</v>
      </c>
      <c r="E2023" s="2">
        <v>141</v>
      </c>
      <c r="F2023" s="2">
        <v>2769.32</v>
      </c>
    </row>
    <row r="2024" spans="3:6" x14ac:dyDescent="0.25">
      <c r="C2024" s="2" t="s">
        <v>5549</v>
      </c>
      <c r="D2024" s="2" t="s">
        <v>178</v>
      </c>
      <c r="E2024" s="2">
        <v>53</v>
      </c>
      <c r="F2024" s="2">
        <v>1096.27</v>
      </c>
    </row>
    <row r="2025" spans="3:6" x14ac:dyDescent="0.25">
      <c r="C2025" s="2" t="s">
        <v>5550</v>
      </c>
      <c r="D2025" s="2" t="s">
        <v>178</v>
      </c>
      <c r="E2025" s="2">
        <v>88</v>
      </c>
      <c r="F2025" s="2">
        <v>1783.59</v>
      </c>
    </row>
    <row r="2026" spans="3:6" x14ac:dyDescent="0.25">
      <c r="C2026" s="2" t="s">
        <v>5551</v>
      </c>
      <c r="D2026" s="2" t="s">
        <v>178</v>
      </c>
      <c r="E2026" s="2">
        <v>141</v>
      </c>
      <c r="F2026" s="2">
        <v>2889.419</v>
      </c>
    </row>
    <row r="2027" spans="3:6" x14ac:dyDescent="0.25">
      <c r="C2027" s="2" t="s">
        <v>5552</v>
      </c>
      <c r="D2027" s="2" t="s">
        <v>178</v>
      </c>
      <c r="E2027" s="2">
        <v>141</v>
      </c>
      <c r="F2027" s="2">
        <v>2857.71</v>
      </c>
    </row>
    <row r="2028" spans="3:6" x14ac:dyDescent="0.25">
      <c r="C2028" s="2" t="s">
        <v>5553</v>
      </c>
      <c r="D2028" s="2" t="s">
        <v>178</v>
      </c>
      <c r="E2028" s="2">
        <v>142</v>
      </c>
      <c r="F2028" s="2">
        <v>2782.68</v>
      </c>
    </row>
    <row r="2029" spans="3:6" x14ac:dyDescent="0.25">
      <c r="C2029" s="2" t="s">
        <v>5554</v>
      </c>
      <c r="D2029" s="2" t="s">
        <v>178</v>
      </c>
      <c r="E2029" s="2">
        <v>102</v>
      </c>
      <c r="F2029" s="2">
        <v>2021.47</v>
      </c>
    </row>
    <row r="2030" spans="3:6" x14ac:dyDescent="0.25">
      <c r="C2030" s="2" t="s">
        <v>5555</v>
      </c>
      <c r="D2030" s="2" t="s">
        <v>178</v>
      </c>
      <c r="E2030" s="2">
        <v>141</v>
      </c>
      <c r="F2030" s="2">
        <v>2931.55</v>
      </c>
    </row>
    <row r="2031" spans="3:6" x14ac:dyDescent="0.25">
      <c r="C2031" s="2" t="s">
        <v>5556</v>
      </c>
      <c r="D2031" s="2" t="s">
        <v>178</v>
      </c>
      <c r="E2031" s="2">
        <v>141</v>
      </c>
      <c r="F2031" s="2">
        <v>2799.259</v>
      </c>
    </row>
    <row r="2032" spans="3:6" x14ac:dyDescent="0.25">
      <c r="C2032" s="2" t="s">
        <v>5557</v>
      </c>
      <c r="D2032" s="2" t="s">
        <v>178</v>
      </c>
      <c r="E2032" s="2">
        <v>102</v>
      </c>
      <c r="F2032" s="2">
        <v>1856.089</v>
      </c>
    </row>
    <row r="2033" spans="3:6" x14ac:dyDescent="0.25">
      <c r="C2033" s="2" t="s">
        <v>5558</v>
      </c>
      <c r="D2033" s="2" t="s">
        <v>178</v>
      </c>
      <c r="E2033" s="2">
        <v>85</v>
      </c>
      <c r="F2033" s="2">
        <v>1727.2</v>
      </c>
    </row>
    <row r="2034" spans="3:6" x14ac:dyDescent="0.25">
      <c r="C2034" s="2" t="s">
        <v>5559</v>
      </c>
      <c r="D2034" s="2" t="s">
        <v>178</v>
      </c>
      <c r="E2034" s="2">
        <v>38</v>
      </c>
      <c r="F2034" s="2">
        <v>728.28</v>
      </c>
    </row>
    <row r="2035" spans="3:6" x14ac:dyDescent="0.25">
      <c r="C2035" s="2" t="s">
        <v>5560</v>
      </c>
      <c r="D2035" s="2" t="s">
        <v>178</v>
      </c>
      <c r="E2035" s="2">
        <v>102</v>
      </c>
      <c r="F2035" s="2">
        <v>1807.83</v>
      </c>
    </row>
    <row r="2036" spans="3:6" x14ac:dyDescent="0.25">
      <c r="C2036" s="2" t="s">
        <v>5561</v>
      </c>
      <c r="D2036" s="2" t="s">
        <v>178</v>
      </c>
      <c r="E2036" s="2">
        <v>102</v>
      </c>
      <c r="F2036" s="2">
        <v>2149.5</v>
      </c>
    </row>
    <row r="2037" spans="3:6" x14ac:dyDescent="0.25">
      <c r="C2037" s="2" t="s">
        <v>5562</v>
      </c>
      <c r="D2037" s="2" t="s">
        <v>178</v>
      </c>
      <c r="E2037" s="2">
        <v>75</v>
      </c>
      <c r="F2037" s="2">
        <v>1534.92</v>
      </c>
    </row>
    <row r="2038" spans="3:6" x14ac:dyDescent="0.25">
      <c r="C2038" s="2" t="s">
        <v>5563</v>
      </c>
      <c r="D2038" s="2" t="s">
        <v>178</v>
      </c>
      <c r="E2038" s="2">
        <v>141</v>
      </c>
      <c r="F2038" s="2">
        <v>2927.16</v>
      </c>
    </row>
    <row r="2039" spans="3:6" x14ac:dyDescent="0.25">
      <c r="C2039" s="2" t="s">
        <v>5564</v>
      </c>
      <c r="D2039" s="2" t="s">
        <v>178</v>
      </c>
      <c r="E2039" s="2">
        <v>111</v>
      </c>
      <c r="F2039" s="2">
        <v>2182.47</v>
      </c>
    </row>
    <row r="2040" spans="3:6" x14ac:dyDescent="0.25">
      <c r="C2040" s="2" t="s">
        <v>5565</v>
      </c>
      <c r="D2040" s="2" t="s">
        <v>178</v>
      </c>
      <c r="E2040" s="2">
        <v>30</v>
      </c>
      <c r="F2040" s="2">
        <v>612.41</v>
      </c>
    </row>
    <row r="2041" spans="3:6" x14ac:dyDescent="0.25">
      <c r="C2041" s="2" t="s">
        <v>5566</v>
      </c>
      <c r="D2041" s="2" t="s">
        <v>178</v>
      </c>
      <c r="E2041" s="2">
        <v>104</v>
      </c>
      <c r="F2041" s="2">
        <v>2157.769</v>
      </c>
    </row>
    <row r="2042" spans="3:6" x14ac:dyDescent="0.25">
      <c r="C2042" s="2" t="s">
        <v>5567</v>
      </c>
      <c r="D2042" s="2" t="s">
        <v>178</v>
      </c>
      <c r="E2042" s="2">
        <v>37</v>
      </c>
      <c r="F2042" s="2">
        <v>751.56</v>
      </c>
    </row>
    <row r="2043" spans="3:6" x14ac:dyDescent="0.25">
      <c r="C2043" s="2" t="s">
        <v>5568</v>
      </c>
      <c r="D2043" s="2" t="s">
        <v>178</v>
      </c>
      <c r="E2043" s="2">
        <v>64</v>
      </c>
      <c r="F2043" s="2">
        <v>1231.21</v>
      </c>
    </row>
    <row r="2044" spans="3:6" x14ac:dyDescent="0.25">
      <c r="C2044" s="2" t="s">
        <v>5569</v>
      </c>
      <c r="D2044" s="2" t="s">
        <v>178</v>
      </c>
      <c r="E2044" s="2">
        <v>30</v>
      </c>
      <c r="F2044" s="2">
        <v>494.71</v>
      </c>
    </row>
    <row r="2045" spans="3:6" x14ac:dyDescent="0.25">
      <c r="C2045" s="2" t="s">
        <v>5570</v>
      </c>
      <c r="D2045" s="2" t="s">
        <v>178</v>
      </c>
      <c r="E2045" s="2">
        <v>20</v>
      </c>
      <c r="F2045" s="2">
        <v>389.37</v>
      </c>
    </row>
    <row r="2046" spans="3:6" x14ac:dyDescent="0.25">
      <c r="C2046" s="2" t="s">
        <v>5571</v>
      </c>
      <c r="D2046" s="2" t="s">
        <v>178</v>
      </c>
      <c r="E2046" s="2">
        <v>29</v>
      </c>
      <c r="F2046" s="2">
        <v>560.42</v>
      </c>
    </row>
    <row r="2047" spans="3:6" x14ac:dyDescent="0.25">
      <c r="C2047" s="2" t="s">
        <v>5572</v>
      </c>
      <c r="D2047" s="2" t="s">
        <v>178</v>
      </c>
      <c r="E2047" s="2">
        <v>16</v>
      </c>
      <c r="F2047" s="2">
        <v>262.45</v>
      </c>
    </row>
    <row r="2048" spans="3:6" x14ac:dyDescent="0.25">
      <c r="C2048" s="2" t="s">
        <v>5573</v>
      </c>
      <c r="D2048" s="2" t="s">
        <v>178</v>
      </c>
      <c r="E2048" s="2">
        <v>20</v>
      </c>
      <c r="F2048" s="2">
        <v>399.83</v>
      </c>
    </row>
    <row r="2049" spans="3:6" x14ac:dyDescent="0.25">
      <c r="C2049" s="2" t="s">
        <v>5574</v>
      </c>
      <c r="D2049" s="2" t="s">
        <v>178</v>
      </c>
      <c r="E2049" s="2">
        <v>37</v>
      </c>
      <c r="F2049" s="2">
        <v>702.82</v>
      </c>
    </row>
    <row r="2050" spans="3:6" x14ac:dyDescent="0.25">
      <c r="C2050" s="2" t="s">
        <v>5575</v>
      </c>
      <c r="D2050" s="2" t="s">
        <v>178</v>
      </c>
      <c r="E2050" s="2">
        <v>45</v>
      </c>
      <c r="F2050" s="2">
        <v>828.44</v>
      </c>
    </row>
    <row r="2051" spans="3:6" x14ac:dyDescent="0.25">
      <c r="C2051" s="2" t="s">
        <v>5576</v>
      </c>
      <c r="D2051" s="2" t="s">
        <v>178</v>
      </c>
      <c r="E2051" s="2">
        <v>9</v>
      </c>
      <c r="F2051" s="2">
        <v>164.66</v>
      </c>
    </row>
    <row r="2052" spans="3:6" x14ac:dyDescent="0.25">
      <c r="C2052" s="2" t="s">
        <v>5577</v>
      </c>
      <c r="D2052" s="2" t="s">
        <v>178</v>
      </c>
      <c r="E2052" s="2">
        <v>16</v>
      </c>
      <c r="F2052" s="2">
        <v>325.33</v>
      </c>
    </row>
    <row r="2054" spans="1:7" x14ac:dyDescent="0.25">
      <c r="A2054" s="1">
        <v>46188</v>
      </c>
      <c r="B2054" s="2" t="s">
        <v>229</v>
      </c>
      <c r="C2054" s="2" t="s">
        <v>5578</v>
      </c>
      <c r="D2054" s="2" t="s">
        <v>82</v>
      </c>
      <c r="E2054" s="2">
        <v>121</v>
      </c>
      <c r="F2054" s="2">
        <v>2504.15</v>
      </c>
      <c r="G2054" s="1">
        <v>46190</v>
      </c>
    </row>
    <row r="2055" spans="3:6" x14ac:dyDescent="0.25">
      <c r="C2055" s="2" t="s">
        <v>5579</v>
      </c>
      <c r="D2055" s="2" t="s">
        <v>82</v>
      </c>
      <c r="E2055" s="2">
        <v>70</v>
      </c>
      <c r="F2055" s="2">
        <v>1422.28</v>
      </c>
    </row>
    <row r="2056" spans="3:6" x14ac:dyDescent="0.25">
      <c r="C2056" s="2" t="s">
        <v>5580</v>
      </c>
      <c r="D2056" s="2" t="s">
        <v>82</v>
      </c>
      <c r="E2056" s="2">
        <v>30</v>
      </c>
      <c r="F2056" s="2">
        <v>598.96</v>
      </c>
    </row>
    <row r="2057" spans="3:6" x14ac:dyDescent="0.25">
      <c r="C2057" s="2" t="s">
        <v>5581</v>
      </c>
      <c r="D2057" s="2" t="s">
        <v>82</v>
      </c>
      <c r="E2057" s="2">
        <v>21</v>
      </c>
      <c r="F2057" s="2">
        <v>415.36</v>
      </c>
    </row>
    <row r="2058" spans="3:6" x14ac:dyDescent="0.25">
      <c r="C2058" s="2" t="s">
        <v>5582</v>
      </c>
      <c r="D2058" s="2" t="s">
        <v>82</v>
      </c>
      <c r="E2058" s="2">
        <v>99</v>
      </c>
      <c r="F2058" s="2">
        <v>2027.94</v>
      </c>
    </row>
    <row r="2059" spans="3:6" x14ac:dyDescent="0.25">
      <c r="C2059" s="2" t="s">
        <v>5583</v>
      </c>
      <c r="D2059" s="2" t="s">
        <v>82</v>
      </c>
      <c r="E2059" s="2">
        <v>22</v>
      </c>
      <c r="F2059" s="2">
        <v>406.73</v>
      </c>
    </row>
    <row r="2060" spans="3:6" x14ac:dyDescent="0.25">
      <c r="C2060" s="2" t="s">
        <v>5584</v>
      </c>
      <c r="D2060" s="2" t="s">
        <v>82</v>
      </c>
      <c r="E2060" s="2">
        <v>60</v>
      </c>
      <c r="F2060" s="2">
        <v>538.749</v>
      </c>
    </row>
    <row r="2061" spans="3:6" x14ac:dyDescent="0.25">
      <c r="C2061" s="2" t="s">
        <v>5585</v>
      </c>
      <c r="D2061" s="2" t="s">
        <v>82</v>
      </c>
      <c r="E2061" s="2">
        <v>26</v>
      </c>
      <c r="F2061" s="2">
        <v>515.88</v>
      </c>
    </row>
    <row r="2062" spans="3:6" x14ac:dyDescent="0.25">
      <c r="C2062" s="2" t="s">
        <v>5586</v>
      </c>
      <c r="D2062" s="2" t="s">
        <v>82</v>
      </c>
      <c r="E2062" s="2">
        <v>15</v>
      </c>
      <c r="F2062" s="2">
        <v>261</v>
      </c>
    </row>
    <row r="2063" spans="3:6" x14ac:dyDescent="0.25">
      <c r="C2063" s="2" t="s">
        <v>5587</v>
      </c>
      <c r="D2063" s="2" t="s">
        <v>82</v>
      </c>
      <c r="E2063" s="2">
        <v>99</v>
      </c>
      <c r="F2063" s="2">
        <v>2017.15</v>
      </c>
    </row>
    <row r="2064" spans="3:6" x14ac:dyDescent="0.25">
      <c r="C2064" s="2" t="s">
        <v>5588</v>
      </c>
      <c r="D2064" s="2" t="s">
        <v>82</v>
      </c>
      <c r="E2064" s="2">
        <v>42</v>
      </c>
      <c r="F2064" s="2">
        <v>873.69</v>
      </c>
    </row>
    <row r="2065" spans="3:6" x14ac:dyDescent="0.25">
      <c r="C2065" s="2" t="s">
        <v>5589</v>
      </c>
      <c r="D2065" s="2" t="s">
        <v>82</v>
      </c>
      <c r="E2065" s="2">
        <v>96</v>
      </c>
      <c r="F2065" s="2">
        <v>1970.41</v>
      </c>
    </row>
    <row r="2066" spans="3:6" x14ac:dyDescent="0.25">
      <c r="C2066" s="2" t="s">
        <v>5590</v>
      </c>
      <c r="D2066" s="2" t="s">
        <v>82</v>
      </c>
      <c r="E2066" s="2">
        <v>45</v>
      </c>
      <c r="F2066" s="2">
        <v>935.25</v>
      </c>
    </row>
    <row r="2067" spans="3:6" x14ac:dyDescent="0.25">
      <c r="C2067" s="2" t="s">
        <v>5591</v>
      </c>
      <c r="D2067" s="2" t="s">
        <v>82</v>
      </c>
      <c r="E2067" s="2">
        <v>102</v>
      </c>
      <c r="F2067" s="2">
        <v>2124.39</v>
      </c>
    </row>
    <row r="2068" spans="3:6" x14ac:dyDescent="0.25">
      <c r="C2068" s="2" t="s">
        <v>5592</v>
      </c>
      <c r="D2068" s="2" t="s">
        <v>82</v>
      </c>
      <c r="E2068" s="2">
        <v>75</v>
      </c>
      <c r="F2068" s="2">
        <v>1554.28</v>
      </c>
    </row>
    <row r="2069" spans="3:6" x14ac:dyDescent="0.25">
      <c r="C2069" s="2" t="s">
        <v>5593</v>
      </c>
      <c r="D2069" s="2" t="s">
        <v>82</v>
      </c>
      <c r="E2069" s="2">
        <v>91</v>
      </c>
      <c r="F2069" s="2">
        <v>1850.99</v>
      </c>
    </row>
    <row r="2070" spans="3:6" x14ac:dyDescent="0.25">
      <c r="C2070" s="2" t="s">
        <v>5594</v>
      </c>
      <c r="D2070" s="2" t="s">
        <v>82</v>
      </c>
      <c r="E2070" s="2">
        <v>43</v>
      </c>
      <c r="F2070" s="2">
        <v>885.5</v>
      </c>
    </row>
    <row r="2071" spans="3:6" x14ac:dyDescent="0.25">
      <c r="C2071" s="2" t="s">
        <v>5595</v>
      </c>
      <c r="D2071" s="2" t="s">
        <v>82</v>
      </c>
      <c r="E2071" s="2">
        <v>141</v>
      </c>
      <c r="F2071" s="2">
        <v>2884.53</v>
      </c>
    </row>
    <row r="2072" spans="3:6" x14ac:dyDescent="0.25">
      <c r="C2072" s="2" t="s">
        <v>5596</v>
      </c>
      <c r="D2072" s="2" t="s">
        <v>82</v>
      </c>
      <c r="E2072" s="2">
        <v>65</v>
      </c>
      <c r="F2072" s="2">
        <v>1349.23</v>
      </c>
    </row>
    <row r="2073" spans="3:6" x14ac:dyDescent="0.25">
      <c r="C2073" s="2" t="s">
        <v>5597</v>
      </c>
      <c r="D2073" s="2" t="s">
        <v>82</v>
      </c>
      <c r="E2073" s="2">
        <v>59</v>
      </c>
      <c r="F2073" s="2">
        <v>1110.519</v>
      </c>
    </row>
    <row r="2074" spans="3:6" x14ac:dyDescent="0.25">
      <c r="C2074" s="2" t="s">
        <v>5598</v>
      </c>
      <c r="D2074" s="2" t="s">
        <v>82</v>
      </c>
      <c r="E2074" s="2">
        <v>17</v>
      </c>
      <c r="F2074" s="2">
        <v>320.4</v>
      </c>
    </row>
    <row r="2075" spans="3:6" x14ac:dyDescent="0.25">
      <c r="C2075" s="2" t="s">
        <v>5599</v>
      </c>
      <c r="D2075" s="2" t="s">
        <v>82</v>
      </c>
      <c r="E2075" s="2">
        <v>46</v>
      </c>
      <c r="F2075" s="2">
        <v>873.909</v>
      </c>
    </row>
    <row r="2076" spans="3:6" x14ac:dyDescent="0.25">
      <c r="C2076" s="2" t="s">
        <v>5600</v>
      </c>
      <c r="D2076" s="2" t="s">
        <v>82</v>
      </c>
      <c r="E2076" s="2">
        <v>43</v>
      </c>
      <c r="F2076" s="2">
        <v>776.34</v>
      </c>
    </row>
    <row r="2077" spans="3:6" x14ac:dyDescent="0.25">
      <c r="C2077" s="2" t="s">
        <v>5601</v>
      </c>
      <c r="D2077" s="2" t="s">
        <v>82</v>
      </c>
      <c r="E2077" s="2">
        <v>37</v>
      </c>
      <c r="F2077" s="2">
        <v>708.62</v>
      </c>
    </row>
    <row r="2078" spans="3:6" x14ac:dyDescent="0.25">
      <c r="C2078" s="2" t="s">
        <v>5602</v>
      </c>
      <c r="D2078" s="2" t="s">
        <v>82</v>
      </c>
      <c r="E2078" s="2">
        <v>15</v>
      </c>
      <c r="F2078" s="2">
        <v>285.29</v>
      </c>
    </row>
    <row r="2079" spans="3:6" x14ac:dyDescent="0.25">
      <c r="C2079" s="2" t="s">
        <v>5603</v>
      </c>
      <c r="D2079" s="2" t="s">
        <v>82</v>
      </c>
      <c r="E2079" s="2">
        <v>9</v>
      </c>
      <c r="F2079" s="2">
        <v>138.02</v>
      </c>
    </row>
    <row r="2080" spans="3:6" x14ac:dyDescent="0.25">
      <c r="C2080" s="2" t="s">
        <v>5604</v>
      </c>
      <c r="D2080" s="2" t="s">
        <v>82</v>
      </c>
      <c r="E2080" s="2">
        <v>132</v>
      </c>
      <c r="F2080" s="2">
        <v>2719.04</v>
      </c>
    </row>
    <row r="2081" spans="3:6" x14ac:dyDescent="0.25">
      <c r="C2081" s="2" t="s">
        <v>5605</v>
      </c>
      <c r="D2081" s="2" t="s">
        <v>82</v>
      </c>
      <c r="E2081" s="2">
        <v>9</v>
      </c>
      <c r="F2081" s="2">
        <v>81.12</v>
      </c>
    </row>
    <row r="2082" spans="3:6" x14ac:dyDescent="0.25">
      <c r="C2082" s="2" t="s">
        <v>5606</v>
      </c>
      <c r="D2082" s="2" t="s">
        <v>82</v>
      </c>
      <c r="E2082" s="2">
        <v>60</v>
      </c>
      <c r="F2082" s="2">
        <v>1225.92</v>
      </c>
    </row>
    <row r="2083" spans="3:6" x14ac:dyDescent="0.25">
      <c r="C2083" s="2" t="s">
        <v>5607</v>
      </c>
      <c r="D2083" s="2" t="s">
        <v>82</v>
      </c>
      <c r="E2083" s="2">
        <v>74</v>
      </c>
      <c r="F2083" s="2">
        <v>1510.789</v>
      </c>
    </row>
    <row r="2084" spans="3:6" x14ac:dyDescent="0.25">
      <c r="C2084" s="2" t="s">
        <v>5608</v>
      </c>
      <c r="D2084" s="2" t="s">
        <v>82</v>
      </c>
      <c r="E2084" s="2">
        <v>102</v>
      </c>
      <c r="F2084" s="2">
        <v>1934.498</v>
      </c>
    </row>
    <row r="2085" spans="3:6" x14ac:dyDescent="0.25">
      <c r="C2085" s="2" t="s">
        <v>5609</v>
      </c>
      <c r="D2085" s="2" t="s">
        <v>82</v>
      </c>
      <c r="E2085" s="2">
        <v>102</v>
      </c>
      <c r="F2085" s="2">
        <v>2078.46</v>
      </c>
    </row>
    <row r="2086" spans="3:6" x14ac:dyDescent="0.25">
      <c r="C2086" s="2" t="s">
        <v>5610</v>
      </c>
      <c r="D2086" s="2" t="s">
        <v>82</v>
      </c>
      <c r="E2086" s="2">
        <v>73</v>
      </c>
      <c r="F2086" s="2">
        <v>321.279</v>
      </c>
    </row>
    <row r="2087" spans="3:6" x14ac:dyDescent="0.25">
      <c r="C2087" s="2" t="s">
        <v>5611</v>
      </c>
      <c r="D2087" s="2" t="s">
        <v>82</v>
      </c>
      <c r="E2087" s="2">
        <v>48</v>
      </c>
      <c r="F2087" s="2">
        <v>750.96</v>
      </c>
    </row>
    <row r="2088" spans="3:6" x14ac:dyDescent="0.25">
      <c r="C2088" s="2" t="s">
        <v>5612</v>
      </c>
      <c r="D2088" s="2" t="s">
        <v>82</v>
      </c>
      <c r="E2088" s="2">
        <v>33</v>
      </c>
      <c r="F2088" s="2">
        <v>332.089</v>
      </c>
    </row>
    <row r="2089" spans="3:6" x14ac:dyDescent="0.25">
      <c r="C2089" s="2" t="s">
        <v>5613</v>
      </c>
      <c r="D2089" s="2" t="s">
        <v>82</v>
      </c>
      <c r="E2089" s="2">
        <v>45</v>
      </c>
      <c r="F2089" s="2">
        <v>868.11</v>
      </c>
    </row>
    <row r="2090" spans="3:6" x14ac:dyDescent="0.25">
      <c r="C2090" s="2" t="s">
        <v>5614</v>
      </c>
      <c r="D2090" s="2" t="s">
        <v>82</v>
      </c>
      <c r="E2090" s="2">
        <v>58</v>
      </c>
      <c r="F2090" s="2">
        <v>961.5</v>
      </c>
    </row>
    <row r="2091" spans="3:6" x14ac:dyDescent="0.25">
      <c r="C2091" s="2" t="s">
        <v>5615</v>
      </c>
      <c r="D2091" s="2" t="s">
        <v>82</v>
      </c>
      <c r="E2091" s="2">
        <v>33</v>
      </c>
      <c r="F2091" s="2">
        <v>610.988</v>
      </c>
    </row>
    <row r="2092" spans="3:6" x14ac:dyDescent="0.25">
      <c r="C2092" s="2" t="s">
        <v>5616</v>
      </c>
      <c r="D2092" s="2" t="s">
        <v>82</v>
      </c>
      <c r="E2092" s="2">
        <v>33</v>
      </c>
      <c r="F2092" s="2">
        <v>697.02</v>
      </c>
    </row>
    <row r="2093" spans="3:6" x14ac:dyDescent="0.25">
      <c r="C2093" s="2" t="s">
        <v>5617</v>
      </c>
      <c r="D2093" s="2" t="s">
        <v>82</v>
      </c>
      <c r="E2093" s="2">
        <v>19</v>
      </c>
      <c r="F2093" s="2">
        <v>379.69</v>
      </c>
    </row>
    <row r="2094" spans="3:6" x14ac:dyDescent="0.25">
      <c r="C2094" s="2" t="s">
        <v>5618</v>
      </c>
      <c r="D2094" s="2" t="s">
        <v>82</v>
      </c>
      <c r="E2094" s="2">
        <v>28</v>
      </c>
      <c r="F2094" s="2">
        <v>568.13</v>
      </c>
    </row>
    <row r="2095" spans="3:6" x14ac:dyDescent="0.25">
      <c r="C2095" s="2" t="s">
        <v>5619</v>
      </c>
      <c r="D2095" s="2" t="s">
        <v>82</v>
      </c>
      <c r="E2095" s="2">
        <v>39</v>
      </c>
      <c r="F2095" s="2">
        <v>787.62</v>
      </c>
    </row>
    <row r="2096" spans="3:6" x14ac:dyDescent="0.25">
      <c r="C2096" s="2" t="s">
        <v>5620</v>
      </c>
      <c r="D2096" s="2" t="s">
        <v>82</v>
      </c>
      <c r="E2096" s="2">
        <v>32</v>
      </c>
      <c r="F2096" s="2">
        <v>679.78</v>
      </c>
    </row>
    <row r="2097" spans="3:6" x14ac:dyDescent="0.25">
      <c r="C2097" s="2" t="s">
        <v>5621</v>
      </c>
      <c r="D2097" s="2" t="s">
        <v>82</v>
      </c>
      <c r="E2097" s="2">
        <v>17</v>
      </c>
      <c r="F2097" s="2">
        <v>333.78</v>
      </c>
    </row>
    <row r="2098" spans="3:6" x14ac:dyDescent="0.25">
      <c r="C2098" s="2" t="s">
        <v>5622</v>
      </c>
      <c r="D2098" s="2" t="s">
        <v>82</v>
      </c>
      <c r="E2098" s="2">
        <v>15</v>
      </c>
      <c r="F2098" s="2">
        <v>317.18</v>
      </c>
    </row>
    <row r="2099" spans="3:6" x14ac:dyDescent="0.25">
      <c r="C2099" s="2" t="s">
        <v>5623</v>
      </c>
      <c r="D2099" s="2" t="s">
        <v>82</v>
      </c>
      <c r="E2099" s="2">
        <v>10</v>
      </c>
      <c r="F2099" s="2">
        <v>218.97</v>
      </c>
    </row>
    <row r="2100" spans="3:6" x14ac:dyDescent="0.25">
      <c r="C2100" s="2" t="s">
        <v>5624</v>
      </c>
      <c r="D2100" s="2" t="s">
        <v>82</v>
      </c>
      <c r="E2100" s="2">
        <v>141</v>
      </c>
      <c r="F2100" s="2">
        <v>2907.8</v>
      </c>
    </row>
    <row r="2101" spans="3:6" x14ac:dyDescent="0.25">
      <c r="C2101" s="2" t="s">
        <v>5625</v>
      </c>
      <c r="D2101" s="2" t="s">
        <v>82</v>
      </c>
      <c r="E2101" s="2">
        <v>141</v>
      </c>
      <c r="F2101" s="2">
        <v>2855.93</v>
      </c>
    </row>
    <row r="2102" spans="3:6" x14ac:dyDescent="0.25">
      <c r="C2102" s="2" t="s">
        <v>5626</v>
      </c>
      <c r="D2102" s="2" t="s">
        <v>82</v>
      </c>
      <c r="E2102" s="2">
        <v>141</v>
      </c>
      <c r="F2102" s="2">
        <v>2849.14</v>
      </c>
    </row>
    <row r="2103" spans="3:6" x14ac:dyDescent="0.25">
      <c r="C2103" s="2" t="s">
        <v>5627</v>
      </c>
      <c r="D2103" s="2" t="s">
        <v>82</v>
      </c>
      <c r="E2103" s="2">
        <v>102</v>
      </c>
      <c r="F2103" s="2">
        <v>1999.999</v>
      </c>
    </row>
    <row r="2104" spans="3:6" x14ac:dyDescent="0.25">
      <c r="C2104" s="2" t="s">
        <v>5628</v>
      </c>
      <c r="D2104" s="2" t="s">
        <v>82</v>
      </c>
      <c r="E2104" s="2">
        <v>65</v>
      </c>
      <c r="F2104" s="2">
        <v>1279.15</v>
      </c>
    </row>
    <row r="2105" spans="3:6" x14ac:dyDescent="0.25">
      <c r="C2105" s="2" t="s">
        <v>5629</v>
      </c>
      <c r="D2105" s="2" t="s">
        <v>82</v>
      </c>
      <c r="E2105" s="2">
        <v>67</v>
      </c>
      <c r="F2105" s="2">
        <v>1336.99</v>
      </c>
    </row>
    <row r="2106" spans="3:6" x14ac:dyDescent="0.25">
      <c r="C2106" s="2" t="s">
        <v>5630</v>
      </c>
      <c r="D2106" s="2" t="s">
        <v>82</v>
      </c>
      <c r="E2106" s="2">
        <v>9</v>
      </c>
      <c r="F2106" s="2">
        <v>198.18</v>
      </c>
    </row>
    <row r="2107" spans="3:6" x14ac:dyDescent="0.25">
      <c r="C2107" s="2" t="s">
        <v>5631</v>
      </c>
      <c r="D2107" s="2" t="s">
        <v>82</v>
      </c>
      <c r="E2107" s="2">
        <v>129</v>
      </c>
      <c r="F2107" s="2">
        <v>2719.989</v>
      </c>
    </row>
    <row r="2108" spans="3:6" x14ac:dyDescent="0.25">
      <c r="C2108" s="2" t="s">
        <v>5632</v>
      </c>
      <c r="D2108" s="2" t="s">
        <v>82</v>
      </c>
      <c r="E2108" s="2">
        <v>12</v>
      </c>
      <c r="F2108" s="2">
        <v>229.86</v>
      </c>
    </row>
    <row r="2109" spans="3:6" x14ac:dyDescent="0.25">
      <c r="C2109" s="2" t="s">
        <v>5633</v>
      </c>
      <c r="D2109" s="2" t="s">
        <v>82</v>
      </c>
      <c r="E2109" s="2">
        <v>78</v>
      </c>
      <c r="F2109" s="2">
        <v>1631.22</v>
      </c>
    </row>
    <row r="2110" spans="3:6" x14ac:dyDescent="0.25">
      <c r="C2110" s="2" t="s">
        <v>5634</v>
      </c>
      <c r="D2110" s="2" t="s">
        <v>82</v>
      </c>
      <c r="E2110" s="2">
        <v>63</v>
      </c>
      <c r="F2110" s="2">
        <v>1332.82</v>
      </c>
    </row>
    <row r="2111" spans="3:6" x14ac:dyDescent="0.25">
      <c r="C2111" s="2" t="s">
        <v>5635</v>
      </c>
      <c r="D2111" s="2" t="s">
        <v>82</v>
      </c>
      <c r="E2111" s="2">
        <v>35</v>
      </c>
      <c r="F2111" s="2">
        <v>770.07</v>
      </c>
    </row>
    <row r="2112" spans="3:6" x14ac:dyDescent="0.25">
      <c r="C2112" s="2" t="s">
        <v>5636</v>
      </c>
      <c r="D2112" s="2" t="s">
        <v>82</v>
      </c>
      <c r="E2112" s="2">
        <v>40</v>
      </c>
      <c r="F2112" s="2">
        <v>771.359</v>
      </c>
    </row>
    <row r="2113" spans="3:6" x14ac:dyDescent="0.25">
      <c r="C2113" s="2" t="s">
        <v>5637</v>
      </c>
      <c r="D2113" s="2" t="s">
        <v>82</v>
      </c>
      <c r="E2113" s="2">
        <v>35</v>
      </c>
      <c r="F2113" s="2">
        <v>755.86</v>
      </c>
    </row>
    <row r="2114" spans="3:6" x14ac:dyDescent="0.25">
      <c r="C2114" s="2" t="s">
        <v>5638</v>
      </c>
      <c r="D2114" s="2" t="s">
        <v>82</v>
      </c>
      <c r="E2114" s="2">
        <v>31</v>
      </c>
      <c r="F2114" s="2">
        <v>648.13</v>
      </c>
    </row>
    <row r="2116" spans="1:7" x14ac:dyDescent="0.25">
      <c r="A2116" s="1">
        <v>46188</v>
      </c>
      <c r="B2116" s="2" t="s">
        <v>290</v>
      </c>
      <c r="C2116" s="2" t="s">
        <v>5639</v>
      </c>
      <c r="D2116" s="2" t="s">
        <v>292</v>
      </c>
      <c r="E2116" s="2">
        <v>141</v>
      </c>
      <c r="F2116" s="2">
        <v>2786.96</v>
      </c>
      <c r="G2116" s="1">
        <v>46190</v>
      </c>
    </row>
    <row r="2117" spans="3:6" x14ac:dyDescent="0.25">
      <c r="C2117" s="2" t="s">
        <v>5640</v>
      </c>
      <c r="D2117" s="2" t="s">
        <v>292</v>
      </c>
      <c r="E2117" s="2">
        <v>134</v>
      </c>
      <c r="F2117" s="2">
        <v>2126.805</v>
      </c>
    </row>
    <row r="2118" spans="3:6" x14ac:dyDescent="0.25">
      <c r="C2118" s="2" t="s">
        <v>5641</v>
      </c>
      <c r="D2118" s="2" t="s">
        <v>292</v>
      </c>
      <c r="E2118" s="2">
        <v>141</v>
      </c>
      <c r="F2118" s="2">
        <v>2853.8</v>
      </c>
    </row>
    <row r="2119" spans="3:6" x14ac:dyDescent="0.25">
      <c r="C2119" s="2" t="s">
        <v>5642</v>
      </c>
      <c r="D2119" s="2" t="s">
        <v>292</v>
      </c>
      <c r="E2119" s="2">
        <v>141</v>
      </c>
      <c r="F2119" s="2">
        <v>2956.75</v>
      </c>
    </row>
    <row r="2120" spans="3:6" x14ac:dyDescent="0.25">
      <c r="C2120" s="2" t="s">
        <v>5643</v>
      </c>
      <c r="D2120" s="2" t="s">
        <v>292</v>
      </c>
      <c r="E2120" s="2">
        <v>141</v>
      </c>
      <c r="F2120" s="2">
        <v>2958.41</v>
      </c>
    </row>
    <row r="2121" spans="3:6" x14ac:dyDescent="0.25">
      <c r="C2121" s="2" t="s">
        <v>5644</v>
      </c>
      <c r="D2121" s="2" t="s">
        <v>292</v>
      </c>
      <c r="E2121" s="2">
        <v>37</v>
      </c>
      <c r="F2121" s="2">
        <v>603.051</v>
      </c>
    </row>
    <row r="2122" spans="3:6" x14ac:dyDescent="0.25">
      <c r="C2122" s="2" t="s">
        <v>5645</v>
      </c>
      <c r="D2122" s="2" t="s">
        <v>292</v>
      </c>
      <c r="E2122" s="2">
        <v>28</v>
      </c>
      <c r="F2122" s="2">
        <v>591.47</v>
      </c>
    </row>
    <row r="2123" spans="3:6" x14ac:dyDescent="0.25">
      <c r="C2123" s="2" t="s">
        <v>5646</v>
      </c>
      <c r="D2123" s="2" t="s">
        <v>292</v>
      </c>
      <c r="E2123" s="2">
        <v>58</v>
      </c>
      <c r="F2123" s="2">
        <v>1162.61</v>
      </c>
    </row>
    <row r="2124" spans="3:6" x14ac:dyDescent="0.25">
      <c r="C2124" s="2" t="s">
        <v>5647</v>
      </c>
      <c r="D2124" s="2" t="s">
        <v>292</v>
      </c>
      <c r="E2124" s="2">
        <v>123</v>
      </c>
      <c r="F2124" s="2">
        <v>2563.849</v>
      </c>
    </row>
    <row r="2125" spans="3:6" x14ac:dyDescent="0.25">
      <c r="C2125" s="2" t="s">
        <v>5648</v>
      </c>
      <c r="D2125" s="2" t="s">
        <v>292</v>
      </c>
      <c r="E2125" s="2">
        <v>123</v>
      </c>
      <c r="F2125" s="2">
        <v>2548.41</v>
      </c>
    </row>
    <row r="2126" spans="3:6" x14ac:dyDescent="0.25">
      <c r="C2126" s="2" t="s">
        <v>5649</v>
      </c>
      <c r="D2126" s="2" t="s">
        <v>292</v>
      </c>
      <c r="E2126" s="2">
        <v>123</v>
      </c>
      <c r="F2126" s="2">
        <v>2559.989</v>
      </c>
    </row>
    <row r="2127" spans="3:6" x14ac:dyDescent="0.25">
      <c r="C2127" s="2" t="s">
        <v>5650</v>
      </c>
      <c r="D2127" s="2" t="s">
        <v>292</v>
      </c>
      <c r="E2127" s="2">
        <v>141</v>
      </c>
      <c r="F2127" s="2">
        <v>2817.378</v>
      </c>
    </row>
    <row r="2128" spans="3:6" x14ac:dyDescent="0.25">
      <c r="C2128" s="2" t="s">
        <v>5651</v>
      </c>
      <c r="D2128" s="2" t="s">
        <v>292</v>
      </c>
      <c r="E2128" s="2">
        <v>91</v>
      </c>
      <c r="F2128" s="2">
        <v>1825.75</v>
      </c>
    </row>
    <row r="2129" spans="3:6" x14ac:dyDescent="0.25">
      <c r="C2129" s="2" t="s">
        <v>5652</v>
      </c>
      <c r="D2129" s="2" t="s">
        <v>292</v>
      </c>
      <c r="E2129" s="2">
        <v>50</v>
      </c>
      <c r="F2129" s="2">
        <v>994.09</v>
      </c>
    </row>
    <row r="2130" spans="3:6" x14ac:dyDescent="0.25">
      <c r="C2130" s="2" t="s">
        <v>5653</v>
      </c>
      <c r="D2130" s="2" t="s">
        <v>292</v>
      </c>
      <c r="E2130" s="2">
        <v>50</v>
      </c>
      <c r="F2130" s="2">
        <v>263.85</v>
      </c>
    </row>
    <row r="2131" spans="3:6" x14ac:dyDescent="0.25">
      <c r="C2131" s="2" t="s">
        <v>5654</v>
      </c>
      <c r="D2131" s="2" t="s">
        <v>292</v>
      </c>
      <c r="E2131" s="2">
        <v>141</v>
      </c>
      <c r="F2131" s="2">
        <v>2965.339</v>
      </c>
    </row>
    <row r="2132" spans="3:6" x14ac:dyDescent="0.25">
      <c r="C2132" s="2" t="s">
        <v>5655</v>
      </c>
      <c r="D2132" s="2" t="s">
        <v>292</v>
      </c>
      <c r="E2132" s="2">
        <v>68</v>
      </c>
      <c r="F2132" s="2">
        <v>1326.4</v>
      </c>
    </row>
    <row r="2133" spans="3:6" x14ac:dyDescent="0.25">
      <c r="C2133" s="2" t="s">
        <v>5656</v>
      </c>
      <c r="D2133" s="2" t="s">
        <v>292</v>
      </c>
      <c r="E2133" s="2">
        <v>62</v>
      </c>
      <c r="F2133" s="2">
        <v>1247.586</v>
      </c>
    </row>
    <row r="2134" spans="3:6" x14ac:dyDescent="0.25">
      <c r="C2134" s="2" t="s">
        <v>5657</v>
      </c>
      <c r="D2134" s="2" t="s">
        <v>292</v>
      </c>
      <c r="E2134" s="2">
        <v>95</v>
      </c>
      <c r="F2134" s="2">
        <v>2084.32</v>
      </c>
    </row>
    <row r="2135" spans="3:6" x14ac:dyDescent="0.25">
      <c r="C2135" s="2" t="s">
        <v>5658</v>
      </c>
      <c r="D2135" s="2" t="s">
        <v>292</v>
      </c>
      <c r="E2135" s="2">
        <v>28</v>
      </c>
      <c r="F2135" s="2">
        <v>603.65</v>
      </c>
    </row>
    <row r="2136" spans="3:6" x14ac:dyDescent="0.25">
      <c r="C2136" s="2" t="s">
        <v>5659</v>
      </c>
      <c r="D2136" s="2" t="s">
        <v>292</v>
      </c>
      <c r="E2136" s="2">
        <v>113</v>
      </c>
      <c r="F2136" s="2">
        <v>2311.099</v>
      </c>
    </row>
    <row r="2137" spans="3:6" x14ac:dyDescent="0.25">
      <c r="C2137" s="2" t="s">
        <v>5660</v>
      </c>
      <c r="D2137" s="2" t="s">
        <v>292</v>
      </c>
      <c r="E2137" s="2">
        <v>93</v>
      </c>
      <c r="F2137" s="2">
        <v>1883.86</v>
      </c>
    </row>
    <row r="2138" spans="3:6" x14ac:dyDescent="0.25">
      <c r="C2138" s="2" t="s">
        <v>5661</v>
      </c>
      <c r="D2138" s="2" t="s">
        <v>292</v>
      </c>
      <c r="E2138" s="2">
        <v>48</v>
      </c>
      <c r="F2138" s="2">
        <v>961.17</v>
      </c>
    </row>
    <row r="2139" spans="3:6" x14ac:dyDescent="0.25">
      <c r="C2139" s="2" t="s">
        <v>5662</v>
      </c>
      <c r="D2139" s="2" t="s">
        <v>292</v>
      </c>
      <c r="E2139" s="2">
        <v>45</v>
      </c>
      <c r="F2139" s="2">
        <v>240.58</v>
      </c>
    </row>
    <row r="2140" spans="3:6" x14ac:dyDescent="0.25">
      <c r="C2140" s="2" t="s">
        <v>5663</v>
      </c>
      <c r="D2140" s="2" t="s">
        <v>292</v>
      </c>
      <c r="E2140" s="2">
        <v>141</v>
      </c>
      <c r="F2140" s="2">
        <v>2788.84</v>
      </c>
    </row>
    <row r="2141" spans="3:6" x14ac:dyDescent="0.25">
      <c r="C2141" s="2" t="s">
        <v>5664</v>
      </c>
      <c r="D2141" s="2" t="s">
        <v>292</v>
      </c>
      <c r="E2141" s="2">
        <v>121</v>
      </c>
      <c r="F2141" s="2">
        <v>2539.44</v>
      </c>
    </row>
    <row r="2142" spans="3:6" x14ac:dyDescent="0.25">
      <c r="C2142" s="2" t="s">
        <v>5665</v>
      </c>
      <c r="D2142" s="2" t="s">
        <v>292</v>
      </c>
      <c r="E2142" s="2">
        <v>20</v>
      </c>
      <c r="F2142" s="2">
        <v>389.93</v>
      </c>
    </row>
    <row r="2143" spans="3:6" x14ac:dyDescent="0.25">
      <c r="C2143" s="2" t="s">
        <v>5666</v>
      </c>
      <c r="D2143" s="2" t="s">
        <v>292</v>
      </c>
      <c r="E2143" s="2">
        <v>48</v>
      </c>
      <c r="F2143" s="2">
        <v>961.99</v>
      </c>
    </row>
    <row r="2144" spans="3:6" x14ac:dyDescent="0.25">
      <c r="C2144" s="2" t="s">
        <v>5667</v>
      </c>
      <c r="D2144" s="2" t="s">
        <v>292</v>
      </c>
      <c r="E2144" s="2">
        <v>93</v>
      </c>
      <c r="F2144" s="2">
        <v>1791.738</v>
      </c>
    </row>
    <row r="2145" spans="3:6" x14ac:dyDescent="0.25">
      <c r="C2145" s="2" t="s">
        <v>5668</v>
      </c>
      <c r="D2145" s="2" t="s">
        <v>292</v>
      </c>
      <c r="E2145" s="2">
        <v>45</v>
      </c>
      <c r="F2145" s="2">
        <v>235.38</v>
      </c>
    </row>
    <row r="2146" spans="3:6" x14ac:dyDescent="0.25">
      <c r="C2146" s="2" t="s">
        <v>5669</v>
      </c>
      <c r="D2146" s="2" t="s">
        <v>292</v>
      </c>
      <c r="E2146" s="2">
        <v>34</v>
      </c>
      <c r="F2146" s="2">
        <v>755.01</v>
      </c>
    </row>
    <row r="2147" spans="3:6" x14ac:dyDescent="0.25">
      <c r="C2147" s="2" t="s">
        <v>5670</v>
      </c>
      <c r="D2147" s="2" t="s">
        <v>292</v>
      </c>
      <c r="E2147" s="2">
        <v>107</v>
      </c>
      <c r="F2147" s="2">
        <v>2145.089</v>
      </c>
    </row>
    <row r="2148" spans="3:6" x14ac:dyDescent="0.25">
      <c r="C2148" s="2" t="s">
        <v>5671</v>
      </c>
      <c r="D2148" s="2" t="s">
        <v>292</v>
      </c>
      <c r="E2148" s="2">
        <v>61</v>
      </c>
      <c r="F2148" s="2">
        <v>1250.75</v>
      </c>
    </row>
    <row r="2149" spans="3:6" x14ac:dyDescent="0.25">
      <c r="C2149" s="2" t="s">
        <v>5672</v>
      </c>
      <c r="D2149" s="2" t="s">
        <v>292</v>
      </c>
      <c r="E2149" s="2">
        <v>78</v>
      </c>
      <c r="F2149" s="2">
        <v>686.207</v>
      </c>
    </row>
    <row r="2150" spans="3:6" x14ac:dyDescent="0.25">
      <c r="C2150" s="2" t="s">
        <v>5673</v>
      </c>
      <c r="D2150" s="2" t="s">
        <v>292</v>
      </c>
      <c r="E2150" s="2">
        <v>99</v>
      </c>
      <c r="F2150" s="2">
        <v>1998.24</v>
      </c>
    </row>
    <row r="2151" spans="3:6" x14ac:dyDescent="0.25">
      <c r="C2151" s="2" t="s">
        <v>5674</v>
      </c>
      <c r="D2151" s="2" t="s">
        <v>292</v>
      </c>
      <c r="E2151" s="2">
        <v>42</v>
      </c>
      <c r="F2151" s="2">
        <v>797.959</v>
      </c>
    </row>
    <row r="2152" spans="3:6" x14ac:dyDescent="0.25">
      <c r="C2152" s="2" t="s">
        <v>5675</v>
      </c>
      <c r="D2152" s="2" t="s">
        <v>292</v>
      </c>
      <c r="E2152" s="2">
        <v>96</v>
      </c>
      <c r="F2152" s="2">
        <v>1933.93</v>
      </c>
    </row>
    <row r="2153" spans="3:6" x14ac:dyDescent="0.25">
      <c r="C2153" s="2" t="s">
        <v>5676</v>
      </c>
      <c r="D2153" s="2" t="s">
        <v>292</v>
      </c>
      <c r="E2153" s="2">
        <v>45</v>
      </c>
      <c r="F2153" s="2">
        <v>919.3</v>
      </c>
    </row>
    <row r="2154" spans="3:6" x14ac:dyDescent="0.25">
      <c r="C2154" s="2" t="s">
        <v>5677</v>
      </c>
      <c r="D2154" s="2" t="s">
        <v>292</v>
      </c>
      <c r="E2154" s="2">
        <v>60</v>
      </c>
      <c r="F2154" s="2">
        <v>297.15</v>
      </c>
    </row>
    <row r="2155" spans="3:6" x14ac:dyDescent="0.25">
      <c r="C2155" s="2" t="s">
        <v>5678</v>
      </c>
      <c r="D2155" s="2" t="s">
        <v>292</v>
      </c>
      <c r="E2155" s="2">
        <v>113</v>
      </c>
      <c r="F2155" s="2">
        <v>2361.57</v>
      </c>
    </row>
    <row r="2156" spans="3:6" x14ac:dyDescent="0.25">
      <c r="C2156" s="2" t="s">
        <v>5679</v>
      </c>
      <c r="D2156" s="2" t="s">
        <v>292</v>
      </c>
      <c r="E2156" s="2">
        <v>15</v>
      </c>
      <c r="F2156" s="2">
        <v>279.65</v>
      </c>
    </row>
    <row r="2157" spans="3:6" x14ac:dyDescent="0.25">
      <c r="C2157" s="2" t="s">
        <v>5680</v>
      </c>
      <c r="D2157" s="2" t="s">
        <v>292</v>
      </c>
      <c r="E2157" s="2">
        <v>7</v>
      </c>
      <c r="F2157" s="2">
        <v>100.04</v>
      </c>
    </row>
    <row r="2158" spans="3:6" x14ac:dyDescent="0.25">
      <c r="C2158" s="2" t="s">
        <v>5681</v>
      </c>
      <c r="D2158" s="2" t="s">
        <v>292</v>
      </c>
      <c r="E2158" s="2">
        <v>100</v>
      </c>
      <c r="F2158" s="2">
        <v>1956.41</v>
      </c>
    </row>
    <row r="2159" spans="3:6" x14ac:dyDescent="0.25">
      <c r="C2159" s="2" t="s">
        <v>5682</v>
      </c>
      <c r="D2159" s="2" t="s">
        <v>292</v>
      </c>
      <c r="E2159" s="2">
        <v>45</v>
      </c>
      <c r="F2159" s="2">
        <v>496.546</v>
      </c>
    </row>
    <row r="2160" spans="3:6" x14ac:dyDescent="0.25">
      <c r="C2160" s="2" t="s">
        <v>5683</v>
      </c>
      <c r="D2160" s="2" t="s">
        <v>292</v>
      </c>
      <c r="E2160" s="2">
        <v>55</v>
      </c>
      <c r="F2160" s="2">
        <v>1110.17</v>
      </c>
    </row>
    <row r="2161" spans="3:6" x14ac:dyDescent="0.25">
      <c r="C2161" s="2" t="s">
        <v>5684</v>
      </c>
      <c r="D2161" s="2" t="s">
        <v>292</v>
      </c>
      <c r="E2161" s="2">
        <v>72</v>
      </c>
      <c r="F2161" s="2">
        <v>1391.18</v>
      </c>
    </row>
    <row r="2162" spans="3:6" x14ac:dyDescent="0.25">
      <c r="C2162" s="2" t="s">
        <v>5685</v>
      </c>
      <c r="D2162" s="2" t="s">
        <v>292</v>
      </c>
      <c r="E2162" s="2">
        <v>16</v>
      </c>
      <c r="F2162" s="2">
        <v>209.52</v>
      </c>
    </row>
    <row r="2163" spans="3:6" x14ac:dyDescent="0.25">
      <c r="C2163" s="2" t="s">
        <v>5686</v>
      </c>
      <c r="D2163" s="2" t="s">
        <v>292</v>
      </c>
      <c r="E2163" s="2">
        <v>14</v>
      </c>
      <c r="F2163" s="2">
        <v>246.99</v>
      </c>
    </row>
    <row r="2164" spans="3:6" x14ac:dyDescent="0.25">
      <c r="C2164" s="2" t="s">
        <v>5687</v>
      </c>
      <c r="D2164" s="2" t="s">
        <v>292</v>
      </c>
      <c r="E2164" s="2">
        <v>57</v>
      </c>
      <c r="F2164" s="2">
        <v>1481.33</v>
      </c>
    </row>
    <row r="2165" spans="3:6" x14ac:dyDescent="0.25">
      <c r="C2165" s="2" t="s">
        <v>5688</v>
      </c>
      <c r="D2165" s="2" t="s">
        <v>292</v>
      </c>
      <c r="E2165" s="2">
        <v>100</v>
      </c>
      <c r="F2165" s="2">
        <v>2085.72</v>
      </c>
    </row>
    <row r="2166" spans="3:6" x14ac:dyDescent="0.25">
      <c r="C2166" s="2" t="s">
        <v>5689</v>
      </c>
      <c r="D2166" s="2" t="s">
        <v>292</v>
      </c>
      <c r="E2166" s="2">
        <v>82</v>
      </c>
      <c r="F2166" s="2">
        <v>1660.02</v>
      </c>
    </row>
    <row r="2167" spans="3:6" x14ac:dyDescent="0.25">
      <c r="C2167" s="2" t="s">
        <v>5690</v>
      </c>
      <c r="D2167" s="2" t="s">
        <v>292</v>
      </c>
      <c r="E2167" s="2">
        <v>18</v>
      </c>
      <c r="F2167" s="2">
        <v>354.78</v>
      </c>
    </row>
    <row r="2168" spans="3:6" x14ac:dyDescent="0.25">
      <c r="C2168" s="2" t="s">
        <v>5691</v>
      </c>
      <c r="D2168" s="2" t="s">
        <v>292</v>
      </c>
      <c r="E2168" s="2">
        <v>65</v>
      </c>
      <c r="F2168" s="2">
        <v>1148.47</v>
      </c>
    </row>
    <row r="2169" spans="3:6" x14ac:dyDescent="0.25">
      <c r="C2169" s="2" t="s">
        <v>5692</v>
      </c>
      <c r="D2169" s="2" t="s">
        <v>292</v>
      </c>
      <c r="E2169" s="2">
        <v>10</v>
      </c>
      <c r="F2169" s="2">
        <v>168.53</v>
      </c>
    </row>
    <row r="2170" spans="3:6" x14ac:dyDescent="0.25">
      <c r="C2170" s="2" t="s">
        <v>5693</v>
      </c>
      <c r="D2170" s="2" t="s">
        <v>292</v>
      </c>
      <c r="E2170" s="2">
        <v>80</v>
      </c>
      <c r="F2170" s="2">
        <v>1632</v>
      </c>
    </row>
    <row r="2171" spans="3:6" x14ac:dyDescent="0.25">
      <c r="C2171" s="2" t="s">
        <v>5694</v>
      </c>
      <c r="D2171" s="2" t="s">
        <v>292</v>
      </c>
      <c r="E2171" s="2">
        <v>20</v>
      </c>
      <c r="F2171" s="2">
        <v>466</v>
      </c>
    </row>
    <row r="2173" spans="1:7" x14ac:dyDescent="0.25">
      <c r="A2173" s="1">
        <v>46188</v>
      </c>
      <c r="B2173" s="2" t="s">
        <v>7</v>
      </c>
      <c r="C2173" s="2" t="s">
        <v>5695</v>
      </c>
      <c r="D2173" s="2" t="s">
        <v>9</v>
      </c>
      <c r="E2173" s="2">
        <v>83</v>
      </c>
      <c r="F2173" s="2">
        <v>1750.44</v>
      </c>
      <c r="G2173" s="1">
        <v>46190</v>
      </c>
    </row>
    <row r="2174" spans="3:6" x14ac:dyDescent="0.25">
      <c r="C2174" s="2" t="s">
        <v>5696</v>
      </c>
      <c r="D2174" s="2" t="s">
        <v>9</v>
      </c>
      <c r="E2174" s="2">
        <v>85</v>
      </c>
      <c r="F2174" s="2">
        <v>1759.47</v>
      </c>
    </row>
    <row r="2176" spans="1:7" x14ac:dyDescent="0.25">
      <c r="A2176" s="1">
        <v>46188</v>
      </c>
      <c r="B2176" s="2" t="s">
        <v>128</v>
      </c>
      <c r="C2176" s="2" t="s">
        <v>5697</v>
      </c>
      <c r="D2176" s="2" t="s">
        <v>15</v>
      </c>
      <c r="E2176" s="2">
        <v>163</v>
      </c>
      <c r="F2176" s="2">
        <v>3060.999</v>
      </c>
      <c r="G2176" s="1">
        <v>46190</v>
      </c>
    </row>
    <row r="2177" spans="3:6" x14ac:dyDescent="0.25">
      <c r="C2177" s="2" t="s">
        <v>5698</v>
      </c>
      <c r="D2177" s="2" t="s">
        <v>15</v>
      </c>
      <c r="E2177" s="2">
        <v>237</v>
      </c>
      <c r="F2177" s="2">
        <v>705.801</v>
      </c>
    </row>
    <row r="2178" spans="3:4" x14ac:dyDescent="0.25">
      <c r="C2178" s="2" t="s">
        <v>5699</v>
      </c>
      <c r="D2178" s="2" t="s">
        <v>15</v>
      </c>
    </row>
    <row r="2179" spans="3:6" x14ac:dyDescent="0.25">
      <c r="C2179" s="2" t="s">
        <v>5700</v>
      </c>
      <c r="D2179" s="2" t="s">
        <v>15</v>
      </c>
      <c r="E2179" s="2">
        <v>76</v>
      </c>
      <c r="F2179" s="2">
        <v>1392.1</v>
      </c>
    </row>
    <row r="2180" spans="3:6" x14ac:dyDescent="0.25">
      <c r="C2180" s="2" t="s">
        <v>5701</v>
      </c>
      <c r="D2180" s="2" t="s">
        <v>15</v>
      </c>
      <c r="E2180" s="2">
        <v>163</v>
      </c>
      <c r="F2180" s="2">
        <v>2829.609</v>
      </c>
    </row>
    <row r="2181" spans="3:6" x14ac:dyDescent="0.25">
      <c r="C2181" s="2" t="s">
        <v>5702</v>
      </c>
      <c r="D2181" s="2" t="s">
        <v>15</v>
      </c>
      <c r="E2181" s="2">
        <v>238</v>
      </c>
      <c r="F2181" s="2">
        <v>627.315</v>
      </c>
    </row>
    <row r="2182" spans="3:6" x14ac:dyDescent="0.25">
      <c r="C2182" s="2" t="s">
        <v>5703</v>
      </c>
      <c r="D2182" s="2" t="s">
        <v>15</v>
      </c>
      <c r="E2182" s="2">
        <v>9</v>
      </c>
      <c r="F2182" s="2">
        <v>120.25</v>
      </c>
    </row>
    <row r="2183" spans="3:4" x14ac:dyDescent="0.25">
      <c r="C2183" s="2" t="s">
        <v>5344</v>
      </c>
      <c r="D2183" s="2" t="s">
        <v>15</v>
      </c>
    </row>
    <row r="2184" spans="3:6" x14ac:dyDescent="0.25">
      <c r="C2184" s="2" t="s">
        <v>5704</v>
      </c>
      <c r="D2184" s="2" t="s">
        <v>26</v>
      </c>
      <c r="E2184" s="2">
        <v>100</v>
      </c>
      <c r="F2184" s="2">
        <v>1883.91</v>
      </c>
    </row>
    <row r="2185" spans="3:6" x14ac:dyDescent="0.25">
      <c r="C2185" s="2" t="s">
        <v>5705</v>
      </c>
      <c r="D2185" s="2" t="s">
        <v>26</v>
      </c>
      <c r="E2185" s="2">
        <v>56</v>
      </c>
      <c r="F2185" s="2">
        <v>1101.65</v>
      </c>
    </row>
    <row r="2186" spans="3:6" x14ac:dyDescent="0.25">
      <c r="C2186" s="2" t="s">
        <v>5706</v>
      </c>
      <c r="D2186" s="2" t="s">
        <v>26</v>
      </c>
      <c r="E2186" s="2">
        <v>56</v>
      </c>
      <c r="F2186" s="2">
        <v>1105.14</v>
      </c>
    </row>
    <row r="2187" spans="3:6" x14ac:dyDescent="0.25">
      <c r="C2187" s="2" t="s">
        <v>5707</v>
      </c>
      <c r="D2187" s="2" t="s">
        <v>26</v>
      </c>
      <c r="E2187" s="2">
        <v>100</v>
      </c>
      <c r="F2187" s="2">
        <v>1872.899</v>
      </c>
    </row>
    <row r="2188" spans="3:6" x14ac:dyDescent="0.25">
      <c r="C2188" s="2" t="s">
        <v>5708</v>
      </c>
      <c r="D2188" s="2" t="s">
        <v>26</v>
      </c>
      <c r="E2188" s="2">
        <v>56</v>
      </c>
      <c r="F2188" s="2">
        <v>1107.92</v>
      </c>
    </row>
    <row r="2189" spans="3:6" x14ac:dyDescent="0.25">
      <c r="C2189" s="2" t="s">
        <v>5709</v>
      </c>
      <c r="D2189" s="2" t="s">
        <v>26</v>
      </c>
      <c r="E2189" s="2">
        <v>100</v>
      </c>
      <c r="F2189" s="2">
        <v>1921.2</v>
      </c>
    </row>
    <row r="2190" spans="3:6" x14ac:dyDescent="0.25">
      <c r="C2190" s="2" t="s">
        <v>5710</v>
      </c>
      <c r="D2190" s="2" t="s">
        <v>26</v>
      </c>
      <c r="E2190" s="2">
        <v>100</v>
      </c>
      <c r="F2190" s="2">
        <v>1983.859</v>
      </c>
    </row>
    <row r="2191" spans="3:6" x14ac:dyDescent="0.25">
      <c r="C2191" s="2" t="s">
        <v>5711</v>
      </c>
      <c r="D2191" s="2" t="s">
        <v>26</v>
      </c>
      <c r="E2191" s="2">
        <v>56</v>
      </c>
      <c r="F2191" s="2">
        <v>932.34</v>
      </c>
    </row>
    <row r="2192" spans="3:6" x14ac:dyDescent="0.25">
      <c r="C2192" s="2" t="s">
        <v>5712</v>
      </c>
      <c r="D2192" s="2" t="s">
        <v>26</v>
      </c>
      <c r="E2192" s="2">
        <v>100</v>
      </c>
      <c r="F2192" s="2">
        <v>1918.908</v>
      </c>
    </row>
    <row r="2193" spans="3:6" x14ac:dyDescent="0.25">
      <c r="C2193" s="2" t="s">
        <v>5713</v>
      </c>
      <c r="D2193" s="2" t="s">
        <v>26</v>
      </c>
      <c r="E2193" s="2">
        <v>56</v>
      </c>
      <c r="F2193" s="2">
        <v>1073.79</v>
      </c>
    </row>
    <row r="2194" spans="3:6" x14ac:dyDescent="0.25">
      <c r="C2194" s="2" t="s">
        <v>5714</v>
      </c>
      <c r="D2194" s="2" t="s">
        <v>30</v>
      </c>
      <c r="E2194" s="2">
        <v>134</v>
      </c>
      <c r="F2194" s="2">
        <v>2632.969</v>
      </c>
    </row>
    <row r="2195" spans="3:6" x14ac:dyDescent="0.25">
      <c r="C2195" s="2" t="s">
        <v>5715</v>
      </c>
      <c r="D2195" s="2" t="s">
        <v>30</v>
      </c>
      <c r="E2195" s="2">
        <v>134</v>
      </c>
      <c r="F2195" s="2">
        <v>2613.01</v>
      </c>
    </row>
    <row r="2196" spans="3:6" x14ac:dyDescent="0.25">
      <c r="C2196" s="2" t="s">
        <v>5716</v>
      </c>
      <c r="D2196" s="2" t="s">
        <v>30</v>
      </c>
      <c r="E2196" s="2">
        <v>134</v>
      </c>
      <c r="F2196" s="2">
        <v>2597.91</v>
      </c>
    </row>
    <row r="2197" spans="3:6" x14ac:dyDescent="0.25">
      <c r="C2197" s="2" t="s">
        <v>5717</v>
      </c>
      <c r="D2197" s="2" t="s">
        <v>30</v>
      </c>
      <c r="E2197" s="2">
        <v>134</v>
      </c>
      <c r="F2197" s="2">
        <v>2635.759</v>
      </c>
    </row>
    <row r="2198" spans="3:6" x14ac:dyDescent="0.25">
      <c r="C2198" s="2" t="s">
        <v>5718</v>
      </c>
      <c r="D2198" s="2" t="s">
        <v>30</v>
      </c>
      <c r="E2198" s="2">
        <v>134</v>
      </c>
      <c r="F2198" s="2">
        <v>2612.56</v>
      </c>
    </row>
    <row r="2199" spans="3:6" x14ac:dyDescent="0.25">
      <c r="C2199" s="2" t="s">
        <v>5719</v>
      </c>
      <c r="D2199" s="2" t="s">
        <v>30</v>
      </c>
      <c r="E2199" s="2">
        <v>134</v>
      </c>
      <c r="F2199" s="2">
        <v>2723.6</v>
      </c>
    </row>
    <row r="2200" spans="3:6" x14ac:dyDescent="0.25">
      <c r="C2200" s="2" t="s">
        <v>5720</v>
      </c>
      <c r="D2200" s="2" t="s">
        <v>30</v>
      </c>
      <c r="E2200" s="2">
        <v>105</v>
      </c>
      <c r="F2200" s="2">
        <v>2070.3</v>
      </c>
    </row>
    <row r="2201" spans="3:6" x14ac:dyDescent="0.25">
      <c r="C2201" s="2" t="s">
        <v>5721</v>
      </c>
      <c r="D2201" s="2" t="s">
        <v>30</v>
      </c>
      <c r="E2201" s="2">
        <v>105</v>
      </c>
      <c r="F2201" s="2">
        <v>2101.569</v>
      </c>
    </row>
    <row r="2202" spans="3:6" x14ac:dyDescent="0.25">
      <c r="C2202" s="2" t="s">
        <v>5722</v>
      </c>
      <c r="D2202" s="2" t="s">
        <v>30</v>
      </c>
      <c r="E2202" s="2">
        <v>105</v>
      </c>
      <c r="F2202" s="2">
        <v>2055.84</v>
      </c>
    </row>
    <row r="2203" spans="3:6" x14ac:dyDescent="0.25">
      <c r="C2203" s="2" t="s">
        <v>5723</v>
      </c>
      <c r="D2203" s="2" t="s">
        <v>36</v>
      </c>
      <c r="E2203" s="2">
        <v>80</v>
      </c>
      <c r="F2203" s="2">
        <v>1516.55</v>
      </c>
    </row>
    <row r="2204" spans="3:6" x14ac:dyDescent="0.25">
      <c r="C2204" s="2" t="s">
        <v>5724</v>
      </c>
      <c r="D2204" s="2" t="s">
        <v>36</v>
      </c>
      <c r="E2204" s="2">
        <v>18</v>
      </c>
      <c r="F2204" s="2">
        <v>357.77</v>
      </c>
    </row>
    <row r="2205" spans="3:4" x14ac:dyDescent="0.25">
      <c r="C2205" s="2" t="s">
        <v>5725</v>
      </c>
      <c r="D2205" s="2" t="s">
        <v>36</v>
      </c>
    </row>
    <row r="2206" spans="3:6" x14ac:dyDescent="0.25">
      <c r="C2206" s="2" t="s">
        <v>5726</v>
      </c>
      <c r="D2206" s="2" t="s">
        <v>36</v>
      </c>
      <c r="E2206" s="2">
        <v>45</v>
      </c>
      <c r="F2206" s="2">
        <v>825.129</v>
      </c>
    </row>
    <row r="2207" spans="3:6" x14ac:dyDescent="0.25">
      <c r="C2207" s="2" t="s">
        <v>5727</v>
      </c>
      <c r="D2207" s="2" t="s">
        <v>36</v>
      </c>
      <c r="E2207" s="2">
        <v>60</v>
      </c>
      <c r="F2207" s="2">
        <v>1147.45</v>
      </c>
    </row>
    <row r="2208" spans="3:6" x14ac:dyDescent="0.25">
      <c r="C2208" s="2" t="s">
        <v>5728</v>
      </c>
      <c r="D2208" s="2" t="s">
        <v>42</v>
      </c>
      <c r="E2208" s="2">
        <v>100</v>
      </c>
      <c r="F2208" s="2">
        <v>1933.14</v>
      </c>
    </row>
    <row r="2209" spans="3:6" x14ac:dyDescent="0.25">
      <c r="C2209" s="2" t="s">
        <v>5729</v>
      </c>
      <c r="D2209" s="2" t="s">
        <v>42</v>
      </c>
      <c r="E2209" s="2">
        <v>56</v>
      </c>
      <c r="F2209" s="2">
        <v>1072.08</v>
      </c>
    </row>
    <row r="2210" spans="3:6" x14ac:dyDescent="0.25">
      <c r="C2210" s="2" t="s">
        <v>5730</v>
      </c>
      <c r="D2210" s="2" t="s">
        <v>42</v>
      </c>
      <c r="E2210" s="2">
        <v>100</v>
      </c>
      <c r="F2210" s="2">
        <v>1903.16</v>
      </c>
    </row>
    <row r="2211" spans="3:6" x14ac:dyDescent="0.25">
      <c r="C2211" s="2" t="s">
        <v>5731</v>
      </c>
      <c r="D2211" s="2" t="s">
        <v>42</v>
      </c>
      <c r="E2211" s="2">
        <v>56</v>
      </c>
      <c r="F2211" s="2">
        <v>1043.9</v>
      </c>
    </row>
    <row r="2212" spans="3:6" x14ac:dyDescent="0.25">
      <c r="C2212" s="2" t="s">
        <v>5732</v>
      </c>
      <c r="D2212" s="2" t="s">
        <v>42</v>
      </c>
      <c r="E2212" s="2">
        <v>56</v>
      </c>
      <c r="F2212" s="2">
        <v>1066.719</v>
      </c>
    </row>
    <row r="2213" spans="3:6" x14ac:dyDescent="0.25">
      <c r="C2213" s="2" t="s">
        <v>5733</v>
      </c>
      <c r="D2213" s="2" t="s">
        <v>42</v>
      </c>
      <c r="E2213" s="2">
        <v>100</v>
      </c>
      <c r="F2213" s="2">
        <v>1878.178</v>
      </c>
    </row>
    <row r="2214" spans="3:6" x14ac:dyDescent="0.25">
      <c r="C2214" s="2" t="s">
        <v>5734</v>
      </c>
      <c r="D2214" s="2" t="s">
        <v>42</v>
      </c>
      <c r="E2214" s="2">
        <v>58</v>
      </c>
      <c r="F2214" s="2">
        <v>1077.61</v>
      </c>
    </row>
    <row r="2215" spans="3:6" x14ac:dyDescent="0.25">
      <c r="C2215" s="2" t="s">
        <v>5735</v>
      </c>
      <c r="D2215" s="2" t="s">
        <v>42</v>
      </c>
      <c r="E2215" s="2">
        <v>24</v>
      </c>
      <c r="F2215" s="2">
        <v>473.9</v>
      </c>
    </row>
    <row r="2216" spans="3:6" x14ac:dyDescent="0.25">
      <c r="C2216" s="2" t="s">
        <v>5736</v>
      </c>
      <c r="D2216" s="2" t="s">
        <v>42</v>
      </c>
      <c r="E2216" s="2">
        <v>74</v>
      </c>
      <c r="F2216" s="2">
        <v>1374.63</v>
      </c>
    </row>
    <row r="2217" spans="3:6" x14ac:dyDescent="0.25">
      <c r="C2217" s="2" t="s">
        <v>5380</v>
      </c>
      <c r="D2217" s="2" t="s">
        <v>136</v>
      </c>
      <c r="E2217" s="2">
        <v>61</v>
      </c>
      <c r="F2217" s="2">
        <v>1014.689</v>
      </c>
    </row>
    <row r="2218" spans="3:6" x14ac:dyDescent="0.25">
      <c r="C2218" s="2" t="s">
        <v>5381</v>
      </c>
      <c r="D2218" s="2" t="s">
        <v>136</v>
      </c>
      <c r="E2218" s="2">
        <v>95</v>
      </c>
      <c r="F2218" s="2">
        <v>1796.56</v>
      </c>
    </row>
    <row r="2219" spans="1:7" x14ac:dyDescent="0.25">
      <c r="A2219" s="1">
        <v>46188</v>
      </c>
      <c r="B2219" s="2" t="s">
        <v>5737</v>
      </c>
      <c r="C2219" s="2" t="s">
        <v>5738</v>
      </c>
      <c r="D2219" s="2" t="s">
        <v>59</v>
      </c>
      <c r="E2219" s="2">
        <v>105</v>
      </c>
      <c r="F2219" s="2">
        <v>2001.18</v>
      </c>
      <c r="G2219" s="1">
        <v>46186</v>
      </c>
    </row>
    <row r="2220" spans="3:6" x14ac:dyDescent="0.25">
      <c r="C2220" s="2" t="s">
        <v>5739</v>
      </c>
      <c r="D2220" s="2" t="s">
        <v>59</v>
      </c>
      <c r="E2220" s="2">
        <v>235</v>
      </c>
      <c r="F2220" s="2">
        <v>4873.089</v>
      </c>
    </row>
    <row r="2221" spans="3:6" x14ac:dyDescent="0.25">
      <c r="C2221" s="2" t="s">
        <v>5740</v>
      </c>
      <c r="D2221" s="2" t="s">
        <v>59</v>
      </c>
      <c r="E2221" s="2">
        <v>353</v>
      </c>
      <c r="F2221" s="2">
        <v>5548.152</v>
      </c>
    </row>
    <row r="2223" spans="3:6" x14ac:dyDescent="0.25">
      <c r="C2223" s="2" t="s">
        <v>5741</v>
      </c>
      <c r="D2223" s="2" t="s">
        <v>59</v>
      </c>
      <c r="E2223" s="2">
        <v>268</v>
      </c>
      <c r="F2223" s="2">
        <v>5180.25</v>
      </c>
    </row>
    <row r="2224" spans="3:6" x14ac:dyDescent="0.25">
      <c r="C2224" s="2" t="s">
        <v>5742</v>
      </c>
      <c r="D2224" s="2" t="s">
        <v>59</v>
      </c>
      <c r="E2224" s="2">
        <v>163</v>
      </c>
      <c r="F2224" s="2">
        <v>3021.45</v>
      </c>
    </row>
    <row r="2225" spans="3:6" x14ac:dyDescent="0.25">
      <c r="C2225" s="2" t="s">
        <v>5743</v>
      </c>
      <c r="D2225" s="2" t="s">
        <v>59</v>
      </c>
      <c r="E2225" s="2">
        <v>105</v>
      </c>
      <c r="F2225" s="2">
        <v>2036.71</v>
      </c>
    </row>
    <row r="2226" spans="3:6" x14ac:dyDescent="0.25">
      <c r="C2226" s="2" t="s">
        <v>5744</v>
      </c>
      <c r="D2226" s="2" t="s">
        <v>59</v>
      </c>
      <c r="E2226" s="2">
        <v>268</v>
      </c>
      <c r="F2226" s="2">
        <v>5191.078</v>
      </c>
    </row>
    <row r="2228" spans="1:7" x14ac:dyDescent="0.25">
      <c r="A2228" s="1">
        <v>46189</v>
      </c>
      <c r="B2228" s="2" t="s">
        <v>1400</v>
      </c>
      <c r="C2228" s="2" t="s">
        <v>5745</v>
      </c>
      <c r="D2228" s="2" t="s">
        <v>82</v>
      </c>
      <c r="E2228" s="2">
        <v>247</v>
      </c>
      <c r="F2228" s="2">
        <v>5128.57</v>
      </c>
      <c r="G2228" s="1">
        <v>46191</v>
      </c>
    </row>
    <row r="2229" spans="3:6" x14ac:dyDescent="0.25">
      <c r="C2229" s="2" t="s">
        <v>5746</v>
      </c>
      <c r="D2229" s="2" t="s">
        <v>82</v>
      </c>
      <c r="E2229" s="2">
        <v>35</v>
      </c>
      <c r="F2229" s="2">
        <v>689.98</v>
      </c>
    </row>
    <row r="2230" spans="3:6" x14ac:dyDescent="0.25">
      <c r="C2230" s="2" t="s">
        <v>5747</v>
      </c>
      <c r="D2230" s="2" t="s">
        <v>82</v>
      </c>
      <c r="E2230" s="2">
        <v>79</v>
      </c>
      <c r="F2230" s="2">
        <v>1494.8</v>
      </c>
    </row>
    <row r="2231" spans="3:6" x14ac:dyDescent="0.25">
      <c r="C2231" s="2" t="s">
        <v>5748</v>
      </c>
      <c r="D2231" s="2" t="s">
        <v>82</v>
      </c>
      <c r="E2231" s="2">
        <v>63</v>
      </c>
      <c r="F2231" s="2">
        <v>1312.61</v>
      </c>
    </row>
    <row r="2232" spans="3:6" x14ac:dyDescent="0.25">
      <c r="C2232" s="2" t="s">
        <v>5749</v>
      </c>
      <c r="D2232" s="2" t="s">
        <v>82</v>
      </c>
      <c r="E2232" s="2">
        <v>51</v>
      </c>
      <c r="F2232" s="2">
        <v>971.808</v>
      </c>
    </row>
    <row r="2233" spans="3:6" x14ac:dyDescent="0.25">
      <c r="C2233" s="2" t="s">
        <v>5750</v>
      </c>
      <c r="D2233" s="2" t="s">
        <v>82</v>
      </c>
      <c r="E2233" s="2">
        <v>30</v>
      </c>
      <c r="F2233" s="2">
        <v>547.69</v>
      </c>
    </row>
    <row r="2234" spans="3:6" x14ac:dyDescent="0.25">
      <c r="C2234" s="2" t="s">
        <v>5751</v>
      </c>
      <c r="D2234" s="2" t="s">
        <v>82</v>
      </c>
      <c r="E2234" s="2">
        <v>60</v>
      </c>
      <c r="F2234" s="2">
        <v>1245.33</v>
      </c>
    </row>
    <row r="2235" spans="3:6" x14ac:dyDescent="0.25">
      <c r="C2235" s="2" t="s">
        <v>5752</v>
      </c>
      <c r="D2235" s="2" t="s">
        <v>82</v>
      </c>
      <c r="E2235" s="2">
        <v>141</v>
      </c>
      <c r="F2235" s="2">
        <v>2690.23</v>
      </c>
    </row>
    <row r="2236" spans="3:6" x14ac:dyDescent="0.25">
      <c r="C2236" s="2" t="s">
        <v>5753</v>
      </c>
      <c r="D2236" s="2" t="s">
        <v>82</v>
      </c>
      <c r="E2236" s="2">
        <v>64</v>
      </c>
      <c r="F2236" s="2">
        <v>1336.12</v>
      </c>
    </row>
    <row r="2237" spans="3:6" x14ac:dyDescent="0.25">
      <c r="C2237" s="2" t="s">
        <v>5754</v>
      </c>
      <c r="D2237" s="2" t="s">
        <v>82</v>
      </c>
      <c r="E2237" s="2">
        <v>36</v>
      </c>
      <c r="F2237" s="2">
        <v>725.38</v>
      </c>
    </row>
    <row r="2238" spans="3:6" x14ac:dyDescent="0.25">
      <c r="C2238" s="2" t="s">
        <v>5755</v>
      </c>
      <c r="D2238" s="2" t="s">
        <v>82</v>
      </c>
      <c r="E2238" s="2">
        <v>41</v>
      </c>
      <c r="F2238" s="2">
        <v>814.1</v>
      </c>
    </row>
    <row r="2240" spans="1:7" x14ac:dyDescent="0.25">
      <c r="A2240" s="1">
        <v>46189</v>
      </c>
      <c r="B2240" s="2" t="s">
        <v>1012</v>
      </c>
      <c r="C2240" s="2" t="s">
        <v>5756</v>
      </c>
      <c r="D2240" s="2" t="s">
        <v>73</v>
      </c>
      <c r="E2240" s="2">
        <v>90</v>
      </c>
      <c r="F2240" s="2">
        <v>1791.26</v>
      </c>
      <c r="G2240" s="1">
        <v>46191</v>
      </c>
    </row>
    <row r="2241" spans="3:6" x14ac:dyDescent="0.25">
      <c r="C2241" s="2" t="s">
        <v>5757</v>
      </c>
      <c r="D2241" s="2" t="s">
        <v>73</v>
      </c>
      <c r="E2241" s="2">
        <v>83</v>
      </c>
      <c r="F2241" s="2">
        <v>1646.75</v>
      </c>
    </row>
    <row r="2242" spans="3:6" x14ac:dyDescent="0.25">
      <c r="C2242" s="2" t="s">
        <v>5758</v>
      </c>
      <c r="D2242" s="2" t="s">
        <v>73</v>
      </c>
      <c r="E2242" s="2">
        <v>82</v>
      </c>
      <c r="F2242" s="2">
        <v>1676.41</v>
      </c>
    </row>
    <row r="2243" spans="3:6" x14ac:dyDescent="0.25">
      <c r="C2243" s="2" t="s">
        <v>5759</v>
      </c>
      <c r="D2243" s="2" t="s">
        <v>73</v>
      </c>
      <c r="E2243" s="2">
        <v>92</v>
      </c>
      <c r="F2243" s="2">
        <v>1768.48</v>
      </c>
    </row>
    <row r="2244" spans="3:3" x14ac:dyDescent="0.25">
      <c r="C2244" s="2" t="s">
        <v>5760</v>
      </c>
    </row>
    <row r="2245" spans="3:6" x14ac:dyDescent="0.25">
      <c r="C2245" s="2" t="s">
        <v>5761</v>
      </c>
      <c r="D2245" s="2" t="s">
        <v>73</v>
      </c>
      <c r="E2245" s="2">
        <v>83</v>
      </c>
      <c r="F2245" s="2">
        <v>1513.06</v>
      </c>
    </row>
    <row r="2246" spans="3:6" x14ac:dyDescent="0.25">
      <c r="C2246" s="2" t="s">
        <v>5762</v>
      </c>
      <c r="D2246" s="2" t="s">
        <v>73</v>
      </c>
      <c r="E2246" s="2">
        <v>50</v>
      </c>
      <c r="F2246" s="2">
        <v>892.03</v>
      </c>
    </row>
    <row r="2247" spans="3:6" x14ac:dyDescent="0.25">
      <c r="C2247" s="2" t="s">
        <v>5763</v>
      </c>
      <c r="D2247" s="2" t="s">
        <v>73</v>
      </c>
      <c r="E2247" s="2">
        <v>90</v>
      </c>
      <c r="F2247" s="2">
        <v>1675.72</v>
      </c>
    </row>
    <row r="2248" spans="3:6" x14ac:dyDescent="0.25">
      <c r="C2248" s="2" t="s">
        <v>5764</v>
      </c>
      <c r="D2248" s="2" t="s">
        <v>73</v>
      </c>
      <c r="E2248" s="2">
        <v>28</v>
      </c>
      <c r="F2248" s="2">
        <v>522.43</v>
      </c>
    </row>
    <row r="2249" spans="3:6" x14ac:dyDescent="0.25">
      <c r="C2249" s="2" t="s">
        <v>5765</v>
      </c>
      <c r="D2249" s="2" t="s">
        <v>73</v>
      </c>
      <c r="E2249" s="2">
        <v>19</v>
      </c>
      <c r="F2249" s="2">
        <v>325.25</v>
      </c>
    </row>
    <row r="2251" spans="1:7" x14ac:dyDescent="0.25">
      <c r="A2251" s="1">
        <v>46189</v>
      </c>
      <c r="B2251" s="2" t="s">
        <v>5766</v>
      </c>
      <c r="C2251" s="2" t="s">
        <v>5767</v>
      </c>
      <c r="D2251" s="2" t="s">
        <v>3848</v>
      </c>
      <c r="E2251" s="2">
        <v>70</v>
      </c>
      <c r="F2251" s="2">
        <v>2511.58</v>
      </c>
      <c r="G2251" s="1">
        <v>46191</v>
      </c>
    </row>
    <row r="2253" spans="1:7" x14ac:dyDescent="0.25">
      <c r="A2253" s="1">
        <v>46189</v>
      </c>
      <c r="B2253" s="2" t="s">
        <v>7</v>
      </c>
      <c r="C2253" s="2" t="s">
        <v>5768</v>
      </c>
      <c r="D2253" s="2" t="s">
        <v>9</v>
      </c>
      <c r="E2253" s="2">
        <v>100</v>
      </c>
      <c r="F2253" s="2">
        <v>1799.385</v>
      </c>
      <c r="G2253" s="1">
        <v>46191</v>
      </c>
    </row>
    <row r="2254" spans="3:6" x14ac:dyDescent="0.25">
      <c r="C2254" s="2" t="s">
        <v>5769</v>
      </c>
      <c r="D2254" s="2" t="s">
        <v>9</v>
      </c>
      <c r="E2254" s="2">
        <v>99</v>
      </c>
      <c r="F2254" s="2">
        <v>1964.761</v>
      </c>
    </row>
    <row r="2256" spans="1:7" x14ac:dyDescent="0.25">
      <c r="A2256" s="1">
        <v>46189</v>
      </c>
      <c r="B2256" s="2" t="s">
        <v>1299</v>
      </c>
      <c r="C2256" s="2" t="s">
        <v>5770</v>
      </c>
      <c r="D2256" s="2" t="s">
        <v>15</v>
      </c>
      <c r="E2256" s="2">
        <v>105</v>
      </c>
      <c r="F2256" s="2">
        <v>2122.58</v>
      </c>
      <c r="G2256" s="1">
        <v>46191</v>
      </c>
    </row>
    <row r="2257" spans="3:6" x14ac:dyDescent="0.25">
      <c r="C2257" s="2" t="s">
        <v>5771</v>
      </c>
      <c r="D2257" s="2" t="s">
        <v>15</v>
      </c>
      <c r="E2257" s="2">
        <v>105</v>
      </c>
      <c r="F2257" s="2">
        <v>2130.399</v>
      </c>
    </row>
    <row r="2258" spans="3:6" x14ac:dyDescent="0.25">
      <c r="C2258" s="2" t="s">
        <v>5772</v>
      </c>
      <c r="D2258" s="2" t="s">
        <v>15</v>
      </c>
      <c r="E2258" s="2">
        <v>134</v>
      </c>
      <c r="F2258" s="2">
        <v>2670.21</v>
      </c>
    </row>
    <row r="2259" spans="3:6" x14ac:dyDescent="0.25">
      <c r="C2259" s="2" t="s">
        <v>5773</v>
      </c>
      <c r="D2259" s="2" t="s">
        <v>15</v>
      </c>
      <c r="E2259" s="2">
        <v>134</v>
      </c>
      <c r="F2259" s="2">
        <v>2480.93</v>
      </c>
    </row>
    <row r="2260" spans="3:6" x14ac:dyDescent="0.25">
      <c r="C2260" s="2" t="s">
        <v>5774</v>
      </c>
      <c r="D2260" s="2" t="s">
        <v>15</v>
      </c>
      <c r="E2260" s="2">
        <v>134</v>
      </c>
      <c r="F2260" s="2">
        <v>2601.579</v>
      </c>
    </row>
    <row r="2261" spans="3:6" x14ac:dyDescent="0.25">
      <c r="C2261" s="2" t="s">
        <v>5775</v>
      </c>
      <c r="D2261" s="2" t="s">
        <v>15</v>
      </c>
      <c r="E2261" s="2">
        <v>134</v>
      </c>
      <c r="F2261" s="2">
        <v>2512.11</v>
      </c>
    </row>
    <row r="2262" spans="3:6" x14ac:dyDescent="0.25">
      <c r="C2262" s="2" t="s">
        <v>5776</v>
      </c>
      <c r="D2262" s="2" t="s">
        <v>15</v>
      </c>
      <c r="E2262" s="2">
        <v>134</v>
      </c>
      <c r="F2262" s="2">
        <v>2615.48</v>
      </c>
    </row>
    <row r="2263" spans="3:6" x14ac:dyDescent="0.25">
      <c r="C2263" s="2" t="s">
        <v>5777</v>
      </c>
      <c r="D2263" s="2" t="s">
        <v>15</v>
      </c>
      <c r="E2263" s="2">
        <v>163</v>
      </c>
      <c r="F2263" s="2">
        <v>2469.799</v>
      </c>
    </row>
    <row r="2264" spans="3:6" x14ac:dyDescent="0.25">
      <c r="C2264" s="2" t="s">
        <v>5778</v>
      </c>
      <c r="D2264" s="2" t="s">
        <v>15</v>
      </c>
      <c r="E2264" s="2">
        <v>163</v>
      </c>
      <c r="F2264" s="2">
        <v>3039.619</v>
      </c>
    </row>
    <row r="2265" spans="3:6" x14ac:dyDescent="0.25">
      <c r="C2265" s="2" t="s">
        <v>5779</v>
      </c>
      <c r="D2265" s="2" t="s">
        <v>15</v>
      </c>
      <c r="E2265" s="2">
        <v>47</v>
      </c>
      <c r="F2265" s="2">
        <v>888</v>
      </c>
    </row>
    <row r="2266" spans="3:6" x14ac:dyDescent="0.25">
      <c r="C2266" s="2" t="s">
        <v>5780</v>
      </c>
      <c r="D2266" s="2" t="s">
        <v>15</v>
      </c>
      <c r="E2266" s="2">
        <v>58</v>
      </c>
      <c r="F2266" s="2">
        <v>1136.99</v>
      </c>
    </row>
    <row r="2267" spans="3:6" x14ac:dyDescent="0.25">
      <c r="C2267" s="2" t="s">
        <v>5781</v>
      </c>
      <c r="D2267" s="2" t="s">
        <v>15</v>
      </c>
      <c r="E2267" s="2">
        <v>163</v>
      </c>
      <c r="F2267" s="2">
        <v>3178.69</v>
      </c>
    </row>
    <row r="2268" spans="3:6" x14ac:dyDescent="0.25">
      <c r="C2268" s="2" t="s">
        <v>5782</v>
      </c>
      <c r="D2268" s="2" t="s">
        <v>15</v>
      </c>
      <c r="E2268" s="2">
        <v>163</v>
      </c>
      <c r="F2268" s="2">
        <v>2692.858</v>
      </c>
    </row>
    <row r="2269" spans="3:6" x14ac:dyDescent="0.25">
      <c r="C2269" s="2" t="s">
        <v>5783</v>
      </c>
      <c r="D2269" s="2" t="s">
        <v>15</v>
      </c>
      <c r="E2269" s="2">
        <v>163</v>
      </c>
      <c r="F2269" s="2">
        <v>2907.7</v>
      </c>
    </row>
    <row r="2270" spans="3:6" x14ac:dyDescent="0.25">
      <c r="C2270" s="2" t="s">
        <v>5784</v>
      </c>
      <c r="D2270" s="2" t="s">
        <v>15</v>
      </c>
      <c r="E2270" s="2">
        <v>163</v>
      </c>
      <c r="F2270" s="2">
        <v>3100.398</v>
      </c>
    </row>
    <row r="2271" spans="3:6" x14ac:dyDescent="0.25">
      <c r="C2271" s="2" t="s">
        <v>5785</v>
      </c>
      <c r="D2271" s="2" t="s">
        <v>15</v>
      </c>
      <c r="E2271" s="2">
        <v>163</v>
      </c>
      <c r="F2271" s="2">
        <v>3194.08</v>
      </c>
    </row>
    <row r="2272" spans="3:6" x14ac:dyDescent="0.25">
      <c r="C2272" s="2" t="s">
        <v>5786</v>
      </c>
      <c r="D2272" s="2" t="s">
        <v>15</v>
      </c>
      <c r="E2272" s="2">
        <v>163</v>
      </c>
      <c r="F2272" s="2">
        <v>3207.5</v>
      </c>
    </row>
    <row r="2273" spans="3:6" x14ac:dyDescent="0.25">
      <c r="C2273" s="2" t="s">
        <v>5787</v>
      </c>
      <c r="D2273" s="2" t="s">
        <v>15</v>
      </c>
      <c r="E2273" s="2">
        <v>163</v>
      </c>
      <c r="F2273" s="2">
        <v>2657.559</v>
      </c>
    </row>
    <row r="2274" spans="3:6" x14ac:dyDescent="0.25">
      <c r="C2274" s="2" t="s">
        <v>5788</v>
      </c>
      <c r="D2274" s="2" t="s">
        <v>15</v>
      </c>
      <c r="E2274" s="2">
        <v>105</v>
      </c>
      <c r="F2274" s="2">
        <v>2090.66</v>
      </c>
    </row>
    <row r="2275" spans="3:6" x14ac:dyDescent="0.25">
      <c r="C2275" s="2" t="s">
        <v>5789</v>
      </c>
      <c r="D2275" s="2" t="s">
        <v>15</v>
      </c>
      <c r="E2275" s="2">
        <v>163</v>
      </c>
      <c r="F2275" s="2">
        <v>3042.149</v>
      </c>
    </row>
    <row r="2276" spans="3:6" x14ac:dyDescent="0.25">
      <c r="C2276" s="2" t="s">
        <v>5790</v>
      </c>
      <c r="D2276" s="2" t="s">
        <v>15</v>
      </c>
      <c r="E2276" s="2">
        <v>105</v>
      </c>
      <c r="F2276" s="2">
        <v>1838.67</v>
      </c>
    </row>
    <row r="2277" spans="3:6" x14ac:dyDescent="0.25">
      <c r="C2277" s="2" t="s">
        <v>5791</v>
      </c>
      <c r="D2277" s="2" t="s">
        <v>15</v>
      </c>
      <c r="E2277" s="2">
        <v>36</v>
      </c>
      <c r="F2277" s="2">
        <v>683.28</v>
      </c>
    </row>
    <row r="2278" spans="3:6" x14ac:dyDescent="0.25">
      <c r="C2278" s="2" t="s">
        <v>5792</v>
      </c>
      <c r="D2278" s="2" t="s">
        <v>26</v>
      </c>
      <c r="E2278" s="2">
        <v>100</v>
      </c>
      <c r="F2278" s="2">
        <v>1837.048</v>
      </c>
    </row>
    <row r="2279" spans="3:6" x14ac:dyDescent="0.25">
      <c r="C2279" s="2" t="s">
        <v>5793</v>
      </c>
      <c r="D2279" s="2" t="s">
        <v>26</v>
      </c>
      <c r="E2279" s="2">
        <v>56</v>
      </c>
      <c r="F2279" s="2">
        <v>1013</v>
      </c>
    </row>
    <row r="2280" spans="3:6" x14ac:dyDescent="0.25">
      <c r="C2280" s="2" t="s">
        <v>5794</v>
      </c>
      <c r="D2280" s="2" t="s">
        <v>26</v>
      </c>
      <c r="E2280" s="2">
        <v>56</v>
      </c>
      <c r="F2280" s="2">
        <v>1122.38</v>
      </c>
    </row>
    <row r="2281" spans="3:6" x14ac:dyDescent="0.25">
      <c r="C2281" s="2" t="s">
        <v>5795</v>
      </c>
      <c r="D2281" s="2" t="s">
        <v>26</v>
      </c>
      <c r="E2281" s="2">
        <v>100</v>
      </c>
      <c r="F2281" s="2">
        <v>1977.28</v>
      </c>
    </row>
    <row r="2282" spans="3:6" x14ac:dyDescent="0.25">
      <c r="C2282" s="2" t="s">
        <v>5796</v>
      </c>
      <c r="D2282" s="2" t="s">
        <v>26</v>
      </c>
      <c r="E2282" s="2">
        <v>56</v>
      </c>
      <c r="F2282" s="2">
        <v>1059.209</v>
      </c>
    </row>
    <row r="2283" spans="3:6" x14ac:dyDescent="0.25">
      <c r="C2283" s="2" t="s">
        <v>5797</v>
      </c>
      <c r="D2283" s="2" t="s">
        <v>26</v>
      </c>
      <c r="E2283" s="2">
        <v>100</v>
      </c>
      <c r="F2283" s="2">
        <v>1880.439</v>
      </c>
    </row>
    <row r="2284" spans="3:6" x14ac:dyDescent="0.25">
      <c r="C2284" s="2" t="s">
        <v>5798</v>
      </c>
      <c r="D2284" s="2" t="s">
        <v>26</v>
      </c>
      <c r="E2284" s="2">
        <v>56</v>
      </c>
      <c r="F2284" s="2">
        <v>1108.63</v>
      </c>
    </row>
    <row r="2285" spans="3:6" x14ac:dyDescent="0.25">
      <c r="C2285" s="2" t="s">
        <v>5799</v>
      </c>
      <c r="D2285" s="2" t="s">
        <v>26</v>
      </c>
      <c r="E2285" s="2">
        <v>100</v>
      </c>
      <c r="F2285" s="2">
        <v>2002.409</v>
      </c>
    </row>
    <row r="2286" spans="3:6" x14ac:dyDescent="0.25">
      <c r="C2286" s="2" t="s">
        <v>5800</v>
      </c>
      <c r="D2286" s="2" t="s">
        <v>26</v>
      </c>
      <c r="E2286" s="2">
        <v>100</v>
      </c>
      <c r="F2286" s="2">
        <v>1841.13</v>
      </c>
    </row>
    <row r="2287" spans="3:6" x14ac:dyDescent="0.25">
      <c r="C2287" s="2" t="s">
        <v>5801</v>
      </c>
      <c r="D2287" s="2" t="s">
        <v>26</v>
      </c>
      <c r="E2287" s="2">
        <v>56</v>
      </c>
      <c r="F2287" s="2">
        <v>1114.24</v>
      </c>
    </row>
    <row r="2288" spans="3:6" x14ac:dyDescent="0.25">
      <c r="C2288" s="2" t="s">
        <v>5802</v>
      </c>
      <c r="D2288" s="2" t="s">
        <v>26</v>
      </c>
      <c r="E2288" s="2">
        <v>100</v>
      </c>
      <c r="F2288" s="2">
        <v>1959.829</v>
      </c>
    </row>
    <row r="2289" spans="3:6" x14ac:dyDescent="0.25">
      <c r="C2289" s="2" t="s">
        <v>5803</v>
      </c>
      <c r="D2289" s="2" t="s">
        <v>26</v>
      </c>
      <c r="E2289" s="2">
        <v>56</v>
      </c>
      <c r="F2289" s="2">
        <v>1173.82</v>
      </c>
    </row>
    <row r="2290" spans="3:6" x14ac:dyDescent="0.25">
      <c r="C2290" s="2" t="s">
        <v>5804</v>
      </c>
      <c r="D2290" s="2" t="s">
        <v>36</v>
      </c>
      <c r="E2290" s="2">
        <v>25</v>
      </c>
      <c r="F2290" s="2">
        <v>486.73</v>
      </c>
    </row>
    <row r="2291" spans="3:6" x14ac:dyDescent="0.25">
      <c r="C2291" s="2" t="s">
        <v>5805</v>
      </c>
      <c r="D2291" s="2" t="s">
        <v>36</v>
      </c>
      <c r="E2291" s="2">
        <v>80</v>
      </c>
      <c r="F2291" s="2">
        <v>1559.78</v>
      </c>
    </row>
    <row r="2292" spans="3:6" x14ac:dyDescent="0.25">
      <c r="C2292" s="2" t="s">
        <v>5806</v>
      </c>
      <c r="D2292" s="2" t="s">
        <v>36</v>
      </c>
      <c r="E2292" s="2">
        <v>25</v>
      </c>
      <c r="F2292" s="2">
        <v>487.34</v>
      </c>
    </row>
    <row r="2293" spans="3:6" x14ac:dyDescent="0.25">
      <c r="C2293" s="2" t="s">
        <v>5807</v>
      </c>
      <c r="D2293" s="2" t="s">
        <v>36</v>
      </c>
      <c r="E2293" s="2">
        <v>80</v>
      </c>
      <c r="F2293" s="2">
        <v>1523.499</v>
      </c>
    </row>
    <row r="2294" spans="3:6" x14ac:dyDescent="0.25">
      <c r="C2294" s="2" t="s">
        <v>5808</v>
      </c>
      <c r="D2294" s="2" t="s">
        <v>36</v>
      </c>
      <c r="E2294" s="2">
        <v>60</v>
      </c>
      <c r="F2294" s="2">
        <v>1105.66</v>
      </c>
    </row>
    <row r="2295" spans="3:6" x14ac:dyDescent="0.25">
      <c r="C2295" s="2" t="s">
        <v>5809</v>
      </c>
      <c r="D2295" s="2" t="s">
        <v>36</v>
      </c>
      <c r="E2295" s="2">
        <v>45</v>
      </c>
      <c r="F2295" s="2">
        <v>827.83</v>
      </c>
    </row>
    <row r="2297" spans="1:7" x14ac:dyDescent="0.25">
      <c r="A2297" s="1">
        <v>46190</v>
      </c>
      <c r="B2297" s="2" t="s">
        <v>5264</v>
      </c>
      <c r="C2297" s="2" t="s">
        <v>5810</v>
      </c>
      <c r="D2297" s="2" t="s">
        <v>15</v>
      </c>
      <c r="E2297" s="2">
        <v>92</v>
      </c>
      <c r="F2297" s="2">
        <v>1317</v>
      </c>
      <c r="G2297" s="1">
        <v>46193</v>
      </c>
    </row>
    <row r="2299" spans="1:7" x14ac:dyDescent="0.25">
      <c r="A2299" s="1">
        <v>46190</v>
      </c>
      <c r="B2299" s="2" t="s">
        <v>1958</v>
      </c>
      <c r="C2299" s="2" t="s">
        <v>5811</v>
      </c>
      <c r="D2299" s="2" t="s">
        <v>53</v>
      </c>
      <c r="E2299" s="2">
        <v>100</v>
      </c>
      <c r="F2299" s="2">
        <v>1854</v>
      </c>
      <c r="G2299" s="1">
        <v>46193</v>
      </c>
    </row>
    <row r="2301" spans="1:7" x14ac:dyDescent="0.25">
      <c r="A2301" s="1">
        <v>46190</v>
      </c>
      <c r="B2301" s="2" t="s">
        <v>5812</v>
      </c>
      <c r="C2301" s="2" t="s">
        <v>5813</v>
      </c>
      <c r="D2301" s="2" t="s">
        <v>4096</v>
      </c>
      <c r="E2301" s="2">
        <v>101</v>
      </c>
      <c r="F2301" s="2">
        <v>2128.81</v>
      </c>
      <c r="G2301" s="1">
        <v>46193</v>
      </c>
    </row>
    <row r="2303" spans="1:7" x14ac:dyDescent="0.25">
      <c r="A2303" s="1">
        <v>46190</v>
      </c>
      <c r="B2303" s="2" t="s">
        <v>4827</v>
      </c>
      <c r="C2303" s="2" t="s">
        <v>5814</v>
      </c>
      <c r="D2303" s="2" t="s">
        <v>4096</v>
      </c>
      <c r="E2303" s="2">
        <v>30</v>
      </c>
      <c r="F2303" s="2">
        <v>560.1</v>
      </c>
      <c r="G2303" s="1">
        <v>46191</v>
      </c>
    </row>
    <row r="2304" spans="3:6" x14ac:dyDescent="0.25">
      <c r="C2304" s="2" t="s">
        <v>5815</v>
      </c>
      <c r="D2304" s="2" t="s">
        <v>4096</v>
      </c>
      <c r="E2304" s="2">
        <v>30</v>
      </c>
      <c r="F2304" s="2">
        <v>591.58</v>
      </c>
    </row>
    <row r="2305" spans="3:6" x14ac:dyDescent="0.25">
      <c r="C2305" s="2" t="s">
        <v>5816</v>
      </c>
      <c r="D2305" s="2" t="s">
        <v>4096</v>
      </c>
      <c r="E2305" s="2">
        <v>40</v>
      </c>
      <c r="F2305" s="2">
        <v>825.19</v>
      </c>
    </row>
    <row r="2307" spans="1:7" x14ac:dyDescent="0.25">
      <c r="A2307" s="1">
        <v>46190</v>
      </c>
      <c r="B2307" s="2" t="s">
        <v>229</v>
      </c>
      <c r="C2307" s="2" t="s">
        <v>5817</v>
      </c>
      <c r="D2307" s="2" t="s">
        <v>292</v>
      </c>
      <c r="E2307" s="2">
        <v>141</v>
      </c>
      <c r="F2307" s="2">
        <v>2872.589</v>
      </c>
      <c r="G2307" s="1">
        <v>46191</v>
      </c>
    </row>
    <row r="2308" spans="3:6" x14ac:dyDescent="0.25">
      <c r="C2308" s="2" t="s">
        <v>5818</v>
      </c>
      <c r="D2308" s="2" t="s">
        <v>292</v>
      </c>
      <c r="E2308" s="2">
        <v>141</v>
      </c>
      <c r="F2308" s="2">
        <v>2923.889</v>
      </c>
    </row>
    <row r="2309" spans="3:6" x14ac:dyDescent="0.25">
      <c r="C2309" s="2" t="s">
        <v>5819</v>
      </c>
      <c r="D2309" s="2" t="s">
        <v>292</v>
      </c>
      <c r="E2309" s="2">
        <v>102</v>
      </c>
      <c r="F2309" s="2">
        <v>2174.54</v>
      </c>
    </row>
    <row r="2310" spans="3:6" x14ac:dyDescent="0.25">
      <c r="C2310" s="2" t="s">
        <v>5820</v>
      </c>
      <c r="D2310" s="2" t="s">
        <v>292</v>
      </c>
      <c r="E2310" s="2">
        <v>103</v>
      </c>
      <c r="F2310" s="2">
        <v>2010.88</v>
      </c>
    </row>
    <row r="2311" spans="3:6" x14ac:dyDescent="0.25">
      <c r="C2311" s="2" t="s">
        <v>5821</v>
      </c>
      <c r="D2311" s="2" t="s">
        <v>292</v>
      </c>
      <c r="E2311" s="2">
        <v>87</v>
      </c>
      <c r="F2311" s="2">
        <v>1794.99</v>
      </c>
    </row>
    <row r="2312" spans="3:6" x14ac:dyDescent="0.25">
      <c r="C2312" s="2" t="s">
        <v>5822</v>
      </c>
      <c r="D2312" s="2" t="s">
        <v>292</v>
      </c>
      <c r="E2312" s="2">
        <v>36</v>
      </c>
      <c r="F2312" s="2">
        <v>752.53</v>
      </c>
    </row>
    <row r="2313" spans="3:6" x14ac:dyDescent="0.25">
      <c r="C2313" s="2" t="s">
        <v>5823</v>
      </c>
      <c r="D2313" s="2" t="s">
        <v>292</v>
      </c>
      <c r="E2313" s="2">
        <v>123</v>
      </c>
      <c r="F2313" s="2">
        <v>2557.319</v>
      </c>
    </row>
    <row r="2314" spans="3:6" x14ac:dyDescent="0.25">
      <c r="C2314" s="2" t="s">
        <v>5824</v>
      </c>
      <c r="D2314" s="2" t="s">
        <v>292</v>
      </c>
      <c r="E2314" s="2">
        <v>109</v>
      </c>
      <c r="F2314" s="2">
        <v>1561.319</v>
      </c>
    </row>
    <row r="2315" spans="3:6" x14ac:dyDescent="0.25">
      <c r="C2315" s="2" t="s">
        <v>5825</v>
      </c>
      <c r="D2315" s="2" t="s">
        <v>292</v>
      </c>
      <c r="E2315" s="2">
        <v>123</v>
      </c>
      <c r="F2315" s="2">
        <v>2542.32</v>
      </c>
    </row>
    <row r="2316" spans="3:6" x14ac:dyDescent="0.25">
      <c r="C2316" s="2" t="s">
        <v>5826</v>
      </c>
      <c r="D2316" s="2" t="s">
        <v>292</v>
      </c>
      <c r="E2316" s="2">
        <v>141</v>
      </c>
      <c r="F2316" s="2">
        <v>2934.27</v>
      </c>
    </row>
    <row r="2317" spans="3:6" x14ac:dyDescent="0.25">
      <c r="C2317" s="2" t="s">
        <v>5827</v>
      </c>
      <c r="D2317" s="2" t="s">
        <v>292</v>
      </c>
      <c r="E2317" s="2">
        <v>69</v>
      </c>
      <c r="F2317" s="2">
        <v>1386.03</v>
      </c>
    </row>
    <row r="2318" spans="3:6" x14ac:dyDescent="0.25">
      <c r="C2318" s="2" t="s">
        <v>5828</v>
      </c>
      <c r="D2318" s="2" t="s">
        <v>292</v>
      </c>
      <c r="E2318" s="2">
        <v>72</v>
      </c>
      <c r="F2318" s="2">
        <v>1423.07</v>
      </c>
    </row>
    <row r="2319" spans="3:6" x14ac:dyDescent="0.25">
      <c r="C2319" s="2" t="s">
        <v>5829</v>
      </c>
      <c r="D2319" s="2" t="s">
        <v>292</v>
      </c>
      <c r="E2319" s="2">
        <v>50</v>
      </c>
      <c r="F2319" s="2">
        <v>262.16</v>
      </c>
    </row>
    <row r="2320" spans="3:6" x14ac:dyDescent="0.25">
      <c r="C2320" s="2" t="s">
        <v>5830</v>
      </c>
      <c r="D2320" s="2" t="s">
        <v>292</v>
      </c>
      <c r="E2320" s="2">
        <v>91</v>
      </c>
      <c r="F2320" s="2">
        <v>1926.06</v>
      </c>
    </row>
    <row r="2321" spans="3:6" x14ac:dyDescent="0.25">
      <c r="C2321" s="2" t="s">
        <v>5831</v>
      </c>
      <c r="D2321" s="2" t="s">
        <v>292</v>
      </c>
      <c r="E2321" s="2">
        <v>50</v>
      </c>
      <c r="F2321" s="2">
        <v>859.749</v>
      </c>
    </row>
    <row r="2322" spans="3:6" x14ac:dyDescent="0.25">
      <c r="C2322" s="2" t="s">
        <v>5832</v>
      </c>
      <c r="D2322" s="2" t="s">
        <v>292</v>
      </c>
      <c r="E2322" s="2">
        <v>93</v>
      </c>
      <c r="F2322" s="2">
        <v>1828.994</v>
      </c>
    </row>
    <row r="2323" spans="3:6" x14ac:dyDescent="0.25">
      <c r="C2323" s="2" t="s">
        <v>5833</v>
      </c>
      <c r="D2323" s="2" t="s">
        <v>292</v>
      </c>
      <c r="E2323" s="2">
        <v>48</v>
      </c>
      <c r="F2323" s="2">
        <v>980.98</v>
      </c>
    </row>
    <row r="2324" spans="3:6" x14ac:dyDescent="0.25">
      <c r="C2324" s="2" t="s">
        <v>5834</v>
      </c>
      <c r="D2324" s="2" t="s">
        <v>292</v>
      </c>
      <c r="E2324" s="2">
        <v>141</v>
      </c>
      <c r="F2324" s="2">
        <v>2825.77</v>
      </c>
    </row>
    <row r="2325" spans="3:6" x14ac:dyDescent="0.25">
      <c r="C2325" s="2" t="s">
        <v>5835</v>
      </c>
      <c r="D2325" s="2" t="s">
        <v>292</v>
      </c>
      <c r="E2325" s="2">
        <v>45</v>
      </c>
      <c r="F2325" s="2">
        <v>233.44</v>
      </c>
    </row>
    <row r="2326" spans="3:6" x14ac:dyDescent="0.25">
      <c r="C2326" s="2" t="s">
        <v>5836</v>
      </c>
      <c r="D2326" s="2" t="s">
        <v>292</v>
      </c>
      <c r="E2326" s="2">
        <v>20</v>
      </c>
      <c r="F2326" s="2">
        <v>416.82</v>
      </c>
    </row>
    <row r="2327" spans="3:6" x14ac:dyDescent="0.25">
      <c r="C2327" s="2" t="s">
        <v>5837</v>
      </c>
      <c r="D2327" s="2" t="s">
        <v>292</v>
      </c>
      <c r="E2327" s="2">
        <v>121</v>
      </c>
      <c r="F2327" s="2">
        <v>2407.907</v>
      </c>
    </row>
    <row r="2328" spans="3:6" x14ac:dyDescent="0.25">
      <c r="C2328" s="2" t="s">
        <v>5838</v>
      </c>
      <c r="D2328" s="2" t="s">
        <v>292</v>
      </c>
      <c r="E2328" s="2">
        <v>70</v>
      </c>
      <c r="F2328" s="2">
        <v>1533.193</v>
      </c>
    </row>
    <row r="2329" spans="3:6" x14ac:dyDescent="0.25">
      <c r="C2329" s="2" t="s">
        <v>5839</v>
      </c>
      <c r="D2329" s="2" t="s">
        <v>292</v>
      </c>
      <c r="E2329" s="2">
        <v>58</v>
      </c>
      <c r="F2329" s="2">
        <v>1014.29</v>
      </c>
    </row>
    <row r="2330" spans="3:6" x14ac:dyDescent="0.25">
      <c r="C2330" s="2" t="s">
        <v>5840</v>
      </c>
      <c r="D2330" s="2" t="s">
        <v>292</v>
      </c>
      <c r="E2330" s="2">
        <v>62</v>
      </c>
      <c r="F2330" s="2">
        <v>1273.15</v>
      </c>
    </row>
    <row r="2331" spans="3:6" x14ac:dyDescent="0.25">
      <c r="C2331" s="2" t="s">
        <v>5841</v>
      </c>
      <c r="D2331" s="2" t="s">
        <v>292</v>
      </c>
      <c r="E2331" s="2">
        <v>31</v>
      </c>
      <c r="F2331" s="2">
        <v>638.489</v>
      </c>
    </row>
    <row r="2332" spans="3:6" x14ac:dyDescent="0.25">
      <c r="C2332" s="2" t="s">
        <v>5842</v>
      </c>
      <c r="D2332" s="2" t="s">
        <v>292</v>
      </c>
      <c r="E2332" s="2">
        <v>48</v>
      </c>
      <c r="F2332" s="2">
        <v>902.87</v>
      </c>
    </row>
    <row r="2333" spans="3:6" x14ac:dyDescent="0.25">
      <c r="C2333" s="2" t="s">
        <v>5843</v>
      </c>
      <c r="D2333" s="2" t="s">
        <v>292</v>
      </c>
      <c r="E2333" s="2">
        <v>45</v>
      </c>
      <c r="F2333" s="2">
        <v>240.04</v>
      </c>
    </row>
    <row r="2334" spans="3:6" x14ac:dyDescent="0.25">
      <c r="C2334" s="2" t="s">
        <v>5844</v>
      </c>
      <c r="D2334" s="2" t="s">
        <v>292</v>
      </c>
      <c r="E2334" s="2">
        <v>141</v>
      </c>
      <c r="F2334" s="2">
        <v>2757.33</v>
      </c>
    </row>
    <row r="2335" spans="3:6" x14ac:dyDescent="0.25">
      <c r="C2335" s="2" t="s">
        <v>5845</v>
      </c>
      <c r="D2335" s="2" t="s">
        <v>292</v>
      </c>
      <c r="E2335" s="2">
        <v>131</v>
      </c>
      <c r="F2335" s="2">
        <v>2386.819</v>
      </c>
    </row>
    <row r="2336" spans="3:6" x14ac:dyDescent="0.25">
      <c r="C2336" s="2" t="s">
        <v>5846</v>
      </c>
      <c r="D2336" s="2" t="s">
        <v>292</v>
      </c>
      <c r="E2336" s="2">
        <v>77</v>
      </c>
      <c r="F2336" s="2">
        <v>1571.54</v>
      </c>
    </row>
    <row r="2337" spans="3:6" x14ac:dyDescent="0.25">
      <c r="C2337" s="2" t="s">
        <v>5847</v>
      </c>
      <c r="D2337" s="2" t="s">
        <v>292</v>
      </c>
      <c r="E2337" s="2">
        <v>55</v>
      </c>
      <c r="F2337" s="2">
        <v>1115.74</v>
      </c>
    </row>
    <row r="2338" spans="3:6" x14ac:dyDescent="0.25">
      <c r="C2338" s="2" t="s">
        <v>5848</v>
      </c>
      <c r="D2338" s="2" t="s">
        <v>292</v>
      </c>
      <c r="E2338" s="2">
        <v>11</v>
      </c>
      <c r="F2338" s="2">
        <v>121.65</v>
      </c>
    </row>
    <row r="2339" spans="3:6" x14ac:dyDescent="0.25">
      <c r="C2339" s="2" t="s">
        <v>5849</v>
      </c>
      <c r="D2339" s="2" t="s">
        <v>292</v>
      </c>
      <c r="E2339" s="2">
        <v>89</v>
      </c>
      <c r="F2339" s="2">
        <v>2105.19</v>
      </c>
    </row>
    <row r="2340" spans="3:6" x14ac:dyDescent="0.25">
      <c r="C2340" s="2" t="s">
        <v>5850</v>
      </c>
      <c r="D2340" s="2" t="s">
        <v>292</v>
      </c>
      <c r="E2340" s="2">
        <v>52</v>
      </c>
      <c r="F2340" s="2">
        <v>1001.81</v>
      </c>
    </row>
    <row r="2341" spans="3:6" x14ac:dyDescent="0.25">
      <c r="C2341" s="2" t="s">
        <v>5851</v>
      </c>
      <c r="D2341" s="2" t="s">
        <v>292</v>
      </c>
      <c r="E2341" s="2">
        <v>60</v>
      </c>
      <c r="F2341" s="2">
        <v>303.31</v>
      </c>
    </row>
    <row r="2342" spans="3:6" x14ac:dyDescent="0.25">
      <c r="C2342" s="2" t="s">
        <v>5852</v>
      </c>
      <c r="D2342" s="2" t="s">
        <v>292</v>
      </c>
      <c r="E2342" s="2">
        <v>54</v>
      </c>
      <c r="F2342" s="2">
        <v>1249.29</v>
      </c>
    </row>
    <row r="2343" spans="3:6" x14ac:dyDescent="0.25">
      <c r="C2343" s="2" t="s">
        <v>5853</v>
      </c>
      <c r="D2343" s="2" t="s">
        <v>292</v>
      </c>
      <c r="E2343" s="2">
        <v>44</v>
      </c>
      <c r="F2343" s="2">
        <v>907.73</v>
      </c>
    </row>
    <row r="2344" spans="3:6" x14ac:dyDescent="0.25">
      <c r="C2344" s="2" t="s">
        <v>5854</v>
      </c>
      <c r="D2344" s="2" t="s">
        <v>292</v>
      </c>
      <c r="E2344" s="2">
        <v>0</v>
      </c>
      <c r="F2344" s="2">
        <v>0</v>
      </c>
    </row>
    <row r="2345" spans="3:6" x14ac:dyDescent="0.25">
      <c r="C2345" s="2" t="s">
        <v>5855</v>
      </c>
      <c r="D2345" s="2" t="s">
        <v>292</v>
      </c>
      <c r="E2345" s="2">
        <v>67</v>
      </c>
      <c r="F2345" s="2">
        <v>1382.09</v>
      </c>
    </row>
    <row r="2346" spans="3:6" x14ac:dyDescent="0.25">
      <c r="C2346" s="2" t="s">
        <v>5856</v>
      </c>
      <c r="D2346" s="2" t="s">
        <v>292</v>
      </c>
      <c r="E2346" s="2">
        <v>77</v>
      </c>
      <c r="F2346" s="2">
        <v>1595.33</v>
      </c>
    </row>
    <row r="2347" spans="3:6" x14ac:dyDescent="0.25">
      <c r="C2347" s="2" t="s">
        <v>5857</v>
      </c>
      <c r="D2347" s="2" t="s">
        <v>292</v>
      </c>
      <c r="E2347" s="2">
        <v>21</v>
      </c>
      <c r="F2347" s="2">
        <v>358.08</v>
      </c>
    </row>
    <row r="2348" spans="3:6" x14ac:dyDescent="0.25">
      <c r="C2348" s="2" t="s">
        <v>5858</v>
      </c>
      <c r="D2348" s="2" t="s">
        <v>292</v>
      </c>
      <c r="E2348" s="2">
        <v>32</v>
      </c>
      <c r="F2348" s="2">
        <v>653.3</v>
      </c>
    </row>
    <row r="2349" spans="3:6" x14ac:dyDescent="0.25">
      <c r="C2349" s="2" t="s">
        <v>5859</v>
      </c>
      <c r="D2349" s="2" t="s">
        <v>292</v>
      </c>
      <c r="E2349" s="2">
        <v>68</v>
      </c>
      <c r="F2349" s="2">
        <v>1293.568</v>
      </c>
    </row>
    <row r="2350" spans="3:6" x14ac:dyDescent="0.25">
      <c r="C2350" s="2" t="s">
        <v>5860</v>
      </c>
      <c r="D2350" s="2" t="s">
        <v>292</v>
      </c>
      <c r="E2350" s="2">
        <v>29</v>
      </c>
      <c r="F2350" s="2">
        <v>712.17</v>
      </c>
    </row>
    <row r="2351" spans="3:6" x14ac:dyDescent="0.25">
      <c r="C2351" s="2" t="s">
        <v>5861</v>
      </c>
      <c r="D2351" s="2" t="s">
        <v>292</v>
      </c>
      <c r="E2351" s="2">
        <v>71</v>
      </c>
      <c r="F2351" s="2">
        <v>1482.99</v>
      </c>
    </row>
    <row r="2352" spans="3:6" x14ac:dyDescent="0.25">
      <c r="C2352" s="2" t="s">
        <v>5862</v>
      </c>
      <c r="D2352" s="2" t="s">
        <v>292</v>
      </c>
      <c r="E2352" s="2">
        <v>10</v>
      </c>
      <c r="F2352" s="2">
        <v>200.86</v>
      </c>
    </row>
    <row r="2353" spans="3:6" x14ac:dyDescent="0.25">
      <c r="C2353" s="2" t="s">
        <v>5863</v>
      </c>
      <c r="D2353" s="2" t="s">
        <v>292</v>
      </c>
      <c r="E2353" s="2">
        <v>65</v>
      </c>
      <c r="F2353" s="2">
        <v>1263.38</v>
      </c>
    </row>
    <row r="2354" spans="3:6" x14ac:dyDescent="0.25">
      <c r="C2354" s="2" t="s">
        <v>5864</v>
      </c>
      <c r="D2354" s="2" t="s">
        <v>292</v>
      </c>
      <c r="E2354" s="2">
        <v>100</v>
      </c>
      <c r="F2354" s="2">
        <v>2234</v>
      </c>
    </row>
    <row r="2356" spans="1:7" x14ac:dyDescent="0.25">
      <c r="A2356" s="1">
        <v>46190</v>
      </c>
      <c r="B2356" s="2" t="s">
        <v>7</v>
      </c>
      <c r="C2356" s="2" t="s">
        <v>5865</v>
      </c>
      <c r="D2356" s="2" t="s">
        <v>9</v>
      </c>
      <c r="E2356" s="2">
        <f>46+53</f>
        <v>99</v>
      </c>
      <c r="F2356" s="2">
        <f>975.87+979.359</f>
        <v>1955.229</v>
      </c>
      <c r="G2356" s="1">
        <v>46193</v>
      </c>
    </row>
    <row r="2357" spans="3:6" x14ac:dyDescent="0.25">
      <c r="C2357" s="2" t="s">
        <v>5866</v>
      </c>
      <c r="D2357" s="2" t="s">
        <v>9</v>
      </c>
      <c r="E2357" s="2">
        <v>99</v>
      </c>
      <c r="F2357" s="2">
        <v>2012.77</v>
      </c>
    </row>
    <row r="2359" spans="1:7" x14ac:dyDescent="0.25">
      <c r="A2359" s="1">
        <v>46190</v>
      </c>
      <c r="B2359" s="2" t="s">
        <v>430</v>
      </c>
      <c r="C2359" s="2" t="s">
        <v>5867</v>
      </c>
      <c r="D2359" s="2" t="s">
        <v>3848</v>
      </c>
      <c r="E2359" s="2">
        <v>40</v>
      </c>
      <c r="F2359" s="2">
        <v>732.399</v>
      </c>
      <c r="G2359" s="1">
        <v>46193</v>
      </c>
    </row>
    <row r="2360" spans="3:6" x14ac:dyDescent="0.25">
      <c r="C2360" s="2" t="s">
        <v>5868</v>
      </c>
      <c r="D2360" s="2" t="s">
        <v>3848</v>
      </c>
      <c r="E2360" s="2">
        <v>65</v>
      </c>
      <c r="F2360" s="2">
        <v>1050.04</v>
      </c>
    </row>
    <row r="2362" spans="1:7" x14ac:dyDescent="0.25">
      <c r="A2362" s="1">
        <v>46190</v>
      </c>
      <c r="B2362" s="2" t="s">
        <v>378</v>
      </c>
      <c r="C2362" s="2" t="s">
        <v>5869</v>
      </c>
      <c r="D2362" s="2" t="s">
        <v>15</v>
      </c>
      <c r="E2362" s="2">
        <v>105</v>
      </c>
      <c r="F2362" s="2">
        <v>2122.43</v>
      </c>
      <c r="G2362" s="1">
        <v>46193</v>
      </c>
    </row>
    <row r="2363" spans="3:6" x14ac:dyDescent="0.25">
      <c r="C2363" s="2" t="s">
        <v>5870</v>
      </c>
      <c r="D2363" s="2" t="s">
        <v>15</v>
      </c>
      <c r="E2363" s="2">
        <v>233</v>
      </c>
      <c r="F2363" s="2">
        <v>760.143</v>
      </c>
    </row>
    <row r="2364" spans="3:6" x14ac:dyDescent="0.25">
      <c r="C2364" s="2" t="s">
        <v>5871</v>
      </c>
      <c r="D2364" s="2" t="s">
        <v>15</v>
      </c>
      <c r="E2364" s="2">
        <v>163</v>
      </c>
      <c r="F2364" s="2">
        <v>3078.669</v>
      </c>
    </row>
    <row r="2365" spans="3:6" x14ac:dyDescent="0.25">
      <c r="C2365" s="2" t="s">
        <v>5872</v>
      </c>
      <c r="D2365" s="2" t="s">
        <v>15</v>
      </c>
      <c r="E2365" s="2">
        <v>163</v>
      </c>
      <c r="F2365" s="2">
        <v>3031.299</v>
      </c>
    </row>
    <row r="2366" spans="3:6" x14ac:dyDescent="0.25">
      <c r="C2366" s="2" t="s">
        <v>5873</v>
      </c>
      <c r="D2366" s="2" t="s">
        <v>15</v>
      </c>
      <c r="E2366" s="2">
        <v>163</v>
      </c>
      <c r="F2366" s="2">
        <v>3040.029</v>
      </c>
    </row>
    <row r="2367" spans="3:6" x14ac:dyDescent="0.25">
      <c r="C2367" s="2" t="s">
        <v>5874</v>
      </c>
      <c r="D2367" s="2" t="s">
        <v>15</v>
      </c>
      <c r="E2367" s="2">
        <v>27</v>
      </c>
      <c r="F2367" s="2">
        <v>0</v>
      </c>
    </row>
    <row r="2368" spans="3:6" x14ac:dyDescent="0.25">
      <c r="C2368" s="2" t="s">
        <v>5875</v>
      </c>
      <c r="D2368" s="2" t="s">
        <v>15</v>
      </c>
      <c r="E2368" s="2">
        <v>136</v>
      </c>
      <c r="F2368" s="2">
        <v>2664.068</v>
      </c>
    </row>
    <row r="2369" spans="3:6" x14ac:dyDescent="0.25">
      <c r="C2369" s="2" t="s">
        <v>5876</v>
      </c>
      <c r="D2369" s="2" t="s">
        <v>15</v>
      </c>
      <c r="E2369" s="2">
        <v>163</v>
      </c>
      <c r="F2369" s="2">
        <v>3181.722</v>
      </c>
    </row>
    <row r="2370" spans="3:6" x14ac:dyDescent="0.25">
      <c r="C2370" s="2" t="s">
        <v>5877</v>
      </c>
      <c r="D2370" s="2" t="s">
        <v>15</v>
      </c>
      <c r="E2370" s="2">
        <v>105</v>
      </c>
      <c r="F2370" s="2">
        <v>2071.764</v>
      </c>
    </row>
    <row r="2371" spans="3:6" x14ac:dyDescent="0.25">
      <c r="C2371" s="2" t="s">
        <v>5878</v>
      </c>
      <c r="D2371" s="2" t="s">
        <v>15</v>
      </c>
      <c r="E2371" s="2">
        <v>163</v>
      </c>
      <c r="F2371" s="2">
        <v>0</v>
      </c>
    </row>
    <row r="2372" spans="3:6" x14ac:dyDescent="0.25">
      <c r="C2372" s="2" t="s">
        <v>5879</v>
      </c>
      <c r="D2372" s="2" t="s">
        <v>15</v>
      </c>
      <c r="E2372" s="2">
        <v>36</v>
      </c>
      <c r="F2372" s="2">
        <v>0</v>
      </c>
    </row>
    <row r="2373" spans="3:6" x14ac:dyDescent="0.25">
      <c r="C2373" s="2" t="s">
        <v>5790</v>
      </c>
      <c r="D2373" s="2" t="s">
        <v>15</v>
      </c>
      <c r="E2373" s="2">
        <v>105</v>
      </c>
      <c r="F2373" s="2">
        <v>1838.67</v>
      </c>
    </row>
    <row r="2374" spans="3:6" x14ac:dyDescent="0.25">
      <c r="C2374" s="2" t="s">
        <v>5880</v>
      </c>
      <c r="D2374" s="2" t="s">
        <v>26</v>
      </c>
      <c r="E2374" s="2">
        <v>56</v>
      </c>
      <c r="F2374" s="2">
        <v>1105.189</v>
      </c>
    </row>
    <row r="2375" spans="3:6" x14ac:dyDescent="0.25">
      <c r="C2375" s="2" t="s">
        <v>5881</v>
      </c>
      <c r="D2375" s="2" t="s">
        <v>26</v>
      </c>
      <c r="E2375" s="2">
        <v>100</v>
      </c>
      <c r="F2375" s="2">
        <v>1935.43</v>
      </c>
    </row>
    <row r="2376" spans="3:6" x14ac:dyDescent="0.25">
      <c r="C2376" s="2" t="s">
        <v>5882</v>
      </c>
      <c r="D2376" s="2" t="s">
        <v>26</v>
      </c>
      <c r="E2376" s="2">
        <v>56</v>
      </c>
      <c r="F2376" s="2">
        <v>1091.599</v>
      </c>
    </row>
    <row r="2377" spans="3:6" x14ac:dyDescent="0.25">
      <c r="C2377" s="2" t="s">
        <v>5883</v>
      </c>
      <c r="D2377" s="2" t="s">
        <v>26</v>
      </c>
      <c r="E2377" s="2">
        <v>100</v>
      </c>
      <c r="F2377" s="2">
        <v>1795.128</v>
      </c>
    </row>
    <row r="2378" spans="3:6" x14ac:dyDescent="0.25">
      <c r="C2378" s="2" t="s">
        <v>5884</v>
      </c>
      <c r="D2378" s="2" t="s">
        <v>26</v>
      </c>
      <c r="E2378" s="2">
        <v>56</v>
      </c>
      <c r="F2378" s="2">
        <v>1076.819</v>
      </c>
    </row>
    <row r="2379" spans="3:6" x14ac:dyDescent="0.25">
      <c r="C2379" s="2" t="s">
        <v>5885</v>
      </c>
      <c r="D2379" s="2" t="s">
        <v>26</v>
      </c>
      <c r="E2379" s="2">
        <v>100</v>
      </c>
      <c r="F2379" s="2">
        <v>2007.54</v>
      </c>
    </row>
    <row r="2380" spans="3:6" x14ac:dyDescent="0.25">
      <c r="C2380" s="2" t="s">
        <v>5886</v>
      </c>
      <c r="D2380" s="2" t="s">
        <v>26</v>
      </c>
      <c r="E2380" s="2">
        <v>56</v>
      </c>
      <c r="F2380" s="2">
        <v>1055.43</v>
      </c>
    </row>
    <row r="2381" spans="3:6" x14ac:dyDescent="0.25">
      <c r="C2381" s="2" t="s">
        <v>5887</v>
      </c>
      <c r="D2381" s="2" t="s">
        <v>26</v>
      </c>
      <c r="E2381" s="2">
        <v>100</v>
      </c>
      <c r="F2381" s="2">
        <v>1901.73</v>
      </c>
    </row>
    <row r="2382" spans="3:6" x14ac:dyDescent="0.25">
      <c r="C2382" s="2" t="s">
        <v>5888</v>
      </c>
      <c r="D2382" s="2" t="s">
        <v>26</v>
      </c>
      <c r="E2382" s="2">
        <v>56</v>
      </c>
      <c r="F2382" s="2">
        <v>1001.94</v>
      </c>
    </row>
    <row r="2383" spans="3:6" x14ac:dyDescent="0.25">
      <c r="C2383" s="2" t="s">
        <v>5889</v>
      </c>
      <c r="D2383" s="2" t="s">
        <v>26</v>
      </c>
      <c r="E2383" s="2">
        <v>100</v>
      </c>
      <c r="F2383" s="2">
        <v>1911.42</v>
      </c>
    </row>
    <row r="2384" spans="3:6" x14ac:dyDescent="0.25">
      <c r="C2384" s="2" t="s">
        <v>5890</v>
      </c>
      <c r="D2384" s="2" t="s">
        <v>30</v>
      </c>
      <c r="E2384" s="2">
        <v>134</v>
      </c>
      <c r="F2384" s="2">
        <v>2591.49</v>
      </c>
    </row>
    <row r="2385" spans="3:6" x14ac:dyDescent="0.25">
      <c r="C2385" s="2" t="s">
        <v>5891</v>
      </c>
      <c r="D2385" s="2" t="s">
        <v>30</v>
      </c>
      <c r="E2385" s="2">
        <v>134</v>
      </c>
      <c r="F2385" s="2">
        <v>2623.149</v>
      </c>
    </row>
    <row r="2386" spans="3:6" x14ac:dyDescent="0.25">
      <c r="C2386" s="2" t="s">
        <v>5892</v>
      </c>
      <c r="D2386" s="2" t="s">
        <v>30</v>
      </c>
      <c r="E2386" s="2">
        <v>134</v>
      </c>
      <c r="F2386" s="2">
        <v>2693.85</v>
      </c>
    </row>
    <row r="2387" spans="3:6" x14ac:dyDescent="0.25">
      <c r="C2387" s="2" t="s">
        <v>5893</v>
      </c>
      <c r="D2387" s="2" t="s">
        <v>30</v>
      </c>
      <c r="E2387" s="2">
        <v>134</v>
      </c>
      <c r="F2387" s="2">
        <v>2733.759</v>
      </c>
    </row>
    <row r="2388" spans="3:6" x14ac:dyDescent="0.25">
      <c r="C2388" s="2" t="s">
        <v>5894</v>
      </c>
      <c r="D2388" s="2" t="s">
        <v>30</v>
      </c>
      <c r="E2388" s="2">
        <v>134</v>
      </c>
      <c r="F2388" s="2">
        <v>2413.66</v>
      </c>
    </row>
    <row r="2389" spans="3:6" x14ac:dyDescent="0.25">
      <c r="C2389" s="2" t="s">
        <v>5895</v>
      </c>
      <c r="D2389" s="2" t="s">
        <v>30</v>
      </c>
      <c r="E2389" s="2">
        <v>134</v>
      </c>
      <c r="F2389" s="2">
        <v>2581.54</v>
      </c>
    </row>
    <row r="2390" spans="3:6" x14ac:dyDescent="0.25">
      <c r="C2390" s="2" t="s">
        <v>5896</v>
      </c>
      <c r="D2390" s="2" t="s">
        <v>30</v>
      </c>
      <c r="E2390" s="2">
        <v>163</v>
      </c>
      <c r="F2390" s="2">
        <v>3104.188</v>
      </c>
    </row>
    <row r="2391" spans="3:6" x14ac:dyDescent="0.25">
      <c r="C2391" s="2" t="s">
        <v>5897</v>
      </c>
      <c r="D2391" s="2" t="s">
        <v>30</v>
      </c>
      <c r="E2391" s="2">
        <v>163</v>
      </c>
      <c r="F2391" s="2">
        <v>3001.3</v>
      </c>
    </row>
    <row r="2392" spans="3:6" x14ac:dyDescent="0.25">
      <c r="C2392" s="2" t="s">
        <v>5898</v>
      </c>
      <c r="D2392" s="2" t="s">
        <v>30</v>
      </c>
      <c r="E2392" s="2">
        <v>163</v>
      </c>
      <c r="F2392" s="2">
        <v>3193.57</v>
      </c>
    </row>
    <row r="2393" spans="3:6" x14ac:dyDescent="0.25">
      <c r="C2393" s="2" t="s">
        <v>5899</v>
      </c>
      <c r="D2393" s="2" t="s">
        <v>30</v>
      </c>
      <c r="E2393" s="2">
        <v>95</v>
      </c>
      <c r="F2393" s="2">
        <v>0</v>
      </c>
    </row>
    <row r="2394" spans="3:6" x14ac:dyDescent="0.25">
      <c r="C2394" s="2" t="s">
        <v>5900</v>
      </c>
      <c r="D2394" s="2" t="s">
        <v>30</v>
      </c>
      <c r="E2394" s="2">
        <v>12</v>
      </c>
      <c r="F2394" s="2">
        <v>88.02</v>
      </c>
    </row>
    <row r="2395" spans="3:6" x14ac:dyDescent="0.25">
      <c r="C2395" s="2" t="s">
        <v>5901</v>
      </c>
      <c r="D2395" s="2" t="s">
        <v>36</v>
      </c>
      <c r="E2395" s="2">
        <v>80</v>
      </c>
      <c r="F2395" s="2">
        <v>1579.54</v>
      </c>
    </row>
    <row r="2396" spans="3:6" x14ac:dyDescent="0.25">
      <c r="C2396" s="2" t="s">
        <v>5902</v>
      </c>
      <c r="D2396" s="2" t="s">
        <v>36</v>
      </c>
      <c r="E2396" s="2">
        <v>18</v>
      </c>
      <c r="F2396" s="2">
        <v>385.39</v>
      </c>
    </row>
    <row r="2397" spans="3:6" x14ac:dyDescent="0.25">
      <c r="C2397" s="2" t="s">
        <v>5903</v>
      </c>
      <c r="D2397" s="2" t="s">
        <v>36</v>
      </c>
      <c r="E2397" s="2">
        <v>7</v>
      </c>
      <c r="F2397" s="2">
        <v>0</v>
      </c>
    </row>
    <row r="2398" spans="3:6" x14ac:dyDescent="0.25">
      <c r="C2398" s="2" t="s">
        <v>5904</v>
      </c>
      <c r="D2398" s="2" t="s">
        <v>36</v>
      </c>
      <c r="E2398" s="2">
        <v>45</v>
      </c>
      <c r="F2398" s="2">
        <v>841.67</v>
      </c>
    </row>
    <row r="2399" spans="3:6" x14ac:dyDescent="0.25">
      <c r="C2399" s="2" t="s">
        <v>5905</v>
      </c>
      <c r="D2399" s="2" t="s">
        <v>36</v>
      </c>
      <c r="E2399" s="2">
        <v>60</v>
      </c>
      <c r="F2399" s="2">
        <v>1097.51</v>
      </c>
    </row>
    <row r="2400" spans="3:6" x14ac:dyDescent="0.25">
      <c r="C2400" s="2" t="s">
        <v>5906</v>
      </c>
      <c r="D2400" s="2" t="s">
        <v>136</v>
      </c>
      <c r="E2400" s="2">
        <v>128</v>
      </c>
      <c r="F2400" s="2">
        <v>2381.1</v>
      </c>
    </row>
    <row r="2401" spans="3:6" x14ac:dyDescent="0.25">
      <c r="C2401" s="2" t="s">
        <v>5907</v>
      </c>
      <c r="D2401" s="2" t="s">
        <v>136</v>
      </c>
      <c r="E2401" s="2">
        <v>28</v>
      </c>
      <c r="F2401" s="2">
        <v>475.35</v>
      </c>
    </row>
    <row r="2403" spans="2:7" x14ac:dyDescent="0.25">
      <c r="B2403" s="2" t="s">
        <v>48</v>
      </c>
      <c r="C2403" s="2" t="s">
        <v>5908</v>
      </c>
      <c r="D2403" s="2" t="s">
        <v>30</v>
      </c>
      <c r="E2403" s="2">
        <v>105</v>
      </c>
      <c r="F2403" s="2">
        <v>1956</v>
      </c>
      <c r="G2403" s="1">
        <v>46193</v>
      </c>
    </row>
    <row r="2404" spans="3:6" x14ac:dyDescent="0.25">
      <c r="C2404" s="2" t="s">
        <v>5909</v>
      </c>
      <c r="D2404" s="2" t="s">
        <v>26</v>
      </c>
      <c r="E2404" s="2">
        <v>40</v>
      </c>
      <c r="F2404" s="2">
        <v>631</v>
      </c>
    </row>
    <row r="2405" spans="3:6" x14ac:dyDescent="0.25">
      <c r="C2405" s="2" t="s">
        <v>5910</v>
      </c>
      <c r="D2405" s="2" t="s">
        <v>26</v>
      </c>
      <c r="E2405" s="2">
        <v>116</v>
      </c>
      <c r="F2405" s="2">
        <v>2116</v>
      </c>
    </row>
    <row r="2406" spans="3:6" x14ac:dyDescent="0.25">
      <c r="C2406" s="2" t="s">
        <v>5911</v>
      </c>
      <c r="D2406" s="2" t="s">
        <v>30</v>
      </c>
      <c r="E2406" s="2">
        <v>157</v>
      </c>
      <c r="F2406" s="2">
        <v>2791</v>
      </c>
    </row>
    <row r="2407" spans="3:6" x14ac:dyDescent="0.25">
      <c r="C2407" s="2" t="s">
        <v>5912</v>
      </c>
      <c r="D2407" s="2" t="s">
        <v>30</v>
      </c>
      <c r="E2407" s="2">
        <v>106</v>
      </c>
      <c r="F2407" s="2">
        <v>1874</v>
      </c>
    </row>
    <row r="2409" spans="1:7" x14ac:dyDescent="0.25">
      <c r="A2409" s="1">
        <v>46190</v>
      </c>
      <c r="B2409" s="2" t="s">
        <v>5913</v>
      </c>
      <c r="C2409" s="2" t="s">
        <v>5914</v>
      </c>
      <c r="D2409" s="2" t="s">
        <v>59</v>
      </c>
      <c r="E2409" s="2">
        <v>105</v>
      </c>
      <c r="F2409" s="2">
        <v>1995.899</v>
      </c>
      <c r="G2409" s="1">
        <v>46191</v>
      </c>
    </row>
    <row r="2410" spans="3:6" x14ac:dyDescent="0.25">
      <c r="C2410" s="2" t="s">
        <v>5915</v>
      </c>
      <c r="D2410" s="2" t="s">
        <v>59</v>
      </c>
      <c r="E2410" s="2">
        <v>237</v>
      </c>
      <c r="F2410" s="2">
        <v>4599.01</v>
      </c>
    </row>
    <row r="2411" spans="3:6" x14ac:dyDescent="0.25">
      <c r="C2411" s="2" t="s">
        <v>5916</v>
      </c>
      <c r="D2411" s="2" t="s">
        <v>59</v>
      </c>
      <c r="E2411" s="2">
        <v>155</v>
      </c>
      <c r="F2411" s="2">
        <v>3068.63</v>
      </c>
    </row>
    <row r="2412" spans="3:6" x14ac:dyDescent="0.25">
      <c r="C2412" s="2" t="s">
        <v>5917</v>
      </c>
      <c r="D2412" s="2" t="s">
        <v>59</v>
      </c>
      <c r="E2412" s="2">
        <v>163</v>
      </c>
      <c r="F2412" s="2">
        <v>3173.449</v>
      </c>
    </row>
    <row r="2413" spans="3:6" x14ac:dyDescent="0.25">
      <c r="C2413" s="2" t="s">
        <v>5918</v>
      </c>
      <c r="D2413" s="2" t="s">
        <v>59</v>
      </c>
      <c r="E2413" s="2">
        <v>274</v>
      </c>
      <c r="F2413" s="2">
        <v>5389.299</v>
      </c>
    </row>
    <row r="2414" spans="3:6" x14ac:dyDescent="0.25">
      <c r="C2414" s="2" t="s">
        <v>5919</v>
      </c>
      <c r="D2414" s="2" t="s">
        <v>59</v>
      </c>
      <c r="E2414" s="2">
        <v>222</v>
      </c>
      <c r="F2414" s="2">
        <v>4913.86</v>
      </c>
    </row>
    <row r="2415" spans="3:6" x14ac:dyDescent="0.25">
      <c r="C2415" s="2" t="s">
        <v>5920</v>
      </c>
      <c r="D2415" s="2" t="s">
        <v>59</v>
      </c>
      <c r="E2415" s="2">
        <v>132</v>
      </c>
      <c r="F2415" s="2">
        <v>2610.6</v>
      </c>
    </row>
    <row r="2416" spans="3:6" x14ac:dyDescent="0.25">
      <c r="C2416" s="2" t="s">
        <v>5921</v>
      </c>
      <c r="D2416" s="2" t="s">
        <v>59</v>
      </c>
      <c r="E2416" s="2">
        <v>210</v>
      </c>
      <c r="F2416" s="2">
        <v>4219.72</v>
      </c>
    </row>
    <row r="2417" spans="3:6" x14ac:dyDescent="0.25">
      <c r="C2417" s="2" t="s">
        <v>5922</v>
      </c>
      <c r="D2417" s="2" t="s">
        <v>59</v>
      </c>
      <c r="E2417" s="2">
        <v>133</v>
      </c>
      <c r="F2417" s="2">
        <v>2592.84</v>
      </c>
    </row>
    <row r="2418" spans="3:6" x14ac:dyDescent="0.25">
      <c r="C2418" s="2" t="s">
        <v>5923</v>
      </c>
      <c r="D2418" s="2" t="s">
        <v>59</v>
      </c>
      <c r="E2418" s="2">
        <v>68</v>
      </c>
      <c r="F2418" s="2">
        <v>1680.038</v>
      </c>
    </row>
    <row r="2419" spans="3:6" x14ac:dyDescent="0.25">
      <c r="C2419" s="2" t="s">
        <v>5924</v>
      </c>
      <c r="D2419" s="2" t="s">
        <v>59</v>
      </c>
      <c r="E2419" s="2">
        <v>237</v>
      </c>
      <c r="F2419" s="2">
        <v>4571.809</v>
      </c>
    </row>
    <row r="2420" spans="3:6" x14ac:dyDescent="0.25">
      <c r="C2420" s="2" t="s">
        <v>5925</v>
      </c>
      <c r="D2420" s="2" t="s">
        <v>59</v>
      </c>
      <c r="E2420" s="2">
        <v>163</v>
      </c>
      <c r="F2420" s="2">
        <v>3176.71</v>
      </c>
    </row>
    <row r="2421" spans="3:6" x14ac:dyDescent="0.25">
      <c r="C2421" s="2" t="s">
        <v>5926</v>
      </c>
      <c r="D2421" s="2" t="s">
        <v>59</v>
      </c>
      <c r="E2421" s="2">
        <v>132</v>
      </c>
      <c r="F2421" s="2">
        <v>2613.549</v>
      </c>
    </row>
    <row r="2423" spans="1:7" x14ac:dyDescent="0.25">
      <c r="A2423" s="1">
        <v>46190</v>
      </c>
      <c r="B2423" s="2" t="s">
        <v>427</v>
      </c>
      <c r="C2423" s="2" t="s">
        <v>5927</v>
      </c>
      <c r="D2423" s="2" t="s">
        <v>59</v>
      </c>
      <c r="E2423" s="2">
        <v>149</v>
      </c>
      <c r="F2423" s="2">
        <v>3027.36</v>
      </c>
      <c r="G2423" s="1">
        <v>46191</v>
      </c>
    </row>
    <row r="2424" spans="3:6" x14ac:dyDescent="0.25">
      <c r="C2424" s="2" t="s">
        <v>5928</v>
      </c>
      <c r="D2424" s="2" t="s">
        <v>59</v>
      </c>
      <c r="E2424" s="2">
        <v>149</v>
      </c>
      <c r="F2424" s="2">
        <v>2961.369</v>
      </c>
    </row>
    <row r="2426" spans="1:7" x14ac:dyDescent="0.25">
      <c r="A2426" s="1">
        <v>46191</v>
      </c>
      <c r="B2426" s="2" t="s">
        <v>1400</v>
      </c>
      <c r="C2426" s="2" t="s">
        <v>5929</v>
      </c>
      <c r="D2426" s="2" t="s">
        <v>82</v>
      </c>
      <c r="E2426" s="2">
        <v>141</v>
      </c>
      <c r="F2426" s="2">
        <v>2970.5</v>
      </c>
      <c r="G2426" s="1">
        <v>46193</v>
      </c>
    </row>
    <row r="2427" spans="3:6" x14ac:dyDescent="0.25">
      <c r="C2427" s="2" t="s">
        <v>5930</v>
      </c>
      <c r="D2427" s="2" t="s">
        <v>82</v>
      </c>
      <c r="E2427" s="2">
        <v>141</v>
      </c>
      <c r="F2427" s="2">
        <v>2767.48</v>
      </c>
    </row>
    <row r="2428" spans="3:6" x14ac:dyDescent="0.25">
      <c r="C2428" s="2" t="s">
        <v>5931</v>
      </c>
      <c r="D2428" s="2" t="s">
        <v>82</v>
      </c>
      <c r="E2428" s="2">
        <v>141</v>
      </c>
      <c r="F2428" s="2">
        <v>2996.79</v>
      </c>
    </row>
    <row r="2429" spans="3:6" x14ac:dyDescent="0.25">
      <c r="C2429" s="2" t="s">
        <v>5932</v>
      </c>
      <c r="D2429" s="2" t="s">
        <v>82</v>
      </c>
      <c r="E2429" s="2">
        <v>101</v>
      </c>
      <c r="F2429" s="2">
        <v>2033.719</v>
      </c>
    </row>
    <row r="2430" spans="3:6" x14ac:dyDescent="0.25">
      <c r="C2430" s="2" t="s">
        <v>5933</v>
      </c>
      <c r="D2430" s="2" t="s">
        <v>82</v>
      </c>
      <c r="E2430" s="2">
        <v>40</v>
      </c>
      <c r="F2430" s="2">
        <v>813.32</v>
      </c>
    </row>
    <row r="2431" spans="3:6" x14ac:dyDescent="0.25">
      <c r="C2431" s="2" t="s">
        <v>5934</v>
      </c>
      <c r="D2431" s="2" t="s">
        <v>82</v>
      </c>
      <c r="E2431" s="2">
        <v>96</v>
      </c>
      <c r="F2431" s="2">
        <v>1943.838</v>
      </c>
    </row>
    <row r="2432" spans="3:6" x14ac:dyDescent="0.25">
      <c r="C2432" s="2" t="s">
        <v>5935</v>
      </c>
      <c r="D2432" s="2" t="s">
        <v>82</v>
      </c>
      <c r="E2432" s="2">
        <v>45</v>
      </c>
      <c r="F2432" s="2">
        <v>940.99</v>
      </c>
    </row>
    <row r="2433" spans="3:6" x14ac:dyDescent="0.25">
      <c r="C2433" s="2" t="s">
        <v>5936</v>
      </c>
      <c r="D2433" s="2" t="s">
        <v>82</v>
      </c>
      <c r="E2433" s="2">
        <v>141</v>
      </c>
      <c r="F2433" s="2">
        <v>2954.41</v>
      </c>
    </row>
    <row r="2435" spans="1:7" x14ac:dyDescent="0.25">
      <c r="A2435" s="1">
        <v>46191</v>
      </c>
      <c r="B2435" s="2" t="s">
        <v>433</v>
      </c>
      <c r="C2435" s="2" t="s">
        <v>5937</v>
      </c>
      <c r="D2435" s="2" t="s">
        <v>73</v>
      </c>
      <c r="E2435" s="2">
        <v>92</v>
      </c>
      <c r="F2435" s="2">
        <v>1853</v>
      </c>
      <c r="G2435" s="1">
        <v>46193</v>
      </c>
    </row>
    <row r="2436" spans="3:6" x14ac:dyDescent="0.25">
      <c r="C2436" s="2" t="s">
        <v>5938</v>
      </c>
      <c r="D2436" s="2" t="s">
        <v>73</v>
      </c>
      <c r="E2436" s="2">
        <v>84</v>
      </c>
      <c r="F2436" s="2">
        <v>1751.88</v>
      </c>
    </row>
    <row r="2437" spans="3:6" x14ac:dyDescent="0.25">
      <c r="C2437" s="2" t="s">
        <v>5939</v>
      </c>
      <c r="D2437" s="2" t="s">
        <v>73</v>
      </c>
      <c r="E2437" s="2">
        <v>8</v>
      </c>
      <c r="F2437" s="2">
        <v>184.5</v>
      </c>
    </row>
    <row r="2438" spans="3:6" x14ac:dyDescent="0.25">
      <c r="C2438" s="2" t="s">
        <v>5940</v>
      </c>
      <c r="D2438" s="2" t="s">
        <v>73</v>
      </c>
      <c r="E2438" s="2">
        <v>46</v>
      </c>
      <c r="F2438" s="2">
        <v>855.99</v>
      </c>
    </row>
    <row r="2439" spans="3:6" x14ac:dyDescent="0.25">
      <c r="C2439" s="2" t="s">
        <v>5941</v>
      </c>
      <c r="D2439" s="2" t="s">
        <v>73</v>
      </c>
      <c r="E2439" s="2">
        <v>45</v>
      </c>
      <c r="F2439" s="2">
        <v>773.06</v>
      </c>
    </row>
    <row r="2440" spans="3:6" x14ac:dyDescent="0.25">
      <c r="C2440" s="2" t="s">
        <v>5942</v>
      </c>
      <c r="D2440" s="2" t="s">
        <v>73</v>
      </c>
      <c r="E2440" s="2">
        <v>77</v>
      </c>
      <c r="F2440" s="2">
        <v>1356.3</v>
      </c>
    </row>
    <row r="2441" spans="3:6" x14ac:dyDescent="0.25">
      <c r="C2441" s="2" t="s">
        <v>5943</v>
      </c>
      <c r="D2441" s="2" t="s">
        <v>73</v>
      </c>
      <c r="E2441" s="2">
        <v>23</v>
      </c>
      <c r="F2441" s="2">
        <v>430.28</v>
      </c>
    </row>
    <row r="2443" spans="1:7" x14ac:dyDescent="0.25">
      <c r="A2443" s="1">
        <v>46191</v>
      </c>
      <c r="B2443" s="2" t="s">
        <v>7</v>
      </c>
      <c r="C2443" s="2" t="s">
        <v>5944</v>
      </c>
      <c r="D2443" s="2" t="s">
        <v>9</v>
      </c>
      <c r="E2443" s="2">
        <v>95</v>
      </c>
      <c r="F2443" s="2">
        <v>1614.502</v>
      </c>
      <c r="G2443" s="1">
        <v>46193</v>
      </c>
    </row>
    <row r="2444" spans="3:6" x14ac:dyDescent="0.25">
      <c r="C2444" s="2" t="s">
        <v>5945</v>
      </c>
      <c r="D2444" s="2" t="s">
        <v>9</v>
      </c>
      <c r="E2444" s="2">
        <v>99</v>
      </c>
      <c r="F2444" s="2">
        <v>1950.297</v>
      </c>
    </row>
    <row r="2446" spans="1:7" x14ac:dyDescent="0.25">
      <c r="A2446" s="1">
        <v>46192</v>
      </c>
      <c r="B2446" s="2" t="s">
        <v>71</v>
      </c>
      <c r="C2446" s="2" t="s">
        <v>5946</v>
      </c>
      <c r="D2446" s="2" t="s">
        <v>73</v>
      </c>
      <c r="E2446" s="2">
        <v>50</v>
      </c>
      <c r="F2446" s="2">
        <v>967.23</v>
      </c>
      <c r="G2446" s="1">
        <v>46193</v>
      </c>
    </row>
    <row r="2447" spans="3:6" x14ac:dyDescent="0.25">
      <c r="C2447" s="2" t="s">
        <v>5947</v>
      </c>
      <c r="D2447" s="2" t="s">
        <v>73</v>
      </c>
      <c r="E2447" s="2">
        <v>78</v>
      </c>
      <c r="F2447" s="2">
        <v>1540.97</v>
      </c>
    </row>
    <row r="2448" spans="3:6" x14ac:dyDescent="0.25">
      <c r="C2448" s="2" t="s">
        <v>5948</v>
      </c>
      <c r="D2448" s="2" t="s">
        <v>73</v>
      </c>
      <c r="E2448" s="2">
        <v>40</v>
      </c>
      <c r="F2448" s="2">
        <v>750.16</v>
      </c>
    </row>
    <row r="2449" spans="3:6" x14ac:dyDescent="0.25">
      <c r="C2449" s="2" t="s">
        <v>5949</v>
      </c>
      <c r="D2449" s="2" t="s">
        <v>73</v>
      </c>
      <c r="E2449" s="2">
        <v>10</v>
      </c>
      <c r="F2449" s="2">
        <v>131.87</v>
      </c>
    </row>
    <row r="2451" spans="1:7" x14ac:dyDescent="0.25">
      <c r="A2451" s="1">
        <v>46192</v>
      </c>
      <c r="B2451" s="2" t="s">
        <v>4827</v>
      </c>
      <c r="C2451" s="2" t="s">
        <v>5950</v>
      </c>
      <c r="D2451" s="2" t="s">
        <v>4096</v>
      </c>
      <c r="E2451" s="2">
        <v>101</v>
      </c>
      <c r="F2451" s="2">
        <v>1852.899</v>
      </c>
      <c r="G2451" s="1">
        <v>46193</v>
      </c>
    </row>
    <row r="2453" spans="1:7" x14ac:dyDescent="0.25">
      <c r="A2453" s="1">
        <v>46192</v>
      </c>
      <c r="B2453" s="2" t="s">
        <v>229</v>
      </c>
      <c r="C2453" s="2" t="s">
        <v>5951</v>
      </c>
      <c r="D2453" s="2" t="s">
        <v>82</v>
      </c>
      <c r="E2453" s="2">
        <v>121</v>
      </c>
      <c r="F2453" s="2">
        <v>2372.3</v>
      </c>
      <c r="G2453" s="1">
        <v>46193</v>
      </c>
    </row>
    <row r="2454" spans="3:6" x14ac:dyDescent="0.25">
      <c r="C2454" s="2" t="s">
        <v>5952</v>
      </c>
      <c r="D2454" s="2" t="s">
        <v>82</v>
      </c>
      <c r="E2454" s="2">
        <v>121</v>
      </c>
      <c r="F2454" s="2">
        <v>2364.64</v>
      </c>
    </row>
    <row r="2455" spans="3:6" x14ac:dyDescent="0.25">
      <c r="C2455" s="2" t="s">
        <v>5953</v>
      </c>
      <c r="D2455" s="2" t="s">
        <v>82</v>
      </c>
      <c r="E2455" s="2">
        <v>64</v>
      </c>
      <c r="F2455" s="2">
        <v>1355.73</v>
      </c>
    </row>
    <row r="2456" spans="3:6" x14ac:dyDescent="0.25">
      <c r="C2456" s="2" t="s">
        <v>5954</v>
      </c>
      <c r="D2456" s="2" t="s">
        <v>82</v>
      </c>
      <c r="E2456" s="2">
        <v>43</v>
      </c>
      <c r="F2456" s="2">
        <v>897.78</v>
      </c>
    </row>
    <row r="2457" spans="3:6" x14ac:dyDescent="0.25">
      <c r="C2457" s="2" t="s">
        <v>5955</v>
      </c>
      <c r="D2457" s="2" t="s">
        <v>82</v>
      </c>
      <c r="E2457" s="2">
        <v>14</v>
      </c>
      <c r="F2457" s="2">
        <v>261.95</v>
      </c>
    </row>
    <row r="2458" spans="3:6" x14ac:dyDescent="0.25">
      <c r="C2458" s="2" t="s">
        <v>5956</v>
      </c>
      <c r="D2458" s="2" t="s">
        <v>82</v>
      </c>
      <c r="E2458" s="2">
        <v>63</v>
      </c>
      <c r="F2458" s="2">
        <v>1274.57</v>
      </c>
    </row>
    <row r="2459" spans="3:6" x14ac:dyDescent="0.25">
      <c r="C2459" s="2" t="s">
        <v>5957</v>
      </c>
      <c r="D2459" s="2" t="s">
        <v>82</v>
      </c>
      <c r="E2459" s="2">
        <v>58</v>
      </c>
      <c r="F2459" s="2">
        <v>1129.34</v>
      </c>
    </row>
    <row r="2460" spans="3:6" x14ac:dyDescent="0.25">
      <c r="C2460" s="2" t="s">
        <v>5958</v>
      </c>
      <c r="D2460" s="2" t="s">
        <v>82</v>
      </c>
      <c r="E2460" s="2">
        <v>134</v>
      </c>
      <c r="F2460" s="2">
        <v>2740.949</v>
      </c>
    </row>
    <row r="2461" spans="3:6" x14ac:dyDescent="0.25">
      <c r="C2461" s="2" t="s">
        <v>5959</v>
      </c>
      <c r="D2461" s="2" t="s">
        <v>82</v>
      </c>
      <c r="E2461" s="2">
        <v>10</v>
      </c>
      <c r="F2461" s="2">
        <v>185.41</v>
      </c>
    </row>
    <row r="2462" spans="3:6" x14ac:dyDescent="0.25">
      <c r="C2462" s="2" t="s">
        <v>5960</v>
      </c>
      <c r="D2462" s="2" t="s">
        <v>82</v>
      </c>
      <c r="E2462" s="2">
        <v>92</v>
      </c>
      <c r="F2462" s="2">
        <v>1783.159</v>
      </c>
    </row>
    <row r="2463" spans="3:6" x14ac:dyDescent="0.25">
      <c r="C2463" s="2" t="s">
        <v>5961</v>
      </c>
      <c r="D2463" s="2" t="s">
        <v>82</v>
      </c>
      <c r="E2463" s="2">
        <v>103</v>
      </c>
      <c r="F2463" s="2">
        <v>2091.95</v>
      </c>
    </row>
    <row r="2464" spans="3:6" x14ac:dyDescent="0.25">
      <c r="C2464" s="2" t="s">
        <v>5962</v>
      </c>
      <c r="D2464" s="2" t="s">
        <v>82</v>
      </c>
      <c r="E2464" s="2">
        <v>102</v>
      </c>
      <c r="F2464" s="2">
        <v>2107.33</v>
      </c>
    </row>
    <row r="2465" spans="3:6" x14ac:dyDescent="0.25">
      <c r="C2465" s="2" t="s">
        <v>5963</v>
      </c>
      <c r="D2465" s="2" t="s">
        <v>82</v>
      </c>
      <c r="E2465" s="2">
        <v>102</v>
      </c>
      <c r="F2465" s="2">
        <v>2151.46</v>
      </c>
    </row>
    <row r="2466" spans="3:6" x14ac:dyDescent="0.25">
      <c r="C2466" s="2" t="s">
        <v>5964</v>
      </c>
      <c r="D2466" s="2" t="s">
        <v>82</v>
      </c>
      <c r="E2466" s="2">
        <v>65</v>
      </c>
      <c r="F2466" s="2">
        <v>1242.46</v>
      </c>
    </row>
    <row r="2467" spans="3:6" x14ac:dyDescent="0.25">
      <c r="C2467" s="2" t="s">
        <v>5965</v>
      </c>
      <c r="D2467" s="2" t="s">
        <v>82</v>
      </c>
      <c r="E2467" s="2">
        <v>10</v>
      </c>
      <c r="F2467" s="2">
        <v>98.729</v>
      </c>
    </row>
    <row r="2468" spans="3:6" x14ac:dyDescent="0.25">
      <c r="C2468" s="2" t="s">
        <v>5966</v>
      </c>
      <c r="D2468" s="2" t="s">
        <v>82</v>
      </c>
      <c r="E2468" s="2">
        <v>130</v>
      </c>
      <c r="F2468" s="2">
        <v>2656.41</v>
      </c>
    </row>
    <row r="2469" spans="3:6" x14ac:dyDescent="0.25">
      <c r="C2469" s="2" t="s">
        <v>5967</v>
      </c>
      <c r="D2469" s="2" t="s">
        <v>82</v>
      </c>
      <c r="E2469" s="2">
        <v>11</v>
      </c>
      <c r="F2469" s="2">
        <v>214.74</v>
      </c>
    </row>
    <row r="2470" spans="3:6" x14ac:dyDescent="0.25">
      <c r="C2470" s="2" t="s">
        <v>5968</v>
      </c>
      <c r="D2470" s="2" t="s">
        <v>82</v>
      </c>
      <c r="E2470" s="2">
        <v>141</v>
      </c>
      <c r="F2470" s="2">
        <v>2826.93</v>
      </c>
    </row>
    <row r="2471" spans="3:6" x14ac:dyDescent="0.25">
      <c r="C2471" s="2" t="s">
        <v>5969</v>
      </c>
      <c r="D2471" s="2" t="s">
        <v>82</v>
      </c>
      <c r="E2471" s="2">
        <v>37</v>
      </c>
      <c r="F2471" s="2">
        <v>710.41</v>
      </c>
    </row>
    <row r="2472" spans="3:6" x14ac:dyDescent="0.25">
      <c r="C2472" s="2" t="s">
        <v>5970</v>
      </c>
      <c r="D2472" s="2" t="s">
        <v>82</v>
      </c>
      <c r="E2472" s="2">
        <v>28</v>
      </c>
      <c r="F2472" s="2">
        <v>494.1</v>
      </c>
    </row>
    <row r="2473" spans="3:6" x14ac:dyDescent="0.25">
      <c r="C2473" s="2" t="s">
        <v>5971</v>
      </c>
      <c r="D2473" s="2" t="s">
        <v>82</v>
      </c>
      <c r="E2473" s="2">
        <v>45</v>
      </c>
      <c r="F2473" s="2">
        <v>806.38</v>
      </c>
    </row>
    <row r="2474" spans="3:6" x14ac:dyDescent="0.25">
      <c r="C2474" s="2" t="s">
        <v>5972</v>
      </c>
      <c r="D2474" s="2" t="s">
        <v>82</v>
      </c>
      <c r="E2474" s="2">
        <v>31</v>
      </c>
      <c r="F2474" s="2">
        <v>629.52</v>
      </c>
    </row>
    <row r="2475" spans="3:6" x14ac:dyDescent="0.25">
      <c r="C2475" s="2" t="s">
        <v>5973</v>
      </c>
      <c r="D2475" s="2" t="s">
        <v>82</v>
      </c>
      <c r="E2475" s="2">
        <f>60+17</f>
        <v>77</v>
      </c>
      <c r="F2475" s="2">
        <f>262.52+75.68</f>
        <v>338.2</v>
      </c>
    </row>
    <row r="2476" spans="3:6" x14ac:dyDescent="0.25">
      <c r="C2476" s="2" t="s">
        <v>5974</v>
      </c>
      <c r="D2476" s="2" t="s">
        <v>82</v>
      </c>
      <c r="E2476" s="2">
        <v>16</v>
      </c>
      <c r="F2476" s="2">
        <v>303.12</v>
      </c>
    </row>
    <row r="2477" spans="3:6" x14ac:dyDescent="0.25">
      <c r="C2477" s="2" t="s">
        <v>5975</v>
      </c>
      <c r="D2477" s="2" t="s">
        <v>82</v>
      </c>
      <c r="E2477" s="2">
        <v>15</v>
      </c>
      <c r="F2477" s="2">
        <v>287.68</v>
      </c>
    </row>
    <row r="2478" spans="3:6" x14ac:dyDescent="0.25">
      <c r="C2478" s="2" t="s">
        <v>5976</v>
      </c>
      <c r="D2478" s="2" t="s">
        <v>82</v>
      </c>
      <c r="E2478" s="2">
        <v>71</v>
      </c>
      <c r="F2478" s="2">
        <v>1277.65</v>
      </c>
    </row>
    <row r="2479" spans="3:6" x14ac:dyDescent="0.25">
      <c r="C2479" s="2" t="s">
        <v>5977</v>
      </c>
      <c r="D2479" s="2" t="s">
        <v>82</v>
      </c>
      <c r="E2479" s="2">
        <v>39</v>
      </c>
      <c r="F2479" s="2">
        <v>667.03</v>
      </c>
    </row>
    <row r="2480" spans="3:6" x14ac:dyDescent="0.25">
      <c r="C2480" s="2" t="s">
        <v>5978</v>
      </c>
      <c r="D2480" s="2" t="s">
        <v>82</v>
      </c>
      <c r="E2480" s="2">
        <v>141</v>
      </c>
      <c r="F2480" s="2">
        <v>2890.64</v>
      </c>
    </row>
    <row r="2481" spans="3:6" x14ac:dyDescent="0.25">
      <c r="C2481" s="2" t="s">
        <v>5979</v>
      </c>
      <c r="D2481" s="2" t="s">
        <v>82</v>
      </c>
      <c r="E2481" s="2">
        <v>141</v>
      </c>
      <c r="F2481" s="2">
        <v>2817.22</v>
      </c>
    </row>
    <row r="2482" spans="3:6" x14ac:dyDescent="0.25">
      <c r="C2482" s="2" t="s">
        <v>5980</v>
      </c>
      <c r="D2482" s="2" t="s">
        <v>82</v>
      </c>
      <c r="E2482" s="2">
        <v>26</v>
      </c>
      <c r="F2482" s="2">
        <v>557.81</v>
      </c>
    </row>
    <row r="2483" spans="3:6" x14ac:dyDescent="0.25">
      <c r="C2483" s="2" t="s">
        <v>5981</v>
      </c>
      <c r="D2483" s="2" t="s">
        <v>82</v>
      </c>
      <c r="E2483" s="2">
        <v>25</v>
      </c>
      <c r="F2483" s="2">
        <v>515.82</v>
      </c>
    </row>
    <row r="2484" spans="3:6" x14ac:dyDescent="0.25">
      <c r="C2484" s="2" t="s">
        <v>5982</v>
      </c>
      <c r="D2484" s="2" t="s">
        <v>82</v>
      </c>
      <c r="E2484" s="2">
        <v>90</v>
      </c>
      <c r="F2484" s="2">
        <v>1913.42</v>
      </c>
    </row>
    <row r="2485" spans="3:6" x14ac:dyDescent="0.25">
      <c r="C2485" s="2" t="s">
        <v>5983</v>
      </c>
      <c r="D2485" s="2" t="s">
        <v>82</v>
      </c>
      <c r="E2485" s="2">
        <v>102</v>
      </c>
      <c r="F2485" s="2">
        <v>2090.33</v>
      </c>
    </row>
    <row r="2486" spans="3:6" x14ac:dyDescent="0.25">
      <c r="C2486" s="2" t="s">
        <v>5984</v>
      </c>
      <c r="D2486" s="2" t="s">
        <v>82</v>
      </c>
      <c r="E2486" s="2">
        <v>39</v>
      </c>
      <c r="F2486" s="2">
        <v>645.98</v>
      </c>
    </row>
    <row r="2487" spans="3:6" x14ac:dyDescent="0.25">
      <c r="C2487" s="2" t="s">
        <v>5985</v>
      </c>
      <c r="D2487" s="2" t="s">
        <v>82</v>
      </c>
      <c r="E2487" s="2">
        <v>112</v>
      </c>
      <c r="F2487" s="2">
        <v>2376.96</v>
      </c>
    </row>
    <row r="2488" spans="3:6" x14ac:dyDescent="0.25">
      <c r="C2488" s="2" t="s">
        <v>5986</v>
      </c>
      <c r="D2488" s="2" t="s">
        <v>82</v>
      </c>
      <c r="E2488" s="2">
        <v>29</v>
      </c>
      <c r="F2488" s="2">
        <v>553.24</v>
      </c>
    </row>
    <row r="2489" spans="3:6" x14ac:dyDescent="0.25">
      <c r="C2489" s="2" t="s">
        <v>5987</v>
      </c>
      <c r="D2489" s="2" t="s">
        <v>82</v>
      </c>
      <c r="E2489" s="2">
        <v>57</v>
      </c>
      <c r="F2489" s="2">
        <v>1122.52</v>
      </c>
    </row>
    <row r="2490" spans="3:6" x14ac:dyDescent="0.25">
      <c r="C2490" s="2" t="s">
        <v>5988</v>
      </c>
      <c r="D2490" s="2" t="s">
        <v>82</v>
      </c>
      <c r="E2490" s="2">
        <v>84</v>
      </c>
      <c r="F2490" s="2">
        <v>1649.75</v>
      </c>
    </row>
    <row r="2491" spans="3:6" x14ac:dyDescent="0.25">
      <c r="C2491" s="2" t="s">
        <v>5989</v>
      </c>
      <c r="D2491" s="2" t="s">
        <v>82</v>
      </c>
      <c r="E2491" s="2">
        <v>50</v>
      </c>
      <c r="F2491" s="2">
        <v>933.41</v>
      </c>
    </row>
    <row r="2492" spans="3:6" x14ac:dyDescent="0.25">
      <c r="C2492" s="2" t="s">
        <v>5990</v>
      </c>
      <c r="D2492" s="2" t="s">
        <v>82</v>
      </c>
      <c r="E2492" s="2">
        <v>91</v>
      </c>
      <c r="F2492" s="2">
        <v>1630.898</v>
      </c>
    </row>
    <row r="2493" spans="3:6" x14ac:dyDescent="0.25">
      <c r="C2493" s="2" t="s">
        <v>5991</v>
      </c>
      <c r="D2493" s="2" t="s">
        <v>82</v>
      </c>
      <c r="E2493" s="2">
        <v>32</v>
      </c>
      <c r="F2493" s="2">
        <v>602.829</v>
      </c>
    </row>
    <row r="2494" spans="3:6" x14ac:dyDescent="0.25">
      <c r="C2494" s="2" t="s">
        <v>5992</v>
      </c>
      <c r="D2494" s="2" t="s">
        <v>82</v>
      </c>
      <c r="E2494" s="2">
        <v>84</v>
      </c>
      <c r="F2494" s="2">
        <v>1690.359</v>
      </c>
    </row>
    <row r="2495" spans="3:6" x14ac:dyDescent="0.25">
      <c r="C2495" s="2" t="s">
        <v>5993</v>
      </c>
      <c r="D2495" s="2" t="s">
        <v>82</v>
      </c>
      <c r="E2495" s="2">
        <v>25</v>
      </c>
      <c r="F2495" s="2">
        <v>479.84</v>
      </c>
    </row>
    <row r="2496" spans="3:6" x14ac:dyDescent="0.25">
      <c r="C2496" s="2" t="s">
        <v>5994</v>
      </c>
      <c r="D2496" s="2" t="s">
        <v>82</v>
      </c>
      <c r="E2496" s="2">
        <v>37</v>
      </c>
      <c r="F2496" s="2">
        <v>765.39</v>
      </c>
    </row>
    <row r="2497" spans="3:6" x14ac:dyDescent="0.25">
      <c r="C2497" s="2" t="s">
        <v>5995</v>
      </c>
      <c r="D2497" s="2" t="s">
        <v>82</v>
      </c>
      <c r="E2497" s="2">
        <v>24</v>
      </c>
      <c r="F2497" s="2">
        <v>507.17</v>
      </c>
    </row>
    <row r="2498" spans="3:6" x14ac:dyDescent="0.25">
      <c r="C2498" s="2" t="s">
        <v>5996</v>
      </c>
      <c r="D2498" s="2" t="s">
        <v>82</v>
      </c>
      <c r="E2498" s="2">
        <v>62</v>
      </c>
      <c r="F2498" s="2">
        <v>499.011</v>
      </c>
    </row>
    <row r="2499" spans="3:6" x14ac:dyDescent="0.25">
      <c r="C2499" s="2" t="s">
        <v>5997</v>
      </c>
      <c r="D2499" s="2" t="s">
        <v>82</v>
      </c>
      <c r="E2499" s="2">
        <v>85</v>
      </c>
      <c r="F2499" s="2">
        <v>1661.87</v>
      </c>
    </row>
    <row r="2500" spans="3:6" x14ac:dyDescent="0.25">
      <c r="C2500" s="2" t="s">
        <v>5998</v>
      </c>
      <c r="D2500" s="2" t="s">
        <v>82</v>
      </c>
      <c r="E2500" s="2">
        <v>29</v>
      </c>
      <c r="F2500" s="2">
        <v>481.75</v>
      </c>
    </row>
    <row r="2501" spans="3:6" x14ac:dyDescent="0.25">
      <c r="C2501" s="2" t="s">
        <v>5999</v>
      </c>
      <c r="D2501" s="2" t="s">
        <v>82</v>
      </c>
      <c r="E2501" s="2">
        <v>22</v>
      </c>
      <c r="F2501" s="2">
        <v>130.198</v>
      </c>
    </row>
    <row r="2503" spans="1:7" x14ac:dyDescent="0.25">
      <c r="A2503" s="1">
        <v>46192</v>
      </c>
      <c r="B2503" s="2" t="s">
        <v>897</v>
      </c>
      <c r="C2503" s="2" t="s">
        <v>6000</v>
      </c>
      <c r="D2503" s="2" t="s">
        <v>292</v>
      </c>
      <c r="E2503" s="2">
        <v>84</v>
      </c>
      <c r="F2503" s="2">
        <v>1715.75</v>
      </c>
      <c r="G2503" s="1">
        <v>46193</v>
      </c>
    </row>
    <row r="2504" spans="3:6" x14ac:dyDescent="0.25">
      <c r="C2504" s="2" t="s">
        <v>6001</v>
      </c>
      <c r="D2504" s="2" t="s">
        <v>292</v>
      </c>
      <c r="E2504" s="2">
        <v>57</v>
      </c>
      <c r="F2504" s="2">
        <v>1096.329</v>
      </c>
    </row>
    <row r="2505" spans="3:6" x14ac:dyDescent="0.25">
      <c r="C2505" s="2" t="s">
        <v>6002</v>
      </c>
      <c r="D2505" s="2" t="s">
        <v>292</v>
      </c>
      <c r="E2505" s="2">
        <v>125</v>
      </c>
      <c r="F2505" s="2">
        <v>2522.75</v>
      </c>
    </row>
    <row r="2506" spans="3:6" x14ac:dyDescent="0.25">
      <c r="C2506" s="2" t="s">
        <v>6003</v>
      </c>
      <c r="D2506" s="2" t="s">
        <v>292</v>
      </c>
      <c r="E2506" s="2">
        <v>16</v>
      </c>
      <c r="F2506" s="2">
        <v>279.62</v>
      </c>
    </row>
    <row r="2507" spans="3:6" x14ac:dyDescent="0.25">
      <c r="C2507" s="2" t="s">
        <v>6004</v>
      </c>
      <c r="D2507" s="2" t="s">
        <v>292</v>
      </c>
      <c r="E2507" s="2">
        <v>30</v>
      </c>
      <c r="F2507" s="2">
        <v>265.942</v>
      </c>
    </row>
    <row r="2508" spans="3:6" x14ac:dyDescent="0.25">
      <c r="C2508" s="2" t="s">
        <v>6005</v>
      </c>
      <c r="D2508" s="2" t="s">
        <v>292</v>
      </c>
      <c r="E2508" s="2">
        <v>111</v>
      </c>
      <c r="F2508" s="2">
        <v>2285.2</v>
      </c>
    </row>
    <row r="2509" spans="3:6" x14ac:dyDescent="0.25">
      <c r="C2509" s="2" t="s">
        <v>6006</v>
      </c>
      <c r="D2509" s="2" t="s">
        <v>292</v>
      </c>
      <c r="E2509" s="2">
        <v>13</v>
      </c>
      <c r="F2509" s="2">
        <v>170.13</v>
      </c>
    </row>
    <row r="2510" spans="3:6" x14ac:dyDescent="0.25">
      <c r="C2510" s="2" t="s">
        <v>6007</v>
      </c>
      <c r="D2510" s="2" t="s">
        <v>292</v>
      </c>
      <c r="E2510" s="2">
        <v>5</v>
      </c>
      <c r="F2510" s="2">
        <v>43.819</v>
      </c>
    </row>
    <row r="2511" spans="3:6" x14ac:dyDescent="0.25">
      <c r="C2511" s="2" t="s">
        <v>6008</v>
      </c>
      <c r="D2511" s="2" t="s">
        <v>292</v>
      </c>
      <c r="E2511" s="2">
        <v>25</v>
      </c>
      <c r="F2511" s="2">
        <v>591.299</v>
      </c>
    </row>
    <row r="2512" spans="3:6" x14ac:dyDescent="0.25">
      <c r="C2512" s="2" t="s">
        <v>6009</v>
      </c>
      <c r="D2512" s="2" t="s">
        <v>292</v>
      </c>
      <c r="E2512" s="2">
        <v>59</v>
      </c>
      <c r="F2512" s="2">
        <v>1238.23</v>
      </c>
    </row>
    <row r="2513" spans="3:6" x14ac:dyDescent="0.25">
      <c r="C2513" s="2" t="s">
        <v>6010</v>
      </c>
      <c r="D2513" s="2" t="s">
        <v>292</v>
      </c>
      <c r="E2513" s="2">
        <v>123</v>
      </c>
      <c r="F2513" s="2">
        <v>2528.88</v>
      </c>
    </row>
    <row r="2514" spans="3:6" x14ac:dyDescent="0.25">
      <c r="C2514" s="2" t="s">
        <v>6011</v>
      </c>
      <c r="D2514" s="2" t="s">
        <v>292</v>
      </c>
      <c r="E2514" s="2">
        <v>123</v>
      </c>
      <c r="F2514" s="2">
        <v>2478.53</v>
      </c>
    </row>
    <row r="2515" spans="3:6" x14ac:dyDescent="0.25">
      <c r="C2515" s="2" t="s">
        <v>6012</v>
      </c>
      <c r="D2515" s="2" t="s">
        <v>292</v>
      </c>
      <c r="E2515" s="2">
        <v>123</v>
      </c>
      <c r="F2515" s="2">
        <v>2567.04</v>
      </c>
    </row>
    <row r="2516" spans="3:6" x14ac:dyDescent="0.25">
      <c r="C2516" s="2" t="s">
        <v>6013</v>
      </c>
      <c r="D2516" s="2" t="s">
        <v>292</v>
      </c>
      <c r="E2516" s="2">
        <v>134</v>
      </c>
      <c r="F2516" s="2">
        <v>1211.359</v>
      </c>
    </row>
    <row r="2517" spans="3:6" x14ac:dyDescent="0.25">
      <c r="C2517" s="2" t="s">
        <v>6014</v>
      </c>
      <c r="D2517" s="2" t="s">
        <v>292</v>
      </c>
      <c r="E2517" s="2">
        <v>127</v>
      </c>
      <c r="F2517" s="2">
        <v>2646.11</v>
      </c>
    </row>
    <row r="2518" spans="3:6" x14ac:dyDescent="0.25">
      <c r="C2518" s="2" t="s">
        <v>6015</v>
      </c>
      <c r="D2518" s="2" t="s">
        <v>292</v>
      </c>
      <c r="E2518" s="2">
        <v>14</v>
      </c>
      <c r="F2518" s="2">
        <v>281.2</v>
      </c>
    </row>
    <row r="2519" spans="3:6" x14ac:dyDescent="0.25">
      <c r="C2519" s="2" t="s">
        <v>6016</v>
      </c>
      <c r="D2519" s="2" t="s">
        <v>292</v>
      </c>
      <c r="E2519" s="2">
        <v>50</v>
      </c>
      <c r="F2519" s="2">
        <v>256.68</v>
      </c>
    </row>
    <row r="2520" spans="3:6" x14ac:dyDescent="0.25">
      <c r="C2520" s="2" t="s">
        <v>6017</v>
      </c>
      <c r="D2520" s="2" t="s">
        <v>292</v>
      </c>
      <c r="E2520" s="2">
        <v>132</v>
      </c>
      <c r="F2520" s="2">
        <v>2129.791</v>
      </c>
    </row>
    <row r="2521" spans="3:6" x14ac:dyDescent="0.25">
      <c r="C2521" s="2" t="s">
        <v>6018</v>
      </c>
      <c r="D2521" s="2" t="s">
        <v>292</v>
      </c>
      <c r="E2521" s="2">
        <v>11</v>
      </c>
      <c r="F2521" s="2">
        <v>208.81</v>
      </c>
    </row>
    <row r="2522" spans="3:6" x14ac:dyDescent="0.25">
      <c r="C2522" s="2" t="s">
        <v>6019</v>
      </c>
      <c r="D2522" s="2" t="s">
        <v>292</v>
      </c>
      <c r="E2522" s="2">
        <v>103</v>
      </c>
      <c r="F2522" s="2">
        <v>2074.592</v>
      </c>
    </row>
    <row r="2523" spans="3:6" x14ac:dyDescent="0.25">
      <c r="C2523" s="2" t="s">
        <v>6020</v>
      </c>
      <c r="D2523" s="2" t="s">
        <v>292</v>
      </c>
      <c r="E2523" s="2">
        <v>21</v>
      </c>
      <c r="F2523" s="2">
        <v>429.46</v>
      </c>
    </row>
    <row r="2524" spans="3:6" x14ac:dyDescent="0.25">
      <c r="C2524" s="2" t="s">
        <v>6021</v>
      </c>
      <c r="D2524" s="2" t="s">
        <v>292</v>
      </c>
      <c r="E2524" s="2">
        <v>52</v>
      </c>
      <c r="F2524" s="2">
        <v>1061.83</v>
      </c>
    </row>
    <row r="2525" spans="3:6" x14ac:dyDescent="0.25">
      <c r="C2525" s="2" t="s">
        <v>6022</v>
      </c>
      <c r="D2525" s="2" t="s">
        <v>292</v>
      </c>
      <c r="E2525" s="2">
        <v>46</v>
      </c>
      <c r="F2525" s="2">
        <v>914.24</v>
      </c>
    </row>
    <row r="2526" spans="3:6" x14ac:dyDescent="0.25">
      <c r="C2526" s="2" t="s">
        <v>6023</v>
      </c>
      <c r="D2526" s="2" t="s">
        <v>292</v>
      </c>
      <c r="E2526" s="2">
        <v>43</v>
      </c>
      <c r="F2526" s="2">
        <v>910.62</v>
      </c>
    </row>
    <row r="2527" spans="3:6" x14ac:dyDescent="0.25">
      <c r="C2527" s="2" t="s">
        <v>6024</v>
      </c>
      <c r="D2527" s="2" t="s">
        <v>292</v>
      </c>
      <c r="E2527" s="2">
        <v>60</v>
      </c>
      <c r="F2527" s="2">
        <v>1225.589</v>
      </c>
    </row>
    <row r="2528" spans="3:6" x14ac:dyDescent="0.25">
      <c r="C2528" s="2" t="s">
        <v>6025</v>
      </c>
      <c r="D2528" s="2" t="s">
        <v>292</v>
      </c>
      <c r="E2528" s="2">
        <v>81</v>
      </c>
      <c r="F2528" s="2">
        <v>1626.536</v>
      </c>
    </row>
    <row r="2529" spans="3:6" x14ac:dyDescent="0.25">
      <c r="C2529" s="2" t="s">
        <v>6026</v>
      </c>
      <c r="D2529" s="2" t="s">
        <v>292</v>
      </c>
      <c r="E2529" s="2">
        <v>60</v>
      </c>
      <c r="F2529" s="2">
        <v>300.66</v>
      </c>
    </row>
    <row r="2530" spans="3:6" x14ac:dyDescent="0.25">
      <c r="C2530" s="2" t="s">
        <v>6027</v>
      </c>
      <c r="D2530" s="2" t="s">
        <v>292</v>
      </c>
      <c r="E2530" s="2">
        <v>134</v>
      </c>
      <c r="F2530" s="2">
        <v>2498.212</v>
      </c>
    </row>
    <row r="2531" spans="3:6" x14ac:dyDescent="0.25">
      <c r="C2531" s="2" t="s">
        <v>6028</v>
      </c>
      <c r="D2531" s="2" t="s">
        <v>292</v>
      </c>
      <c r="E2531" s="2">
        <v>32</v>
      </c>
      <c r="F2531" s="2">
        <v>561.29</v>
      </c>
    </row>
    <row r="2532" spans="3:6" x14ac:dyDescent="0.25">
      <c r="C2532" s="2" t="s">
        <v>6029</v>
      </c>
      <c r="D2532" s="2" t="s">
        <v>292</v>
      </c>
      <c r="E2532" s="2">
        <v>109</v>
      </c>
      <c r="F2532" s="2">
        <v>2154.548</v>
      </c>
    </row>
    <row r="2533" spans="3:6" x14ac:dyDescent="0.25">
      <c r="C2533" s="2" t="s">
        <v>6030</v>
      </c>
      <c r="D2533" s="2" t="s">
        <v>292</v>
      </c>
      <c r="E2533" s="2">
        <v>93</v>
      </c>
      <c r="F2533" s="2">
        <v>1945.06</v>
      </c>
    </row>
    <row r="2534" spans="3:6" x14ac:dyDescent="0.25">
      <c r="C2534" s="2" t="s">
        <v>6031</v>
      </c>
      <c r="D2534" s="2" t="s">
        <v>292</v>
      </c>
      <c r="E2534" s="2">
        <v>37</v>
      </c>
      <c r="F2534" s="2">
        <v>708.77</v>
      </c>
    </row>
    <row r="2535" spans="3:6" x14ac:dyDescent="0.25">
      <c r="C2535" s="2" t="s">
        <v>6032</v>
      </c>
      <c r="D2535" s="2" t="s">
        <v>292</v>
      </c>
      <c r="E2535" s="2">
        <v>11</v>
      </c>
      <c r="F2535" s="2">
        <v>227.5</v>
      </c>
    </row>
    <row r="2536" spans="3:6" x14ac:dyDescent="0.25">
      <c r="C2536" s="2" t="s">
        <v>6033</v>
      </c>
      <c r="D2536" s="2" t="s">
        <v>292</v>
      </c>
      <c r="E2536" s="2">
        <v>45</v>
      </c>
      <c r="F2536" s="2">
        <v>230.29</v>
      </c>
    </row>
    <row r="2537" spans="3:6" x14ac:dyDescent="0.25">
      <c r="C2537" s="2" t="s">
        <v>6034</v>
      </c>
      <c r="D2537" s="2" t="s">
        <v>292</v>
      </c>
      <c r="E2537" s="2">
        <v>134</v>
      </c>
      <c r="F2537" s="2">
        <v>2816.01</v>
      </c>
    </row>
    <row r="2538" spans="3:6" x14ac:dyDescent="0.25">
      <c r="C2538" s="2" t="s">
        <v>6035</v>
      </c>
      <c r="D2538" s="2" t="s">
        <v>292</v>
      </c>
      <c r="E2538" s="2">
        <v>20</v>
      </c>
      <c r="F2538" s="2">
        <v>345.99</v>
      </c>
    </row>
    <row r="2539" spans="3:6" x14ac:dyDescent="0.25">
      <c r="C2539" s="2" t="s">
        <v>6036</v>
      </c>
      <c r="D2539" s="2" t="s">
        <v>292</v>
      </c>
      <c r="E2539" s="2">
        <v>80</v>
      </c>
      <c r="F2539" s="2">
        <v>1666.12</v>
      </c>
    </row>
    <row r="2540" spans="3:6" x14ac:dyDescent="0.25">
      <c r="C2540" s="2" t="s">
        <v>6037</v>
      </c>
      <c r="D2540" s="2" t="s">
        <v>292</v>
      </c>
      <c r="E2540" s="2">
        <v>5</v>
      </c>
      <c r="F2540" s="2">
        <v>122.43</v>
      </c>
    </row>
    <row r="2541" spans="3:6" x14ac:dyDescent="0.25">
      <c r="C2541" s="2" t="s">
        <v>6038</v>
      </c>
      <c r="D2541" s="2" t="s">
        <v>292</v>
      </c>
      <c r="E2541" s="2">
        <v>35</v>
      </c>
      <c r="F2541" s="2">
        <v>870.84</v>
      </c>
    </row>
    <row r="2542" spans="3:6" x14ac:dyDescent="0.25">
      <c r="C2542" s="2" t="s">
        <v>6039</v>
      </c>
      <c r="D2542" s="2" t="s">
        <v>292</v>
      </c>
      <c r="E2542" s="2">
        <v>65</v>
      </c>
      <c r="F2542" s="2">
        <v>1604</v>
      </c>
    </row>
    <row r="2543" spans="3:6" x14ac:dyDescent="0.25">
      <c r="C2543" s="2" t="s">
        <v>6040</v>
      </c>
      <c r="D2543" s="2" t="s">
        <v>292</v>
      </c>
      <c r="E2543" s="2">
        <v>35</v>
      </c>
      <c r="F2543" s="2">
        <v>760</v>
      </c>
    </row>
    <row r="2544" spans="3:6" x14ac:dyDescent="0.25">
      <c r="C2544" s="2" t="s">
        <v>6041</v>
      </c>
      <c r="D2544" s="2" t="s">
        <v>292</v>
      </c>
      <c r="E2544" s="2">
        <v>118</v>
      </c>
      <c r="F2544" s="2">
        <v>2648</v>
      </c>
    </row>
    <row r="2545" spans="3:6" x14ac:dyDescent="0.25">
      <c r="C2545" s="2" t="s">
        <v>6042</v>
      </c>
      <c r="D2545" s="2" t="s">
        <v>292</v>
      </c>
      <c r="E2545" s="2">
        <v>135</v>
      </c>
      <c r="F2545" s="2">
        <v>2832</v>
      </c>
    </row>
    <row r="2546" spans="3:6" x14ac:dyDescent="0.25">
      <c r="C2546" s="2" t="s">
        <v>6043</v>
      </c>
      <c r="D2546" s="2" t="s">
        <v>292</v>
      </c>
      <c r="E2546" s="2">
        <v>141</v>
      </c>
      <c r="F2546" s="2">
        <v>2854</v>
      </c>
    </row>
    <row r="2547" spans="3:6" x14ac:dyDescent="0.25">
      <c r="C2547" s="2" t="s">
        <v>6044</v>
      </c>
      <c r="D2547" s="2" t="s">
        <v>292</v>
      </c>
      <c r="E2547" s="2">
        <v>102</v>
      </c>
      <c r="F2547" s="2">
        <v>2097</v>
      </c>
    </row>
    <row r="2548" spans="3:6" x14ac:dyDescent="0.25">
      <c r="C2548" s="2" t="s">
        <v>6045</v>
      </c>
      <c r="D2548" s="2" t="s">
        <v>292</v>
      </c>
      <c r="E2548" s="2">
        <v>102</v>
      </c>
      <c r="F2548" s="2">
        <v>2135.45</v>
      </c>
    </row>
    <row r="2549" spans="3:6" x14ac:dyDescent="0.25">
      <c r="C2549" s="2" t="s">
        <v>6046</v>
      </c>
      <c r="D2549" s="2" t="s">
        <v>292</v>
      </c>
      <c r="E2549" s="2">
        <v>102</v>
      </c>
      <c r="F2549" s="2">
        <v>2022.44</v>
      </c>
    </row>
    <row r="2550" spans="3:6" x14ac:dyDescent="0.25">
      <c r="C2550" s="2" t="s">
        <v>6047</v>
      </c>
      <c r="D2550" s="2" t="s">
        <v>292</v>
      </c>
      <c r="E2550" s="2">
        <v>141</v>
      </c>
      <c r="F2550" s="2">
        <v>2985.788</v>
      </c>
    </row>
    <row r="2551" spans="3:6" x14ac:dyDescent="0.25">
      <c r="C2551" s="2" t="s">
        <v>6048</v>
      </c>
      <c r="D2551" s="2" t="s">
        <v>292</v>
      </c>
      <c r="E2551" s="2">
        <v>141</v>
      </c>
      <c r="F2551" s="2">
        <v>2989.53</v>
      </c>
    </row>
    <row r="2552" spans="3:6" x14ac:dyDescent="0.25">
      <c r="C2552" s="2" t="s">
        <v>6049</v>
      </c>
      <c r="D2552" s="2" t="s">
        <v>292</v>
      </c>
      <c r="E2552" s="2">
        <v>102</v>
      </c>
      <c r="F2552" s="2">
        <v>2006.509</v>
      </c>
    </row>
    <row r="2553" spans="3:6" x14ac:dyDescent="0.25">
      <c r="C2553" s="2" t="s">
        <v>6050</v>
      </c>
      <c r="D2553" s="2" t="s">
        <v>292</v>
      </c>
      <c r="E2553" s="2">
        <v>102</v>
      </c>
      <c r="F2553" s="2">
        <v>2044.87</v>
      </c>
    </row>
    <row r="2555" spans="1:7" x14ac:dyDescent="0.25">
      <c r="A2555" s="1">
        <v>46193</v>
      </c>
      <c r="B2555" s="2" t="s">
        <v>290</v>
      </c>
      <c r="C2555" s="2" t="s">
        <v>6051</v>
      </c>
      <c r="D2555" s="2" t="s">
        <v>178</v>
      </c>
      <c r="E2555" s="2">
        <v>123</v>
      </c>
      <c r="F2555" s="2">
        <v>2515.66</v>
      </c>
      <c r="G2555" s="1">
        <v>46193</v>
      </c>
    </row>
    <row r="2556" spans="3:6" x14ac:dyDescent="0.25">
      <c r="C2556" s="2" t="s">
        <v>6052</v>
      </c>
      <c r="D2556" s="2" t="s">
        <v>178</v>
      </c>
      <c r="E2556" s="2">
        <v>124</v>
      </c>
      <c r="F2556" s="2">
        <v>2511.86</v>
      </c>
    </row>
    <row r="2557" spans="3:6" x14ac:dyDescent="0.25">
      <c r="C2557" s="2" t="s">
        <v>6053</v>
      </c>
      <c r="D2557" s="2" t="s">
        <v>178</v>
      </c>
      <c r="E2557" s="2">
        <v>123</v>
      </c>
      <c r="F2557" s="2">
        <v>2428.309</v>
      </c>
    </row>
    <row r="2558" spans="3:6" x14ac:dyDescent="0.25">
      <c r="C2558" s="2" t="s">
        <v>6054</v>
      </c>
      <c r="D2558" s="2" t="s">
        <v>178</v>
      </c>
      <c r="E2558" s="2">
        <v>134</v>
      </c>
      <c r="F2558" s="2">
        <v>2548.079</v>
      </c>
    </row>
    <row r="2559" spans="3:6" x14ac:dyDescent="0.25">
      <c r="C2559" s="2" t="s">
        <v>6055</v>
      </c>
      <c r="D2559" s="2" t="s">
        <v>178</v>
      </c>
      <c r="E2559" s="2">
        <v>46</v>
      </c>
      <c r="F2559" s="2">
        <v>880.339</v>
      </c>
    </row>
    <row r="2560" spans="3:6" x14ac:dyDescent="0.25">
      <c r="C2560" s="2" t="s">
        <v>6056</v>
      </c>
      <c r="D2560" s="2" t="s">
        <v>178</v>
      </c>
      <c r="E2560" s="2">
        <v>29</v>
      </c>
      <c r="F2560" s="2">
        <v>569.399</v>
      </c>
    </row>
    <row r="2561" spans="3:6" x14ac:dyDescent="0.25">
      <c r="C2561" s="2" t="s">
        <v>6057</v>
      </c>
      <c r="D2561" s="2" t="s">
        <v>178</v>
      </c>
      <c r="E2561" s="2">
        <v>60</v>
      </c>
      <c r="F2561" s="2">
        <v>258.39</v>
      </c>
    </row>
    <row r="2562" spans="3:6" x14ac:dyDescent="0.25">
      <c r="C2562" s="2" t="s">
        <v>6058</v>
      </c>
      <c r="D2562" s="2" t="s">
        <v>178</v>
      </c>
      <c r="E2562" s="2">
        <v>102</v>
      </c>
      <c r="F2562" s="2">
        <v>2116.27</v>
      </c>
    </row>
    <row r="2563" spans="3:6" x14ac:dyDescent="0.25">
      <c r="C2563" s="2" t="s">
        <v>6059</v>
      </c>
      <c r="D2563" s="2" t="s">
        <v>178</v>
      </c>
      <c r="E2563" s="2">
        <v>141</v>
      </c>
      <c r="F2563" s="2">
        <v>2844.73</v>
      </c>
    </row>
    <row r="2564" spans="3:6" x14ac:dyDescent="0.25">
      <c r="C2564" s="2" t="s">
        <v>6060</v>
      </c>
      <c r="D2564" s="2" t="s">
        <v>178</v>
      </c>
      <c r="E2564" s="2">
        <v>123</v>
      </c>
      <c r="F2564" s="2">
        <v>2531.87</v>
      </c>
    </row>
    <row r="2565" spans="3:6" x14ac:dyDescent="0.25">
      <c r="C2565" s="2" t="s">
        <v>6061</v>
      </c>
      <c r="D2565" s="2" t="s">
        <v>178</v>
      </c>
      <c r="E2565" s="2">
        <v>141</v>
      </c>
      <c r="F2565" s="2">
        <v>2883.46</v>
      </c>
    </row>
    <row r="2566" spans="3:6" x14ac:dyDescent="0.25">
      <c r="C2566" s="2" t="s">
        <v>6062</v>
      </c>
      <c r="D2566" s="2" t="s">
        <v>178</v>
      </c>
      <c r="E2566" s="2">
        <v>141</v>
      </c>
      <c r="F2566" s="2">
        <v>2811.63</v>
      </c>
    </row>
    <row r="2567" spans="3:6" x14ac:dyDescent="0.25">
      <c r="C2567" s="2" t="s">
        <v>6063</v>
      </c>
      <c r="D2567" s="2" t="s">
        <v>178</v>
      </c>
      <c r="E2567" s="2">
        <v>141</v>
      </c>
      <c r="F2567" s="2">
        <v>2878.36</v>
      </c>
    </row>
    <row r="2568" spans="3:6" x14ac:dyDescent="0.25">
      <c r="C2568" s="2" t="s">
        <v>6064</v>
      </c>
      <c r="D2568" s="2" t="s">
        <v>178</v>
      </c>
      <c r="E2568" s="2">
        <v>141</v>
      </c>
      <c r="F2568" s="2">
        <v>2931.92</v>
      </c>
    </row>
    <row r="2569" spans="3:6" x14ac:dyDescent="0.25">
      <c r="C2569" s="2" t="s">
        <v>6065</v>
      </c>
      <c r="D2569" s="2" t="s">
        <v>178</v>
      </c>
      <c r="E2569" s="2">
        <v>102</v>
      </c>
      <c r="F2569" s="2">
        <v>2102.53</v>
      </c>
    </row>
    <row r="2570" spans="3:6" x14ac:dyDescent="0.25">
      <c r="C2570" s="2" t="s">
        <v>6066</v>
      </c>
      <c r="D2570" s="2" t="s">
        <v>178</v>
      </c>
      <c r="E2570" s="2">
        <v>141</v>
      </c>
      <c r="F2570" s="2">
        <v>2891.76</v>
      </c>
    </row>
    <row r="2571" spans="3:6" x14ac:dyDescent="0.25">
      <c r="C2571" s="2" t="s">
        <v>6067</v>
      </c>
      <c r="D2571" s="2" t="s">
        <v>178</v>
      </c>
      <c r="E2571" s="2">
        <v>141</v>
      </c>
      <c r="F2571" s="2">
        <v>2845.509</v>
      </c>
    </row>
    <row r="2572" spans="3:6" x14ac:dyDescent="0.25">
      <c r="C2572" s="2" t="s">
        <v>6068</v>
      </c>
      <c r="D2572" s="2" t="s">
        <v>178</v>
      </c>
      <c r="E2572" s="2">
        <v>142</v>
      </c>
      <c r="F2572" s="2">
        <v>2793.94</v>
      </c>
    </row>
    <row r="2573" spans="3:6" x14ac:dyDescent="0.25">
      <c r="C2573" s="2" t="s">
        <v>6069</v>
      </c>
      <c r="D2573" s="2" t="s">
        <v>178</v>
      </c>
      <c r="E2573" s="2">
        <v>60</v>
      </c>
      <c r="F2573" s="2">
        <v>258.46</v>
      </c>
    </row>
    <row r="2574" spans="3:6" x14ac:dyDescent="0.25">
      <c r="C2574" s="2" t="s">
        <v>6070</v>
      </c>
      <c r="D2574" s="2" t="s">
        <v>178</v>
      </c>
      <c r="E2574" s="2">
        <v>60</v>
      </c>
      <c r="F2574" s="2">
        <v>250.699</v>
      </c>
    </row>
    <row r="2575" spans="3:6" x14ac:dyDescent="0.25">
      <c r="C2575" s="2" t="s">
        <v>6071</v>
      </c>
      <c r="D2575" s="2" t="s">
        <v>178</v>
      </c>
      <c r="E2575" s="2">
        <v>141</v>
      </c>
      <c r="F2575" s="2">
        <v>2870.979</v>
      </c>
    </row>
    <row r="2576" spans="3:6" x14ac:dyDescent="0.25">
      <c r="C2576" s="2" t="s">
        <v>6072</v>
      </c>
      <c r="D2576" s="2" t="s">
        <v>178</v>
      </c>
      <c r="E2576" s="2">
        <v>141</v>
      </c>
      <c r="F2576" s="2">
        <v>2796.34</v>
      </c>
    </row>
    <row r="2577" spans="3:6" x14ac:dyDescent="0.25">
      <c r="C2577" s="2" t="s">
        <v>6073</v>
      </c>
      <c r="D2577" s="2" t="s">
        <v>178</v>
      </c>
      <c r="E2577" s="2">
        <v>141</v>
      </c>
      <c r="F2577" s="2">
        <v>2893.92</v>
      </c>
    </row>
    <row r="2578" spans="3:6" x14ac:dyDescent="0.25">
      <c r="C2578" s="2" t="s">
        <v>6074</v>
      </c>
      <c r="D2578" s="2" t="s">
        <v>178</v>
      </c>
      <c r="E2578" s="2">
        <v>102</v>
      </c>
      <c r="F2578" s="2">
        <v>1990.07</v>
      </c>
    </row>
    <row r="2579" spans="3:6" x14ac:dyDescent="0.25">
      <c r="C2579" s="2" t="s">
        <v>6075</v>
      </c>
      <c r="D2579" s="2" t="s">
        <v>178</v>
      </c>
      <c r="E2579" s="2">
        <v>141</v>
      </c>
      <c r="F2579" s="2">
        <v>2873.82</v>
      </c>
    </row>
    <row r="2580" spans="3:6" x14ac:dyDescent="0.25">
      <c r="C2580" s="2" t="s">
        <v>6076</v>
      </c>
      <c r="D2580" s="2" t="s">
        <v>178</v>
      </c>
      <c r="E2580" s="2">
        <v>141</v>
      </c>
      <c r="F2580" s="2">
        <v>2912.449</v>
      </c>
    </row>
    <row r="2581" spans="3:6" x14ac:dyDescent="0.25">
      <c r="C2581" s="2" t="s">
        <v>6077</v>
      </c>
      <c r="D2581" s="2" t="s">
        <v>178</v>
      </c>
      <c r="E2581" s="2">
        <v>141</v>
      </c>
      <c r="F2581" s="2">
        <v>2885.1</v>
      </c>
    </row>
    <row r="2582" spans="3:6" x14ac:dyDescent="0.25">
      <c r="C2582" s="2" t="s">
        <v>6078</v>
      </c>
      <c r="D2582" s="2" t="s">
        <v>178</v>
      </c>
      <c r="E2582" s="2">
        <v>142</v>
      </c>
      <c r="F2582" s="2">
        <v>2892.989</v>
      </c>
    </row>
    <row r="2583" spans="3:6" x14ac:dyDescent="0.25">
      <c r="C2583" s="2" t="s">
        <v>6079</v>
      </c>
      <c r="D2583" s="2" t="s">
        <v>178</v>
      </c>
      <c r="E2583" s="2">
        <v>51</v>
      </c>
      <c r="F2583" s="2">
        <v>1053.7</v>
      </c>
    </row>
    <row r="2584" spans="3:6" x14ac:dyDescent="0.25">
      <c r="C2584" s="2" t="s">
        <v>6080</v>
      </c>
      <c r="D2584" s="2" t="s">
        <v>178</v>
      </c>
      <c r="E2584" s="2">
        <v>51</v>
      </c>
      <c r="F2584" s="2">
        <v>1069.05</v>
      </c>
    </row>
    <row r="2585" spans="3:6" x14ac:dyDescent="0.25">
      <c r="C2585" s="2" t="s">
        <v>6081</v>
      </c>
      <c r="D2585" s="2" t="s">
        <v>178</v>
      </c>
      <c r="E2585" s="2">
        <v>107</v>
      </c>
      <c r="F2585" s="2">
        <v>2193.23</v>
      </c>
    </row>
    <row r="2586" spans="3:6" x14ac:dyDescent="0.25">
      <c r="C2586" s="2" t="s">
        <v>6082</v>
      </c>
      <c r="D2586" s="2" t="s">
        <v>178</v>
      </c>
      <c r="E2586" s="2">
        <v>36</v>
      </c>
      <c r="F2586" s="2">
        <v>540.23</v>
      </c>
    </row>
    <row r="2587" spans="3:6" x14ac:dyDescent="0.25">
      <c r="C2587" s="2" t="s">
        <v>6083</v>
      </c>
      <c r="D2587" s="2" t="s">
        <v>178</v>
      </c>
      <c r="E2587" s="2">
        <v>97</v>
      </c>
      <c r="F2587" s="2">
        <v>1870.33</v>
      </c>
    </row>
    <row r="2588" spans="3:6" x14ac:dyDescent="0.25">
      <c r="C2588" s="2" t="s">
        <v>6084</v>
      </c>
      <c r="D2588" s="2" t="s">
        <v>178</v>
      </c>
      <c r="E2588" s="2">
        <v>45</v>
      </c>
      <c r="F2588" s="2">
        <v>798</v>
      </c>
    </row>
    <row r="2589" spans="3:6" x14ac:dyDescent="0.25">
      <c r="C2589" s="2" t="s">
        <v>6085</v>
      </c>
      <c r="D2589" s="2" t="s">
        <v>178</v>
      </c>
      <c r="E2589" s="2">
        <v>102</v>
      </c>
      <c r="F2589" s="2">
        <v>2092.81</v>
      </c>
    </row>
    <row r="2590" spans="3:6" x14ac:dyDescent="0.25">
      <c r="C2590" s="2" t="s">
        <v>6086</v>
      </c>
      <c r="D2590" s="2" t="s">
        <v>178</v>
      </c>
      <c r="E2590" s="2">
        <v>52</v>
      </c>
      <c r="F2590" s="2">
        <v>1042.95</v>
      </c>
    </row>
    <row r="2591" spans="3:6" x14ac:dyDescent="0.25">
      <c r="C2591" s="2" t="s">
        <v>6087</v>
      </c>
      <c r="D2591" s="2" t="s">
        <v>178</v>
      </c>
      <c r="E2591" s="2">
        <v>51</v>
      </c>
      <c r="F2591" s="2">
        <v>965.379</v>
      </c>
    </row>
    <row r="2592" spans="3:6" x14ac:dyDescent="0.25">
      <c r="C2592" s="2" t="s">
        <v>6088</v>
      </c>
      <c r="D2592" s="2" t="s">
        <v>178</v>
      </c>
      <c r="E2592" s="2">
        <v>52</v>
      </c>
      <c r="F2592" s="2">
        <v>1062.9</v>
      </c>
    </row>
    <row r="2593" spans="3:6" x14ac:dyDescent="0.25">
      <c r="C2593" s="2" t="s">
        <v>6089</v>
      </c>
      <c r="D2593" s="2" t="s">
        <v>178</v>
      </c>
      <c r="E2593" s="2">
        <v>50</v>
      </c>
      <c r="F2593" s="2">
        <v>1046.2</v>
      </c>
    </row>
    <row r="2595" spans="1:7" x14ac:dyDescent="0.25">
      <c r="A2595" s="1">
        <v>46192</v>
      </c>
      <c r="B2595" s="2" t="s">
        <v>989</v>
      </c>
      <c r="C2595" s="2" t="s">
        <v>6090</v>
      </c>
      <c r="D2595" s="2" t="s">
        <v>9</v>
      </c>
      <c r="E2595" s="2">
        <v>156</v>
      </c>
      <c r="F2595" s="2">
        <v>3111.815</v>
      </c>
      <c r="G2595" s="1">
        <v>46193</v>
      </c>
    </row>
    <row r="2596" spans="3:6" x14ac:dyDescent="0.25">
      <c r="C2596" s="2" t="s">
        <v>6091</v>
      </c>
      <c r="D2596" s="2" t="s">
        <v>9</v>
      </c>
      <c r="E2596" s="2">
        <v>156</v>
      </c>
      <c r="F2596" s="2">
        <v>2952.585</v>
      </c>
    </row>
    <row r="2597" spans="3:6" x14ac:dyDescent="0.25">
      <c r="C2597" s="2" t="s">
        <v>6092</v>
      </c>
      <c r="D2597" s="2" t="s">
        <v>9</v>
      </c>
      <c r="E2597" s="2">
        <v>98</v>
      </c>
      <c r="F2597" s="2">
        <v>1635.26</v>
      </c>
    </row>
    <row r="2599" spans="1:7" x14ac:dyDescent="0.25">
      <c r="A2599" s="1">
        <v>46192</v>
      </c>
      <c r="B2599" s="2" t="s">
        <v>7</v>
      </c>
      <c r="C2599" s="2" t="s">
        <v>6093</v>
      </c>
      <c r="D2599" s="2" t="s">
        <v>9</v>
      </c>
      <c r="E2599" s="2">
        <v>97</v>
      </c>
      <c r="F2599" s="2">
        <v>1924.39</v>
      </c>
      <c r="G2599" s="1">
        <v>46193</v>
      </c>
    </row>
    <row r="2600" spans="3:6" x14ac:dyDescent="0.25">
      <c r="C2600" s="2" t="s">
        <v>6094</v>
      </c>
      <c r="D2600" s="2" t="s">
        <v>9</v>
      </c>
      <c r="E2600" s="2">
        <v>87</v>
      </c>
      <c r="F2600" s="2">
        <v>1819.56</v>
      </c>
    </row>
    <row r="2602" spans="1:7" x14ac:dyDescent="0.25">
      <c r="A2602" s="1">
        <v>46192</v>
      </c>
      <c r="B2602" s="2" t="s">
        <v>6095</v>
      </c>
      <c r="C2602" s="2" t="s">
        <v>6096</v>
      </c>
      <c r="D2602" s="2" t="s">
        <v>3848</v>
      </c>
      <c r="E2602" s="2">
        <v>56</v>
      </c>
      <c r="F2602" s="2">
        <v>1966.889</v>
      </c>
      <c r="G2602" s="1">
        <v>46193</v>
      </c>
    </row>
    <row r="2604" spans="1:7" x14ac:dyDescent="0.25">
      <c r="A2604" s="1">
        <v>46192</v>
      </c>
      <c r="B2604" s="2" t="s">
        <v>420</v>
      </c>
      <c r="C2604" s="2" t="s">
        <v>6097</v>
      </c>
      <c r="D2604" s="2" t="s">
        <v>59</v>
      </c>
      <c r="E2604" s="2">
        <v>100</v>
      </c>
      <c r="F2604" s="2">
        <v>1776.648</v>
      </c>
      <c r="G2604" s="1">
        <v>46193</v>
      </c>
    </row>
    <row r="2605" spans="3:6" x14ac:dyDescent="0.25">
      <c r="C2605" s="2" t="s">
        <v>6098</v>
      </c>
      <c r="D2605" s="2" t="s">
        <v>59</v>
      </c>
      <c r="E2605" s="2">
        <v>105</v>
      </c>
      <c r="F2605" s="2">
        <v>2161.73</v>
      </c>
    </row>
    <row r="2606" spans="3:6" x14ac:dyDescent="0.25">
      <c r="C2606" s="2" t="s">
        <v>6099</v>
      </c>
      <c r="D2606" s="2" t="s">
        <v>59</v>
      </c>
      <c r="E2606" s="2">
        <v>163</v>
      </c>
      <c r="F2606" s="2">
        <v>3192.34</v>
      </c>
    </row>
    <row r="2607" spans="3:6" x14ac:dyDescent="0.25">
      <c r="C2607" s="2" t="s">
        <v>6100</v>
      </c>
      <c r="D2607" s="2" t="s">
        <v>59</v>
      </c>
      <c r="E2607" s="2">
        <v>105</v>
      </c>
      <c r="F2607" s="2">
        <v>2005.369</v>
      </c>
    </row>
    <row r="2608" spans="3:6" x14ac:dyDescent="0.25">
      <c r="C2608" s="2" t="s">
        <v>6101</v>
      </c>
      <c r="D2608" s="2" t="s">
        <v>59</v>
      </c>
      <c r="E2608" s="2">
        <v>105</v>
      </c>
      <c r="F2608" s="2">
        <v>2056.279</v>
      </c>
    </row>
    <row r="2609" spans="3:6" x14ac:dyDescent="0.25">
      <c r="C2609" s="2" t="s">
        <v>6102</v>
      </c>
      <c r="D2609" s="2" t="s">
        <v>59</v>
      </c>
      <c r="E2609" s="2">
        <v>163</v>
      </c>
      <c r="F2609" s="2">
        <v>3235.42</v>
      </c>
    </row>
    <row r="2610" spans="3:6" x14ac:dyDescent="0.25">
      <c r="C2610" s="2" t="s">
        <v>6103</v>
      </c>
      <c r="D2610" s="2" t="s">
        <v>59</v>
      </c>
      <c r="E2610" s="2">
        <v>131</v>
      </c>
      <c r="F2610" s="2">
        <v>2773.62</v>
      </c>
    </row>
    <row r="2611" spans="3:6" x14ac:dyDescent="0.25">
      <c r="C2611" s="2" t="s">
        <v>6104</v>
      </c>
      <c r="D2611" s="2" t="s">
        <v>59</v>
      </c>
      <c r="E2611" s="2">
        <v>243</v>
      </c>
      <c r="F2611" s="2">
        <v>4410.505</v>
      </c>
    </row>
    <row r="2612" spans="3:6" x14ac:dyDescent="0.25">
      <c r="C2612" s="2" t="s">
        <v>6105</v>
      </c>
      <c r="D2612" s="2" t="s">
        <v>59</v>
      </c>
      <c r="E2612" s="2">
        <v>163</v>
      </c>
      <c r="F2612" s="2">
        <v>3066.11</v>
      </c>
    </row>
    <row r="2613" spans="3:6" x14ac:dyDescent="0.25">
      <c r="C2613" s="2" t="s">
        <v>6106</v>
      </c>
      <c r="D2613" s="2" t="s">
        <v>59</v>
      </c>
      <c r="E2613" s="2">
        <v>105</v>
      </c>
      <c r="F2613" s="2">
        <v>1997.009</v>
      </c>
    </row>
    <row r="2615" spans="1:7" x14ac:dyDescent="0.25">
      <c r="A2615" s="1">
        <v>46192</v>
      </c>
      <c r="B2615" s="2" t="s">
        <v>1626</v>
      </c>
      <c r="C2615" s="2" t="s">
        <v>6107</v>
      </c>
      <c r="D2615" s="2" t="s">
        <v>59</v>
      </c>
      <c r="E2615" s="2">
        <v>149</v>
      </c>
      <c r="F2615" s="2">
        <v>2723.44</v>
      </c>
      <c r="G2615" s="1">
        <v>46193</v>
      </c>
    </row>
    <row r="2616" spans="3:6" x14ac:dyDescent="0.25">
      <c r="C2616" s="2" t="s">
        <v>6108</v>
      </c>
      <c r="D2616" s="2" t="s">
        <v>59</v>
      </c>
      <c r="E2616" s="2">
        <v>102</v>
      </c>
      <c r="F2616" s="2">
        <v>2016.098</v>
      </c>
    </row>
    <row r="2617" spans="3:6" x14ac:dyDescent="0.25">
      <c r="C2617" s="2" t="s">
        <v>6109</v>
      </c>
      <c r="D2617" s="2" t="s">
        <v>59</v>
      </c>
      <c r="E2617" s="2">
        <v>149</v>
      </c>
      <c r="F2617" s="2">
        <v>2827.729</v>
      </c>
    </row>
    <row r="2618" spans="3:6" x14ac:dyDescent="0.25">
      <c r="C2618" s="2" t="s">
        <v>6110</v>
      </c>
      <c r="D2618" s="2" t="s">
        <v>59</v>
      </c>
      <c r="E2618" s="2">
        <v>197</v>
      </c>
      <c r="F2618" s="2">
        <v>4005.559</v>
      </c>
    </row>
    <row r="2620" spans="1:7" x14ac:dyDescent="0.25">
      <c r="A2620" s="1">
        <v>46192</v>
      </c>
      <c r="B2620" s="2" t="s">
        <v>68</v>
      </c>
      <c r="C2620" s="2" t="s">
        <v>6111</v>
      </c>
      <c r="D2620" s="2" t="s">
        <v>3848</v>
      </c>
      <c r="E2620" s="2">
        <v>127</v>
      </c>
      <c r="F2620" s="2">
        <f>214.45+2440.828</f>
        <v>2655.278</v>
      </c>
      <c r="G2620" s="1">
        <v>46193</v>
      </c>
    </row>
    <row r="2621" spans="3:6" x14ac:dyDescent="0.25">
      <c r="C2621" s="2" t="s">
        <v>6112</v>
      </c>
      <c r="D2621" s="2" t="s">
        <v>3848</v>
      </c>
      <c r="E2621" s="2">
        <v>6</v>
      </c>
      <c r="F2621" s="2">
        <f>132.63+1288.959</f>
        <v>1421.589</v>
      </c>
    </row>
    <row r="2623" spans="1:7" x14ac:dyDescent="0.25">
      <c r="A2623" s="1">
        <v>46192</v>
      </c>
      <c r="B2623" s="2" t="s">
        <v>664</v>
      </c>
      <c r="C2623" s="2" t="s">
        <v>6113</v>
      </c>
      <c r="D2623" s="2" t="s">
        <v>136</v>
      </c>
      <c r="E2623" s="2">
        <v>139</v>
      </c>
      <c r="F2623" s="2">
        <v>2805.53</v>
      </c>
      <c r="G2623" s="1">
        <v>46193</v>
      </c>
    </row>
    <row r="2625" spans="1:7" x14ac:dyDescent="0.25">
      <c r="A2625" s="1">
        <v>46192</v>
      </c>
      <c r="B2625" s="2" t="s">
        <v>666</v>
      </c>
      <c r="C2625" s="2" t="s">
        <v>6114</v>
      </c>
      <c r="D2625" s="2" t="s">
        <v>82</v>
      </c>
      <c r="E2625" s="2">
        <v>141</v>
      </c>
      <c r="F2625" s="2">
        <v>2892.709</v>
      </c>
      <c r="G2625" s="1">
        <v>46193</v>
      </c>
    </row>
    <row r="2627" spans="1:7" x14ac:dyDescent="0.25">
      <c r="A2627" s="1">
        <v>46193</v>
      </c>
      <c r="B2627" s="2" t="s">
        <v>4321</v>
      </c>
      <c r="C2627" s="2" t="s">
        <v>6115</v>
      </c>
      <c r="D2627" s="2" t="s">
        <v>4096</v>
      </c>
      <c r="E2627" s="2">
        <v>91</v>
      </c>
      <c r="F2627" s="2">
        <v>1890.28</v>
      </c>
      <c r="G2627" s="1">
        <v>46193</v>
      </c>
    </row>
    <row r="2628" spans="3:6" x14ac:dyDescent="0.25">
      <c r="C2628" s="2" t="s">
        <v>6116</v>
      </c>
      <c r="D2628" s="2" t="s">
        <v>4096</v>
      </c>
      <c r="E2628" s="2">
        <v>65</v>
      </c>
      <c r="F2628" s="2">
        <v>1350.31</v>
      </c>
    </row>
    <row r="2629" spans="3:6" x14ac:dyDescent="0.25">
      <c r="C2629" s="2" t="s">
        <v>6117</v>
      </c>
      <c r="D2629" s="2" t="s">
        <v>4096</v>
      </c>
      <c r="E2629" s="2">
        <v>16</v>
      </c>
      <c r="F2629" s="2">
        <v>527.31</v>
      </c>
    </row>
    <row r="2630" spans="3:6" x14ac:dyDescent="0.25">
      <c r="C2630" s="2" t="s">
        <v>6118</v>
      </c>
      <c r="D2630" s="2" t="s">
        <v>4096</v>
      </c>
      <c r="E2630" s="2">
        <v>32</v>
      </c>
      <c r="F2630" s="2">
        <v>672.89</v>
      </c>
    </row>
    <row r="2631" spans="3:6" x14ac:dyDescent="0.25">
      <c r="C2631" s="2" t="s">
        <v>6119</v>
      </c>
      <c r="D2631" s="2" t="s">
        <v>4096</v>
      </c>
      <c r="E2631" s="2">
        <v>35</v>
      </c>
      <c r="F2631" s="2">
        <v>706.089</v>
      </c>
    </row>
    <row r="2632" spans="3:6" x14ac:dyDescent="0.25">
      <c r="C2632" s="2" t="s">
        <v>6120</v>
      </c>
      <c r="D2632" s="2" t="s">
        <v>4096</v>
      </c>
      <c r="E2632" s="2">
        <v>27</v>
      </c>
      <c r="F2632" s="2">
        <v>507.06</v>
      </c>
    </row>
    <row r="2634" spans="1:7" x14ac:dyDescent="0.25">
      <c r="A2634" s="1">
        <v>46193</v>
      </c>
      <c r="B2634" s="2" t="s">
        <v>3479</v>
      </c>
      <c r="C2634" s="2" t="s">
        <v>6121</v>
      </c>
      <c r="D2634" s="2" t="s">
        <v>82</v>
      </c>
      <c r="E2634" s="2">
        <v>85</v>
      </c>
      <c r="F2634" s="2">
        <v>1671.04</v>
      </c>
      <c r="G2634" s="1">
        <v>46193</v>
      </c>
    </row>
    <row r="2635" spans="3:6" x14ac:dyDescent="0.25">
      <c r="C2635" s="2" t="s">
        <v>6122</v>
      </c>
      <c r="D2635" s="2" t="s">
        <v>82</v>
      </c>
      <c r="E2635" s="2">
        <v>28</v>
      </c>
      <c r="F2635" s="2">
        <v>971.83</v>
      </c>
    </row>
    <row r="2636" spans="3:6" x14ac:dyDescent="0.25">
      <c r="C2636" s="2" t="s">
        <v>6123</v>
      </c>
      <c r="D2636" s="2" t="s">
        <v>82</v>
      </c>
      <c r="E2636" s="2">
        <v>11</v>
      </c>
      <c r="F2636" s="2">
        <v>218.61</v>
      </c>
    </row>
    <row r="2637" spans="3:6" x14ac:dyDescent="0.25">
      <c r="C2637" s="2" t="s">
        <v>6124</v>
      </c>
      <c r="D2637" s="2" t="s">
        <v>82</v>
      </c>
      <c r="E2637" s="2">
        <v>80</v>
      </c>
      <c r="F2637" s="2">
        <v>1972.439</v>
      </c>
    </row>
    <row r="2639" spans="1:7" x14ac:dyDescent="0.25">
      <c r="A2639" s="1">
        <v>46193</v>
      </c>
      <c r="B2639" s="2" t="s">
        <v>1012</v>
      </c>
      <c r="C2639" s="2" t="s">
        <v>6125</v>
      </c>
      <c r="D2639" s="2" t="s">
        <v>73</v>
      </c>
      <c r="E2639" s="2">
        <v>94</v>
      </c>
      <c r="F2639" s="2">
        <v>1885.45</v>
      </c>
      <c r="G2639" s="1">
        <v>46193</v>
      </c>
    </row>
    <row r="2640" spans="3:6" x14ac:dyDescent="0.25">
      <c r="C2640" s="2" t="s">
        <v>6126</v>
      </c>
      <c r="D2640" s="2" t="s">
        <v>73</v>
      </c>
      <c r="E2640" s="2">
        <v>94</v>
      </c>
      <c r="F2640" s="2">
        <v>1846.46</v>
      </c>
    </row>
    <row r="2641" spans="3:6" x14ac:dyDescent="0.25">
      <c r="C2641" s="2" t="s">
        <v>6127</v>
      </c>
      <c r="D2641" s="2" t="s">
        <v>73</v>
      </c>
      <c r="E2641" s="2">
        <v>41</v>
      </c>
      <c r="F2641" s="2">
        <v>717.32</v>
      </c>
    </row>
    <row r="2642" spans="3:6" x14ac:dyDescent="0.25">
      <c r="C2642" s="2" t="s">
        <v>6128</v>
      </c>
      <c r="D2642" s="2" t="s">
        <v>73</v>
      </c>
      <c r="E2642" s="2">
        <v>55</v>
      </c>
      <c r="F2642" s="2">
        <v>973.51</v>
      </c>
    </row>
    <row r="2644" spans="1:7" x14ac:dyDescent="0.25">
      <c r="A2644" s="1">
        <v>46193</v>
      </c>
      <c r="B2644" s="2" t="s">
        <v>71</v>
      </c>
      <c r="C2644" s="2" t="s">
        <v>6129</v>
      </c>
      <c r="D2644" s="2" t="s">
        <v>73</v>
      </c>
      <c r="E2644" s="2">
        <v>88</v>
      </c>
      <c r="F2644" s="2">
        <v>1745.69</v>
      </c>
      <c r="G2644" s="1">
        <v>46193</v>
      </c>
    </row>
    <row r="2645" spans="3:6" x14ac:dyDescent="0.25">
      <c r="C2645" s="2" t="s">
        <v>6130</v>
      </c>
      <c r="D2645" s="2" t="s">
        <v>73</v>
      </c>
      <c r="E2645" s="2">
        <v>100</v>
      </c>
      <c r="F2645" s="2">
        <v>1931.6</v>
      </c>
    </row>
    <row r="2646" spans="3:6" x14ac:dyDescent="0.25">
      <c r="C2646" s="2" t="s">
        <v>6131</v>
      </c>
      <c r="D2646" s="2" t="s">
        <v>73</v>
      </c>
      <c r="E2646" s="2">
        <v>46</v>
      </c>
      <c r="F2646" s="2">
        <v>815.769</v>
      </c>
    </row>
    <row r="2647" spans="3:6" x14ac:dyDescent="0.25">
      <c r="C2647" s="2" t="s">
        <v>6132</v>
      </c>
      <c r="D2647" s="2" t="s">
        <v>73</v>
      </c>
      <c r="E2647" s="2">
        <v>55</v>
      </c>
      <c r="F2647" s="2">
        <v>897.58</v>
      </c>
    </row>
    <row r="2649" spans="1:7" x14ac:dyDescent="0.25">
      <c r="A2649" s="1">
        <v>46193</v>
      </c>
      <c r="B2649" s="2" t="s">
        <v>4335</v>
      </c>
      <c r="C2649" s="2" t="s">
        <v>6133</v>
      </c>
      <c r="D2649" s="2" t="s">
        <v>82</v>
      </c>
      <c r="E2649" s="2">
        <v>123</v>
      </c>
      <c r="F2649" s="2">
        <v>1899.88</v>
      </c>
      <c r="G2649" s="1">
        <v>46193</v>
      </c>
    </row>
    <row r="2650" spans="3:6" x14ac:dyDescent="0.25">
      <c r="C2650" s="2" t="s">
        <v>6134</v>
      </c>
      <c r="D2650" s="2" t="s">
        <v>82</v>
      </c>
      <c r="E2650" s="2">
        <v>123</v>
      </c>
      <c r="F2650" s="2">
        <v>998.777</v>
      </c>
    </row>
    <row r="2651" spans="3:6" x14ac:dyDescent="0.25">
      <c r="C2651" s="2" t="s">
        <v>6135</v>
      </c>
      <c r="D2651" s="2" t="s">
        <v>82</v>
      </c>
      <c r="E2651" s="2">
        <v>123</v>
      </c>
      <c r="F2651" s="2">
        <v>1347.784</v>
      </c>
    </row>
    <row r="2652" spans="3:6" x14ac:dyDescent="0.25">
      <c r="C2652" s="2" t="s">
        <v>6136</v>
      </c>
      <c r="D2652" s="2" t="s">
        <v>82</v>
      </c>
      <c r="E2652" s="2">
        <v>123</v>
      </c>
      <c r="F2652" s="2">
        <v>2174.134</v>
      </c>
    </row>
    <row r="2653" spans="3:6" x14ac:dyDescent="0.25">
      <c r="C2653" s="2" t="s">
        <v>6137</v>
      </c>
      <c r="D2653" s="2" t="s">
        <v>82</v>
      </c>
      <c r="E2653" s="2">
        <v>97</v>
      </c>
      <c r="F2653" s="2">
        <v>2055.56</v>
      </c>
    </row>
    <row r="2654" spans="3:6" x14ac:dyDescent="0.25">
      <c r="C2654" s="2" t="s">
        <v>6138</v>
      </c>
      <c r="D2654" s="2" t="s">
        <v>82</v>
      </c>
      <c r="E2654" s="2">
        <v>24</v>
      </c>
      <c r="F2654" s="2">
        <v>510.59</v>
      </c>
    </row>
    <row r="2655" spans="3:6" x14ac:dyDescent="0.25">
      <c r="C2655" s="2" t="s">
        <v>6139</v>
      </c>
      <c r="D2655" s="2" t="s">
        <v>82</v>
      </c>
      <c r="E2655" s="2">
        <v>69</v>
      </c>
      <c r="F2655" s="2">
        <v>1149.817</v>
      </c>
    </row>
    <row r="2656" spans="3:6" x14ac:dyDescent="0.25">
      <c r="C2656" s="2" t="s">
        <v>6140</v>
      </c>
      <c r="D2656" s="2" t="s">
        <v>82</v>
      </c>
      <c r="E2656" s="2">
        <v>21</v>
      </c>
      <c r="F2656" s="2">
        <v>394.119</v>
      </c>
    </row>
    <row r="2657" spans="3:6" x14ac:dyDescent="0.25">
      <c r="C2657" s="2" t="s">
        <v>6141</v>
      </c>
      <c r="D2657" s="2" t="s">
        <v>82</v>
      </c>
      <c r="E2657" s="2">
        <v>7</v>
      </c>
      <c r="F2657" s="2">
        <v>99.28</v>
      </c>
    </row>
    <row r="2658" spans="3:6" x14ac:dyDescent="0.25">
      <c r="C2658" s="2" t="s">
        <v>6142</v>
      </c>
      <c r="D2658" s="2" t="s">
        <v>82</v>
      </c>
      <c r="E2658" s="2">
        <v>102</v>
      </c>
      <c r="F2658" s="2">
        <v>2155.09</v>
      </c>
    </row>
    <row r="2659" spans="3:6" x14ac:dyDescent="0.25">
      <c r="C2659" s="2" t="s">
        <v>6143</v>
      </c>
      <c r="D2659" s="2" t="s">
        <v>82</v>
      </c>
      <c r="E2659" s="2">
        <v>102</v>
      </c>
      <c r="F2659" s="2">
        <v>2053.279</v>
      </c>
    </row>
    <row r="2660" spans="3:6" x14ac:dyDescent="0.25">
      <c r="C2660" s="2" t="s">
        <v>6144</v>
      </c>
      <c r="D2660" s="2" t="s">
        <v>82</v>
      </c>
      <c r="E2660" s="2">
        <v>102</v>
      </c>
      <c r="F2660" s="2">
        <v>2119.739</v>
      </c>
    </row>
    <row r="2661" spans="3:6" x14ac:dyDescent="0.25">
      <c r="C2661" s="2" t="s">
        <v>6145</v>
      </c>
      <c r="D2661" s="2" t="s">
        <v>82</v>
      </c>
      <c r="E2661" s="2">
        <v>30</v>
      </c>
      <c r="F2661" s="2">
        <v>579.19</v>
      </c>
    </row>
    <row r="2662" spans="3:6" x14ac:dyDescent="0.25">
      <c r="C2662" s="2" t="s">
        <v>6146</v>
      </c>
      <c r="D2662" s="2" t="s">
        <v>82</v>
      </c>
      <c r="E2662" s="2">
        <v>31</v>
      </c>
      <c r="F2662" s="2">
        <v>564.42</v>
      </c>
    </row>
    <row r="2663" spans="3:6" x14ac:dyDescent="0.25">
      <c r="C2663" s="2" t="s">
        <v>6147</v>
      </c>
      <c r="D2663" s="2" t="s">
        <v>82</v>
      </c>
      <c r="E2663" s="2">
        <v>29</v>
      </c>
      <c r="F2663" s="2">
        <v>572.36</v>
      </c>
    </row>
    <row r="2664" spans="3:6" x14ac:dyDescent="0.25">
      <c r="C2664" s="2" t="s">
        <v>6148</v>
      </c>
      <c r="D2664" s="2" t="s">
        <v>82</v>
      </c>
      <c r="E2664" s="2">
        <v>45</v>
      </c>
      <c r="F2664" s="2">
        <v>871.65</v>
      </c>
    </row>
    <row r="2665" spans="3:6" x14ac:dyDescent="0.25">
      <c r="C2665" s="2" t="s">
        <v>6149</v>
      </c>
      <c r="D2665" s="2" t="s">
        <v>82</v>
      </c>
      <c r="E2665" s="2">
        <v>80</v>
      </c>
      <c r="F2665" s="2">
        <v>1596.2</v>
      </c>
    </row>
    <row r="2666" spans="3:6" x14ac:dyDescent="0.25">
      <c r="C2666" s="2" t="s">
        <v>6150</v>
      </c>
      <c r="D2666" s="2" t="s">
        <v>82</v>
      </c>
      <c r="E2666" s="2">
        <v>36</v>
      </c>
      <c r="F2666" s="2">
        <v>704.49</v>
      </c>
    </row>
    <row r="2667" spans="3:6" x14ac:dyDescent="0.25">
      <c r="C2667" s="2" t="s">
        <v>6151</v>
      </c>
      <c r="D2667" s="2" t="s">
        <v>82</v>
      </c>
      <c r="E2667" s="2">
        <v>25</v>
      </c>
      <c r="F2667" s="2">
        <v>485.59</v>
      </c>
    </row>
    <row r="2668" spans="3:6" x14ac:dyDescent="0.25">
      <c r="C2668" s="2" t="s">
        <v>6152</v>
      </c>
      <c r="D2668" s="2" t="s">
        <v>82</v>
      </c>
      <c r="E2668" s="2">
        <v>102</v>
      </c>
      <c r="F2668" s="2">
        <v>2062.5</v>
      </c>
    </row>
    <row r="2669" spans="3:6" x14ac:dyDescent="0.25">
      <c r="C2669" s="2" t="s">
        <v>6153</v>
      </c>
      <c r="D2669" s="2" t="s">
        <v>82</v>
      </c>
      <c r="E2669" s="2">
        <v>65</v>
      </c>
      <c r="F2669" s="2">
        <v>1269.5</v>
      </c>
    </row>
    <row r="2670" spans="3:6" x14ac:dyDescent="0.25">
      <c r="C2670" s="2" t="s">
        <v>6154</v>
      </c>
      <c r="D2670" s="2" t="s">
        <v>82</v>
      </c>
      <c r="E2670" s="2">
        <v>10</v>
      </c>
      <c r="F2670" s="2">
        <v>197.3</v>
      </c>
    </row>
    <row r="2671" spans="3:6" x14ac:dyDescent="0.25">
      <c r="C2671" s="2" t="s">
        <v>6155</v>
      </c>
      <c r="D2671" s="2" t="s">
        <v>82</v>
      </c>
      <c r="E2671" s="2">
        <v>59</v>
      </c>
      <c r="F2671" s="2">
        <v>258.788</v>
      </c>
    </row>
    <row r="2672" spans="3:6" x14ac:dyDescent="0.25">
      <c r="C2672" s="2" t="s">
        <v>6156</v>
      </c>
      <c r="D2672" s="2" t="s">
        <v>82</v>
      </c>
      <c r="E2672" s="2">
        <v>50</v>
      </c>
      <c r="F2672" s="2">
        <v>216.75</v>
      </c>
    </row>
    <row r="2673" spans="3:6" x14ac:dyDescent="0.25">
      <c r="C2673" s="2" t="s">
        <v>6157</v>
      </c>
      <c r="D2673" s="2" t="s">
        <v>82</v>
      </c>
      <c r="E2673" s="2">
        <v>82</v>
      </c>
      <c r="F2673" s="2">
        <v>1560.65</v>
      </c>
    </row>
    <row r="2674" spans="3:6" x14ac:dyDescent="0.25">
      <c r="C2674" s="2" t="s">
        <v>6158</v>
      </c>
      <c r="D2674" s="2" t="s">
        <v>82</v>
      </c>
      <c r="E2674" s="2">
        <v>21</v>
      </c>
      <c r="F2674" s="2">
        <v>438.42</v>
      </c>
    </row>
    <row r="2675" spans="3:6" x14ac:dyDescent="0.25">
      <c r="C2675" s="2" t="s">
        <v>6159</v>
      </c>
      <c r="D2675" s="2" t="s">
        <v>82</v>
      </c>
      <c r="E2675" s="2">
        <v>20</v>
      </c>
      <c r="F2675" s="2">
        <v>383.82</v>
      </c>
    </row>
    <row r="2676" spans="3:6" x14ac:dyDescent="0.25">
      <c r="C2676" s="2" t="s">
        <v>6160</v>
      </c>
      <c r="D2676" s="2" t="s">
        <v>82</v>
      </c>
      <c r="E2676" s="2">
        <v>80</v>
      </c>
      <c r="F2676" s="2">
        <v>1573.07</v>
      </c>
    </row>
    <row r="2677" spans="3:6" x14ac:dyDescent="0.25">
      <c r="C2677" s="2" t="s">
        <v>6161</v>
      </c>
      <c r="D2677" s="2" t="s">
        <v>82</v>
      </c>
      <c r="E2677" s="2">
        <v>21</v>
      </c>
      <c r="F2677" s="2">
        <v>428.06</v>
      </c>
    </row>
    <row r="2678" spans="3:6" x14ac:dyDescent="0.25">
      <c r="C2678" s="2" t="s">
        <v>6162</v>
      </c>
      <c r="D2678" s="2" t="s">
        <v>82</v>
      </c>
      <c r="E2678" s="2">
        <v>20</v>
      </c>
      <c r="F2678" s="2">
        <v>401.49</v>
      </c>
    </row>
    <row r="2679" spans="3:6" x14ac:dyDescent="0.25">
      <c r="C2679" s="2" t="s">
        <v>6163</v>
      </c>
      <c r="D2679" s="2" t="s">
        <v>82</v>
      </c>
      <c r="E2679" s="2">
        <v>80</v>
      </c>
      <c r="F2679" s="2">
        <v>1565.78</v>
      </c>
    </row>
    <row r="2680" spans="3:6" x14ac:dyDescent="0.25">
      <c r="C2680" s="2" t="s">
        <v>6164</v>
      </c>
      <c r="D2680" s="2" t="s">
        <v>82</v>
      </c>
      <c r="E2680" s="2">
        <v>41</v>
      </c>
      <c r="F2680" s="2">
        <v>868.09</v>
      </c>
    </row>
    <row r="2681" spans="3:6" x14ac:dyDescent="0.25">
      <c r="C2681" s="2" t="s">
        <v>6165</v>
      </c>
      <c r="D2681" s="2" t="s">
        <v>82</v>
      </c>
      <c r="E2681" s="2">
        <v>90</v>
      </c>
      <c r="F2681" s="2">
        <v>1849.52</v>
      </c>
    </row>
    <row r="2682" spans="3:6" x14ac:dyDescent="0.25">
      <c r="C2682" s="2" t="s">
        <v>6166</v>
      </c>
      <c r="D2682" s="2" t="s">
        <v>82</v>
      </c>
      <c r="E2682" s="2">
        <v>38</v>
      </c>
      <c r="F2682" s="2">
        <v>783.939</v>
      </c>
    </row>
    <row r="2683" spans="3:6" x14ac:dyDescent="0.25">
      <c r="C2683" s="2" t="s">
        <v>6167</v>
      </c>
      <c r="D2683" s="2" t="s">
        <v>82</v>
      </c>
      <c r="E2683" s="2">
        <v>13</v>
      </c>
      <c r="F2683" s="2">
        <v>243.16</v>
      </c>
    </row>
    <row r="2684" spans="3:6" x14ac:dyDescent="0.25">
      <c r="C2684" s="2" t="s">
        <v>6168</v>
      </c>
      <c r="D2684" s="2" t="s">
        <v>82</v>
      </c>
      <c r="E2684" s="2">
        <v>71</v>
      </c>
      <c r="F2684" s="2">
        <v>1325.02</v>
      </c>
    </row>
    <row r="2685" spans="3:6" x14ac:dyDescent="0.25">
      <c r="C2685" s="2" t="s">
        <v>6169</v>
      </c>
      <c r="D2685" s="2" t="s">
        <v>82</v>
      </c>
      <c r="E2685" s="2">
        <v>26</v>
      </c>
      <c r="F2685" s="2">
        <v>321.379</v>
      </c>
    </row>
    <row r="2686" spans="3:6" x14ac:dyDescent="0.25">
      <c r="C2686" s="2" t="s">
        <v>6170</v>
      </c>
      <c r="D2686" s="2" t="s">
        <v>82</v>
      </c>
      <c r="E2686" s="2">
        <v>26</v>
      </c>
      <c r="F2686" s="2">
        <v>484.524</v>
      </c>
    </row>
    <row r="2687" spans="3:6" x14ac:dyDescent="0.25">
      <c r="C2687" s="2" t="s">
        <v>6171</v>
      </c>
      <c r="D2687" s="2" t="s">
        <v>82</v>
      </c>
      <c r="E2687" s="2">
        <v>57</v>
      </c>
      <c r="F2687" s="2">
        <v>1086.96</v>
      </c>
    </row>
    <row r="2688" spans="3:6" x14ac:dyDescent="0.25">
      <c r="C2688" s="2" t="s">
        <v>6172</v>
      </c>
      <c r="D2688" s="2" t="s">
        <v>82</v>
      </c>
      <c r="E2688" s="2">
        <v>57</v>
      </c>
      <c r="F2688" s="2">
        <v>1099.589</v>
      </c>
    </row>
    <row r="2689" spans="3:6" x14ac:dyDescent="0.25">
      <c r="C2689" s="2" t="s">
        <v>6173</v>
      </c>
      <c r="D2689" s="2" t="s">
        <v>82</v>
      </c>
      <c r="E2689" s="2">
        <v>29</v>
      </c>
      <c r="F2689" s="2">
        <v>534.58</v>
      </c>
    </row>
    <row r="2690" spans="3:6" x14ac:dyDescent="0.25">
      <c r="C2690" s="2" t="s">
        <v>6174</v>
      </c>
      <c r="D2690" s="2" t="s">
        <v>82</v>
      </c>
      <c r="E2690" s="2">
        <v>46</v>
      </c>
      <c r="F2690" s="2">
        <v>854.48</v>
      </c>
    </row>
    <row r="2691" spans="3:6" x14ac:dyDescent="0.25">
      <c r="C2691" s="2" t="s">
        <v>6175</v>
      </c>
      <c r="D2691" s="2" t="s">
        <v>82</v>
      </c>
      <c r="E2691" s="2">
        <v>40</v>
      </c>
      <c r="F2691" s="2">
        <v>800.82</v>
      </c>
    </row>
    <row r="2692" spans="3:6" x14ac:dyDescent="0.25">
      <c r="C2692" s="2" t="s">
        <v>6176</v>
      </c>
      <c r="D2692" s="2" t="s">
        <v>82</v>
      </c>
      <c r="E2692" s="2">
        <v>16</v>
      </c>
      <c r="F2692" s="2">
        <v>203.91</v>
      </c>
    </row>
    <row r="2693" spans="3:6" x14ac:dyDescent="0.25">
      <c r="C2693" s="2" t="s">
        <v>6177</v>
      </c>
      <c r="D2693" s="2" t="s">
        <v>82</v>
      </c>
      <c r="E2693" s="2">
        <v>39</v>
      </c>
      <c r="F2693" s="2">
        <v>788.55</v>
      </c>
    </row>
    <row r="2694" spans="3:6" x14ac:dyDescent="0.25">
      <c r="C2694" s="2" t="s">
        <v>6178</v>
      </c>
      <c r="D2694" s="2" t="s">
        <v>82</v>
      </c>
      <c r="E2694" s="2">
        <v>144</v>
      </c>
      <c r="F2694" s="2">
        <v>2800.99</v>
      </c>
    </row>
    <row r="2695" spans="3:6" x14ac:dyDescent="0.25">
      <c r="C2695" s="2" t="s">
        <v>6179</v>
      </c>
      <c r="D2695" s="2" t="s">
        <v>82</v>
      </c>
      <c r="E2695" s="2">
        <v>141</v>
      </c>
      <c r="F2695" s="2">
        <v>2804.35</v>
      </c>
    </row>
    <row r="2696" spans="3:6" x14ac:dyDescent="0.25">
      <c r="C2696" s="2" t="s">
        <v>6180</v>
      </c>
      <c r="D2696" s="2" t="s">
        <v>82</v>
      </c>
      <c r="E2696" s="2">
        <v>141</v>
      </c>
      <c r="F2696" s="2">
        <v>2855.25</v>
      </c>
    </row>
    <row r="2697" spans="3:6" x14ac:dyDescent="0.25">
      <c r="C2697" s="2" t="s">
        <v>6181</v>
      </c>
      <c r="D2697" s="2" t="s">
        <v>82</v>
      </c>
      <c r="E2697" s="2">
        <v>141</v>
      </c>
      <c r="F2697" s="2">
        <v>2948.47</v>
      </c>
    </row>
    <row r="2698" spans="3:6" x14ac:dyDescent="0.25">
      <c r="C2698" s="2" t="s">
        <v>6182</v>
      </c>
      <c r="D2698" s="2" t="s">
        <v>82</v>
      </c>
      <c r="E2698" s="2">
        <v>141</v>
      </c>
      <c r="F2698" s="2">
        <v>2889.818</v>
      </c>
    </row>
    <row r="2699" spans="3:6" x14ac:dyDescent="0.25">
      <c r="C2699" s="2" t="s">
        <v>6183</v>
      </c>
      <c r="D2699" s="2" t="s">
        <v>82</v>
      </c>
      <c r="E2699" s="2">
        <v>48</v>
      </c>
      <c r="F2699" s="2">
        <v>1017.81</v>
      </c>
    </row>
    <row r="2700" spans="3:6" x14ac:dyDescent="0.25">
      <c r="C2700" s="2" t="s">
        <v>6184</v>
      </c>
      <c r="D2700" s="2" t="s">
        <v>82</v>
      </c>
      <c r="E2700" s="2">
        <v>8</v>
      </c>
      <c r="F2700" s="2">
        <v>181.87</v>
      </c>
    </row>
    <row r="2701" spans="3:6" x14ac:dyDescent="0.25">
      <c r="C2701" s="2" t="s">
        <v>6185</v>
      </c>
      <c r="D2701" s="2" t="s">
        <v>82</v>
      </c>
      <c r="E2701" s="2">
        <v>82</v>
      </c>
      <c r="F2701" s="2">
        <v>1721.19</v>
      </c>
    </row>
    <row r="2702" spans="3:6" x14ac:dyDescent="0.25">
      <c r="C2702" s="2" t="s">
        <v>6186</v>
      </c>
      <c r="D2702" s="2" t="s">
        <v>82</v>
      </c>
      <c r="E2702" s="2">
        <v>35</v>
      </c>
      <c r="F2702" s="2">
        <v>720.629</v>
      </c>
    </row>
    <row r="2703" spans="3:6" x14ac:dyDescent="0.25">
      <c r="C2703" s="2" t="s">
        <v>6187</v>
      </c>
      <c r="D2703" s="2" t="s">
        <v>82</v>
      </c>
      <c r="E2703" s="2">
        <v>41</v>
      </c>
      <c r="F2703" s="2">
        <v>838.549</v>
      </c>
    </row>
    <row r="2704" spans="3:6" x14ac:dyDescent="0.25">
      <c r="C2704" s="2" t="s">
        <v>6188</v>
      </c>
      <c r="D2704" s="2" t="s">
        <v>82</v>
      </c>
      <c r="E2704" s="2">
        <v>20</v>
      </c>
      <c r="F2704" s="2">
        <v>396.89</v>
      </c>
    </row>
    <row r="2705" spans="3:6" x14ac:dyDescent="0.25">
      <c r="C2705" s="2" t="s">
        <v>6189</v>
      </c>
      <c r="D2705" s="2" t="s">
        <v>82</v>
      </c>
      <c r="E2705" s="2">
        <v>45</v>
      </c>
      <c r="F2705" s="2">
        <v>934.85</v>
      </c>
    </row>
    <row r="2706" spans="3:6" x14ac:dyDescent="0.25">
      <c r="C2706" s="2" t="s">
        <v>6190</v>
      </c>
      <c r="D2706" s="2" t="s">
        <v>82</v>
      </c>
      <c r="E2706" s="2">
        <v>27</v>
      </c>
      <c r="F2706" s="2">
        <v>581.2</v>
      </c>
    </row>
    <row r="2707" spans="3:6" x14ac:dyDescent="0.25">
      <c r="C2707" s="2" t="s">
        <v>6191</v>
      </c>
      <c r="D2707" s="2" t="s">
        <v>82</v>
      </c>
      <c r="E2707" s="2">
        <v>15</v>
      </c>
      <c r="F2707" s="2">
        <v>313.85</v>
      </c>
    </row>
    <row r="2708" spans="3:6" x14ac:dyDescent="0.25">
      <c r="C2708" s="2" t="s">
        <v>6192</v>
      </c>
      <c r="D2708" s="2" t="s">
        <v>82</v>
      </c>
      <c r="E2708" s="2">
        <v>49</v>
      </c>
      <c r="F2708" s="2">
        <v>970.229</v>
      </c>
    </row>
    <row r="2709" spans="3:6" x14ac:dyDescent="0.25">
      <c r="C2709" s="2" t="s">
        <v>6193</v>
      </c>
      <c r="D2709" s="2" t="s">
        <v>82</v>
      </c>
      <c r="E2709" s="2">
        <v>26</v>
      </c>
      <c r="F2709" s="2">
        <v>566.92</v>
      </c>
    </row>
    <row r="2710" spans="3:6" x14ac:dyDescent="0.25">
      <c r="C2710" s="2" t="s">
        <v>6194</v>
      </c>
      <c r="D2710" s="2" t="s">
        <v>82</v>
      </c>
      <c r="E2710" s="2">
        <v>13</v>
      </c>
      <c r="F2710" s="2">
        <v>239.219</v>
      </c>
    </row>
    <row r="2711" spans="3:6" x14ac:dyDescent="0.25">
      <c r="C2711" s="2" t="s">
        <v>6195</v>
      </c>
      <c r="D2711" s="2" t="s">
        <v>82</v>
      </c>
      <c r="E2711" s="2">
        <v>11</v>
      </c>
      <c r="F2711" s="2">
        <v>212.69</v>
      </c>
    </row>
    <row r="2712" spans="3:6" x14ac:dyDescent="0.25">
      <c r="C2712" s="2" t="s">
        <v>6196</v>
      </c>
      <c r="D2712" s="2" t="s">
        <v>82</v>
      </c>
      <c r="E2712" s="2">
        <v>16</v>
      </c>
      <c r="F2712" s="2">
        <v>328.84</v>
      </c>
    </row>
    <row r="2713" spans="3:6" x14ac:dyDescent="0.25">
      <c r="C2713" s="2" t="s">
        <v>6197</v>
      </c>
      <c r="D2713" s="2" t="s">
        <v>82</v>
      </c>
      <c r="E2713" s="2">
        <v>10</v>
      </c>
      <c r="F2713" s="2">
        <v>219.61</v>
      </c>
    </row>
    <row r="2714" spans="3:6" x14ac:dyDescent="0.25">
      <c r="C2714" s="2" t="s">
        <v>6198</v>
      </c>
      <c r="D2714" s="2" t="s">
        <v>82</v>
      </c>
      <c r="E2714" s="2">
        <v>14</v>
      </c>
      <c r="F2714" s="2">
        <v>283.95</v>
      </c>
    </row>
    <row r="2715" spans="3:6" x14ac:dyDescent="0.25">
      <c r="C2715" s="2" t="s">
        <v>6199</v>
      </c>
      <c r="D2715" s="2" t="s">
        <v>82</v>
      </c>
      <c r="E2715" s="2">
        <v>39</v>
      </c>
      <c r="F2715" s="2">
        <v>790.68</v>
      </c>
    </row>
    <row r="2716" spans="3:6" x14ac:dyDescent="0.25">
      <c r="C2716" s="2" t="s">
        <v>6200</v>
      </c>
      <c r="D2716" s="2" t="s">
        <v>82</v>
      </c>
      <c r="E2716" s="2">
        <v>11</v>
      </c>
      <c r="F2716" s="2">
        <v>195.3</v>
      </c>
    </row>
    <row r="2717" spans="3:6" x14ac:dyDescent="0.25">
      <c r="C2717" s="2" t="s">
        <v>6201</v>
      </c>
      <c r="D2717" s="2" t="s">
        <v>82</v>
      </c>
      <c r="E2717" s="2">
        <v>12</v>
      </c>
      <c r="F2717" s="2">
        <v>241.9</v>
      </c>
    </row>
    <row r="2718" spans="3:6" x14ac:dyDescent="0.25">
      <c r="C2718" s="2" t="s">
        <v>6202</v>
      </c>
      <c r="D2718" s="2" t="s">
        <v>82</v>
      </c>
      <c r="E2718" s="2">
        <v>18</v>
      </c>
      <c r="F2718" s="2">
        <v>372.99</v>
      </c>
    </row>
    <row r="2719" spans="3:6" x14ac:dyDescent="0.25">
      <c r="C2719" s="2" t="s">
        <v>6203</v>
      </c>
      <c r="D2719" s="2" t="s">
        <v>82</v>
      </c>
      <c r="E2719" s="2">
        <v>15</v>
      </c>
      <c r="F2719" s="2">
        <v>294.36</v>
      </c>
    </row>
    <row r="2720" spans="3:6" x14ac:dyDescent="0.25">
      <c r="C2720" s="2" t="s">
        <v>6204</v>
      </c>
      <c r="D2720" s="2" t="s">
        <v>82</v>
      </c>
      <c r="E2720" s="2">
        <v>7</v>
      </c>
      <c r="F2720" s="2">
        <v>121.54</v>
      </c>
    </row>
    <row r="2722" spans="1:7" x14ac:dyDescent="0.25">
      <c r="A2722" s="1">
        <v>46193</v>
      </c>
      <c r="B2722" s="2" t="s">
        <v>7</v>
      </c>
      <c r="C2722" s="2" t="s">
        <v>6205</v>
      </c>
      <c r="D2722" s="2" t="s">
        <v>9</v>
      </c>
      <c r="E2722" s="2">
        <v>95</v>
      </c>
      <c r="F2722" s="2">
        <v>2001.42</v>
      </c>
      <c r="G2722" s="1">
        <v>46193</v>
      </c>
    </row>
    <row r="2723" spans="3:6" x14ac:dyDescent="0.25">
      <c r="C2723" s="2" t="s">
        <v>6206</v>
      </c>
      <c r="D2723" s="2" t="s">
        <v>9</v>
      </c>
      <c r="E2723" s="2">
        <v>99</v>
      </c>
      <c r="F2723" s="2">
        <v>2018.94</v>
      </c>
    </row>
    <row r="2725" spans="1:7" x14ac:dyDescent="0.25">
      <c r="A2725" s="1">
        <v>46193</v>
      </c>
      <c r="B2725" s="2" t="s">
        <v>2368</v>
      </c>
      <c r="C2725" s="2" t="s">
        <v>6207</v>
      </c>
      <c r="D2725" s="2" t="s">
        <v>292</v>
      </c>
      <c r="E2725" s="2">
        <v>121</v>
      </c>
      <c r="F2725" s="2">
        <v>1537.179</v>
      </c>
      <c r="G2725" s="1">
        <v>46193</v>
      </c>
    </row>
    <row r="2727" spans="1:7" x14ac:dyDescent="0.25">
      <c r="A2727" s="1">
        <v>46193</v>
      </c>
      <c r="B2727" s="2" t="s">
        <v>6208</v>
      </c>
      <c r="C2727" s="2" t="s">
        <v>6209</v>
      </c>
      <c r="D2727" s="2" t="s">
        <v>4096</v>
      </c>
      <c r="E2727" s="2">
        <v>65</v>
      </c>
      <c r="F2727" s="2">
        <v>1422.888</v>
      </c>
      <c r="G2727" s="1">
        <v>46193</v>
      </c>
    </row>
    <row r="2729" spans="1:7" x14ac:dyDescent="0.25">
      <c r="A2729" s="1">
        <v>46193</v>
      </c>
      <c r="B2729" s="2" t="s">
        <v>12</v>
      </c>
      <c r="C2729" s="2" t="s">
        <v>6210</v>
      </c>
      <c r="D2729" s="2" t="s">
        <v>15</v>
      </c>
      <c r="E2729" s="2">
        <v>163</v>
      </c>
      <c r="F2729" s="2">
        <v>3141.848</v>
      </c>
      <c r="G2729" s="1">
        <v>46193</v>
      </c>
    </row>
    <row r="2730" spans="3:6" x14ac:dyDescent="0.25">
      <c r="C2730" s="2" t="s">
        <v>6211</v>
      </c>
      <c r="D2730" s="2" t="s">
        <v>15</v>
      </c>
      <c r="E2730" s="2">
        <v>163</v>
      </c>
      <c r="F2730" s="2">
        <v>3101.8</v>
      </c>
    </row>
    <row r="2731" spans="3:6" x14ac:dyDescent="0.25">
      <c r="C2731" s="2" t="s">
        <v>6212</v>
      </c>
      <c r="D2731" s="2" t="s">
        <v>15</v>
      </c>
      <c r="E2731" s="2">
        <v>163</v>
      </c>
      <c r="F2731" s="2">
        <v>3050.63</v>
      </c>
    </row>
    <row r="2732" spans="3:6" x14ac:dyDescent="0.25">
      <c r="C2732" s="2" t="s">
        <v>6213</v>
      </c>
      <c r="D2732" s="2" t="s">
        <v>15</v>
      </c>
      <c r="E2732" s="2">
        <v>163</v>
      </c>
      <c r="F2732" s="2">
        <v>2978.52</v>
      </c>
    </row>
    <row r="2733" spans="3:6" x14ac:dyDescent="0.25">
      <c r="C2733" s="2" t="s">
        <v>6214</v>
      </c>
      <c r="D2733" s="2" t="s">
        <v>15</v>
      </c>
      <c r="E2733" s="2">
        <v>156</v>
      </c>
      <c r="F2733" s="2">
        <v>3096.63</v>
      </c>
    </row>
    <row r="2734" spans="3:6" x14ac:dyDescent="0.25">
      <c r="C2734" s="2" t="s">
        <v>6215</v>
      </c>
      <c r="D2734" s="2" t="s">
        <v>15</v>
      </c>
      <c r="E2734" s="2">
        <v>71</v>
      </c>
      <c r="F2734" s="2">
        <v>1435.16</v>
      </c>
    </row>
    <row r="2735" spans="3:6" x14ac:dyDescent="0.25">
      <c r="C2735" s="2" t="s">
        <v>6216</v>
      </c>
      <c r="D2735" s="2" t="s">
        <v>15</v>
      </c>
      <c r="E2735" s="2" t="e">
        <v>#N/A</v>
      </c>
      <c r="F2735" s="2">
        <v>0</v>
      </c>
    </row>
    <row r="2736" spans="3:6" x14ac:dyDescent="0.25">
      <c r="C2736" s="2" t="s">
        <v>6217</v>
      </c>
      <c r="D2736" s="2" t="s">
        <v>15</v>
      </c>
      <c r="E2736" s="2">
        <v>105</v>
      </c>
      <c r="F2736" s="2">
        <v>2078.619</v>
      </c>
    </row>
    <row r="2737" spans="3:6" x14ac:dyDescent="0.25">
      <c r="C2737" s="2" t="s">
        <v>6218</v>
      </c>
      <c r="D2737" s="2" t="s">
        <v>15</v>
      </c>
      <c r="E2737" s="2">
        <v>300</v>
      </c>
      <c r="F2737" s="2">
        <v>769.408</v>
      </c>
    </row>
    <row r="2738" spans="3:6" x14ac:dyDescent="0.25">
      <c r="C2738" s="2" t="s">
        <v>6219</v>
      </c>
      <c r="D2738" s="2" t="s">
        <v>15</v>
      </c>
      <c r="E2738" s="2">
        <v>95</v>
      </c>
      <c r="F2738" s="2">
        <v>1643.665</v>
      </c>
    </row>
    <row r="2739" spans="3:6" x14ac:dyDescent="0.25">
      <c r="C2739" s="2" t="s">
        <v>6220</v>
      </c>
      <c r="D2739" s="2" t="s">
        <v>15</v>
      </c>
      <c r="E2739" s="2">
        <v>134</v>
      </c>
      <c r="F2739" s="2">
        <v>2576.98</v>
      </c>
    </row>
    <row r="2740" spans="3:6" x14ac:dyDescent="0.25">
      <c r="C2740" s="2" t="s">
        <v>6221</v>
      </c>
      <c r="D2740" s="2" t="s">
        <v>15</v>
      </c>
      <c r="E2740" s="2">
        <v>163</v>
      </c>
      <c r="F2740" s="2">
        <v>0</v>
      </c>
    </row>
    <row r="2741" spans="3:6" x14ac:dyDescent="0.25">
      <c r="C2741" s="2" t="s">
        <v>6222</v>
      </c>
      <c r="D2741" s="2" t="s">
        <v>15</v>
      </c>
      <c r="E2741" s="2">
        <v>281</v>
      </c>
      <c r="F2741" s="2">
        <v>823.54</v>
      </c>
    </row>
    <row r="2742" spans="3:6" x14ac:dyDescent="0.25">
      <c r="C2742" s="2" t="s">
        <v>6223</v>
      </c>
      <c r="D2742" s="2" t="s">
        <v>15</v>
      </c>
      <c r="E2742" s="2">
        <v>81</v>
      </c>
      <c r="F2742" s="2">
        <v>1548.719</v>
      </c>
    </row>
    <row r="2743" spans="3:6" x14ac:dyDescent="0.25">
      <c r="C2743" s="2" t="s">
        <v>6224</v>
      </c>
      <c r="D2743" s="2" t="s">
        <v>15</v>
      </c>
      <c r="E2743" s="2">
        <v>76</v>
      </c>
      <c r="F2743" s="2">
        <v>0</v>
      </c>
    </row>
    <row r="2744" spans="3:6" x14ac:dyDescent="0.25">
      <c r="C2744" s="2" t="s">
        <v>6225</v>
      </c>
      <c r="D2744" s="2" t="s">
        <v>15</v>
      </c>
      <c r="E2744" s="2">
        <v>36</v>
      </c>
      <c r="F2744" s="2">
        <v>536.77</v>
      </c>
    </row>
    <row r="2745" spans="3:6" x14ac:dyDescent="0.25">
      <c r="C2745" s="2" t="s">
        <v>6226</v>
      </c>
      <c r="D2745" s="2" t="s">
        <v>26</v>
      </c>
      <c r="E2745" s="2">
        <v>56</v>
      </c>
      <c r="F2745" s="2">
        <v>1099.819</v>
      </c>
    </row>
    <row r="2746" spans="3:6" x14ac:dyDescent="0.25">
      <c r="C2746" s="2" t="s">
        <v>6227</v>
      </c>
      <c r="D2746" s="2" t="s">
        <v>26</v>
      </c>
      <c r="E2746" s="2">
        <v>100</v>
      </c>
      <c r="F2746" s="2">
        <v>2023.1</v>
      </c>
    </row>
    <row r="2747" spans="3:6" x14ac:dyDescent="0.25">
      <c r="C2747" s="2" t="s">
        <v>6228</v>
      </c>
      <c r="D2747" s="2" t="s">
        <v>26</v>
      </c>
      <c r="E2747" s="2">
        <v>56</v>
      </c>
      <c r="F2747" s="2">
        <v>1129.47</v>
      </c>
    </row>
    <row r="2748" spans="3:6" x14ac:dyDescent="0.25">
      <c r="C2748" s="2" t="s">
        <v>6229</v>
      </c>
      <c r="D2748" s="2" t="s">
        <v>26</v>
      </c>
      <c r="E2748" s="2">
        <v>100</v>
      </c>
      <c r="F2748" s="2">
        <v>1987.719</v>
      </c>
    </row>
    <row r="2749" spans="3:6" x14ac:dyDescent="0.25">
      <c r="C2749" s="2" t="s">
        <v>6230</v>
      </c>
      <c r="D2749" s="2" t="s">
        <v>26</v>
      </c>
      <c r="E2749" s="2">
        <v>56</v>
      </c>
      <c r="F2749" s="2">
        <v>1142.54</v>
      </c>
    </row>
    <row r="2750" spans="3:6" x14ac:dyDescent="0.25">
      <c r="C2750" s="2" t="s">
        <v>6231</v>
      </c>
      <c r="D2750" s="2" t="s">
        <v>26</v>
      </c>
      <c r="E2750" s="2">
        <v>100</v>
      </c>
      <c r="F2750" s="2">
        <v>1762.484</v>
      </c>
    </row>
    <row r="2751" spans="3:6" x14ac:dyDescent="0.25">
      <c r="C2751" s="2" t="s">
        <v>6232</v>
      </c>
      <c r="D2751" s="2" t="s">
        <v>26</v>
      </c>
      <c r="E2751" s="2">
        <v>56</v>
      </c>
      <c r="F2751" s="2">
        <v>1083.55</v>
      </c>
    </row>
    <row r="2752" spans="3:6" x14ac:dyDescent="0.25">
      <c r="C2752" s="2" t="s">
        <v>6233</v>
      </c>
      <c r="D2752" s="2" t="s">
        <v>26</v>
      </c>
      <c r="E2752" s="2">
        <v>100</v>
      </c>
      <c r="F2752" s="2">
        <v>1886.99</v>
      </c>
    </row>
    <row r="2753" spans="3:6" x14ac:dyDescent="0.25">
      <c r="C2753" s="2" t="s">
        <v>6234</v>
      </c>
      <c r="D2753" s="2" t="s">
        <v>30</v>
      </c>
      <c r="E2753" s="2">
        <v>134</v>
      </c>
      <c r="F2753" s="2">
        <v>2739.26</v>
      </c>
    </row>
    <row r="2754" spans="3:6" x14ac:dyDescent="0.25">
      <c r="C2754" s="2" t="s">
        <v>6235</v>
      </c>
      <c r="D2754" s="2" t="s">
        <v>30</v>
      </c>
      <c r="E2754" s="2">
        <v>134</v>
      </c>
      <c r="F2754" s="2">
        <v>2700.68</v>
      </c>
    </row>
    <row r="2755" spans="3:6" x14ac:dyDescent="0.25">
      <c r="C2755" s="2" t="s">
        <v>6236</v>
      </c>
      <c r="D2755" s="2" t="s">
        <v>30</v>
      </c>
      <c r="E2755" s="2">
        <v>134</v>
      </c>
      <c r="F2755" s="2">
        <v>2757.55</v>
      </c>
    </row>
    <row r="2756" spans="3:6" x14ac:dyDescent="0.25">
      <c r="C2756" s="2" t="s">
        <v>6237</v>
      </c>
      <c r="D2756" s="2" t="s">
        <v>30</v>
      </c>
      <c r="E2756" s="2">
        <v>134</v>
      </c>
      <c r="F2756" s="2">
        <v>2745.91</v>
      </c>
    </row>
    <row r="2757" spans="3:6" x14ac:dyDescent="0.25">
      <c r="C2757" s="2" t="s">
        <v>6238</v>
      </c>
      <c r="D2757" s="2" t="s">
        <v>30</v>
      </c>
      <c r="E2757" s="2">
        <v>74</v>
      </c>
      <c r="F2757" s="2">
        <v>1376.069</v>
      </c>
    </row>
    <row r="2758" spans="3:6" x14ac:dyDescent="0.25">
      <c r="C2758" s="2" t="s">
        <v>6239</v>
      </c>
      <c r="D2758" s="2" t="s">
        <v>36</v>
      </c>
      <c r="E2758" s="2">
        <v>60</v>
      </c>
      <c r="F2758" s="2">
        <v>1095.35</v>
      </c>
    </row>
    <row r="2759" spans="3:6" x14ac:dyDescent="0.25">
      <c r="C2759" s="2" t="s">
        <v>6240</v>
      </c>
      <c r="D2759" s="2" t="s">
        <v>36</v>
      </c>
      <c r="E2759" s="2">
        <v>45</v>
      </c>
      <c r="F2759" s="2">
        <v>772.599</v>
      </c>
    </row>
    <row r="2760" spans="3:6" x14ac:dyDescent="0.25">
      <c r="C2760" s="2" t="s">
        <v>6241</v>
      </c>
      <c r="D2760" s="2" t="s">
        <v>36</v>
      </c>
      <c r="E2760" s="2">
        <v>45</v>
      </c>
      <c r="F2760" s="2">
        <v>806.099</v>
      </c>
    </row>
    <row r="2761" spans="3:6" x14ac:dyDescent="0.25">
      <c r="C2761" s="2" t="s">
        <v>6242</v>
      </c>
      <c r="D2761" s="2" t="s">
        <v>36</v>
      </c>
      <c r="E2761" s="2">
        <v>60</v>
      </c>
      <c r="F2761" s="2">
        <v>1091.74</v>
      </c>
    </row>
    <row r="2762" spans="3:6" x14ac:dyDescent="0.25">
      <c r="C2762" s="2" t="s">
        <v>6243</v>
      </c>
      <c r="D2762" s="2" t="s">
        <v>36</v>
      </c>
      <c r="E2762" s="2" t="e">
        <v>#N/A</v>
      </c>
      <c r="F2762" s="2">
        <v>0</v>
      </c>
    </row>
    <row r="2763" spans="3:6" x14ac:dyDescent="0.25">
      <c r="C2763" s="2" t="s">
        <v>6244</v>
      </c>
      <c r="D2763" s="2" t="s">
        <v>36</v>
      </c>
      <c r="E2763" s="2">
        <v>20</v>
      </c>
      <c r="F2763" s="2">
        <v>376.58</v>
      </c>
    </row>
    <row r="2764" spans="3:6" x14ac:dyDescent="0.25">
      <c r="C2764" s="2" t="s">
        <v>6245</v>
      </c>
      <c r="D2764" s="2" t="s">
        <v>36</v>
      </c>
      <c r="E2764" s="2">
        <v>80</v>
      </c>
      <c r="F2764" s="2">
        <v>1507.749</v>
      </c>
    </row>
    <row r="2765" spans="3:6" x14ac:dyDescent="0.25">
      <c r="C2765" s="2" t="s">
        <v>6246</v>
      </c>
      <c r="D2765" s="2" t="s">
        <v>36</v>
      </c>
      <c r="E2765" s="2">
        <v>80</v>
      </c>
      <c r="F2765" s="2">
        <v>1564.469</v>
      </c>
    </row>
    <row r="2766" spans="3:6" x14ac:dyDescent="0.25">
      <c r="C2766" s="2" t="s">
        <v>6247</v>
      </c>
      <c r="D2766" s="2" t="s">
        <v>36</v>
      </c>
      <c r="E2766" s="2">
        <v>25</v>
      </c>
      <c r="F2766" s="2">
        <v>524.35</v>
      </c>
    </row>
    <row r="2767" spans="3:6" x14ac:dyDescent="0.25">
      <c r="C2767" s="2" t="s">
        <v>6248</v>
      </c>
      <c r="D2767" s="2" t="s">
        <v>42</v>
      </c>
      <c r="E2767" s="2">
        <v>63</v>
      </c>
      <c r="F2767" s="2">
        <v>1117.14</v>
      </c>
    </row>
    <row r="2768" spans="3:6" x14ac:dyDescent="0.25">
      <c r="C2768" s="2" t="s">
        <v>6249</v>
      </c>
      <c r="D2768" s="2" t="s">
        <v>42</v>
      </c>
      <c r="E2768" s="2">
        <v>74</v>
      </c>
      <c r="F2768" s="2">
        <v>1428.189</v>
      </c>
    </row>
    <row r="2769" spans="3:6" x14ac:dyDescent="0.25">
      <c r="C2769" s="2" t="s">
        <v>6250</v>
      </c>
      <c r="D2769" s="2" t="s">
        <v>42</v>
      </c>
      <c r="E2769" s="2">
        <v>19</v>
      </c>
      <c r="F2769" s="2">
        <v>369.219</v>
      </c>
    </row>
    <row r="2771" spans="2:6" x14ac:dyDescent="0.25">
      <c r="B2771" s="2" t="s">
        <v>48</v>
      </c>
      <c r="C2771" s="2" t="s">
        <v>6251</v>
      </c>
      <c r="D2771" s="2" t="s">
        <v>26</v>
      </c>
      <c r="E2771" s="2">
        <v>156</v>
      </c>
      <c r="F2771" s="2">
        <v>2723.619</v>
      </c>
    </row>
    <row r="2772" spans="3:6" x14ac:dyDescent="0.25">
      <c r="C2772" s="2" t="s">
        <v>6252</v>
      </c>
      <c r="D2772" s="2" t="s">
        <v>26</v>
      </c>
      <c r="E2772" s="2">
        <v>149</v>
      </c>
      <c r="F2772" s="2">
        <v>2645.668</v>
      </c>
    </row>
    <row r="2773" spans="3:6" x14ac:dyDescent="0.25">
      <c r="C2773" s="2" t="s">
        <v>6253</v>
      </c>
      <c r="D2773" s="2" t="s">
        <v>30</v>
      </c>
      <c r="E2773" s="2">
        <v>18</v>
      </c>
      <c r="F2773" s="2">
        <v>259.87</v>
      </c>
    </row>
    <row r="2774" spans="3:6" x14ac:dyDescent="0.25">
      <c r="C2774" s="2" t="s">
        <v>6254</v>
      </c>
      <c r="D2774" s="2" t="s">
        <v>30</v>
      </c>
      <c r="E2774" s="2">
        <v>87</v>
      </c>
      <c r="F2774" s="2">
        <v>1573.089</v>
      </c>
    </row>
    <row r="2775" spans="3:6" x14ac:dyDescent="0.25">
      <c r="C2775" s="2" t="s">
        <v>6255</v>
      </c>
      <c r="D2775" s="2" t="s">
        <v>30</v>
      </c>
      <c r="E2775" s="2">
        <v>105</v>
      </c>
      <c r="F2775" s="2">
        <v>2051.79</v>
      </c>
    </row>
    <row r="2776" spans="3:6" x14ac:dyDescent="0.25">
      <c r="C2776" s="2" t="s">
        <v>6256</v>
      </c>
      <c r="D2776" s="2" t="s">
        <v>26</v>
      </c>
      <c r="E2776" s="2">
        <v>157</v>
      </c>
      <c r="F2776" s="2">
        <v>2770.46</v>
      </c>
    </row>
    <row r="2777" spans="3:6" x14ac:dyDescent="0.25">
      <c r="C2777" s="2" t="s">
        <v>6257</v>
      </c>
      <c r="D2777" s="2" t="s">
        <v>26</v>
      </c>
      <c r="E2777" s="2">
        <v>156</v>
      </c>
      <c r="F2777" s="2">
        <v>2627.577</v>
      </c>
    </row>
    <row r="2779" spans="1:7" x14ac:dyDescent="0.25">
      <c r="A2779" s="1">
        <v>46193</v>
      </c>
      <c r="B2779" s="2" t="s">
        <v>420</v>
      </c>
      <c r="C2779" s="2" t="s">
        <v>6258</v>
      </c>
      <c r="D2779" s="2" t="s">
        <v>59</v>
      </c>
      <c r="E2779" s="2">
        <v>84</v>
      </c>
      <c r="F2779" s="2">
        <v>1181.569</v>
      </c>
      <c r="G2779" s="1">
        <v>46193</v>
      </c>
    </row>
    <row r="2780" spans="3:6" x14ac:dyDescent="0.25">
      <c r="C2780" s="2" t="s">
        <v>6259</v>
      </c>
      <c r="D2780" s="2" t="s">
        <v>59</v>
      </c>
      <c r="E2780" s="2">
        <v>105</v>
      </c>
      <c r="F2780" s="2">
        <v>2140.87</v>
      </c>
    </row>
    <row r="2781" spans="3:6" x14ac:dyDescent="0.25">
      <c r="C2781" s="2" t="s">
        <v>6260</v>
      </c>
      <c r="D2781" s="2" t="s">
        <v>59</v>
      </c>
      <c r="E2781" s="2">
        <v>268</v>
      </c>
      <c r="F2781" s="2">
        <v>5262.198</v>
      </c>
    </row>
    <row r="2782" spans="3:6" x14ac:dyDescent="0.25">
      <c r="C2782" s="2" t="s">
        <v>6261</v>
      </c>
      <c r="D2782" s="2" t="s">
        <v>59</v>
      </c>
      <c r="E2782" s="2">
        <v>92</v>
      </c>
      <c r="F2782" s="2">
        <v>1819.13</v>
      </c>
    </row>
    <row r="2783" spans="3:6" x14ac:dyDescent="0.25">
      <c r="C2783" s="2" t="s">
        <v>6262</v>
      </c>
      <c r="D2783" s="2" t="s">
        <v>59</v>
      </c>
      <c r="E2783" s="2">
        <v>163</v>
      </c>
      <c r="F2783" s="2">
        <v>3066.519</v>
      </c>
    </row>
    <row r="2784" spans="3:6" x14ac:dyDescent="0.25">
      <c r="C2784" s="2" t="s">
        <v>6263</v>
      </c>
      <c r="D2784" s="2" t="s">
        <v>59</v>
      </c>
      <c r="E2784" s="2">
        <v>243</v>
      </c>
      <c r="F2784" s="2">
        <v>4760.773</v>
      </c>
    </row>
    <row r="2785" spans="3:6" x14ac:dyDescent="0.25">
      <c r="C2785" s="2" t="s">
        <v>6264</v>
      </c>
      <c r="D2785" s="2" t="s">
        <v>59</v>
      </c>
      <c r="E2785" s="2">
        <v>163</v>
      </c>
      <c r="F2785" s="2">
        <v>3175.889</v>
      </c>
    </row>
    <row r="2786" spans="3:6" x14ac:dyDescent="0.25">
      <c r="C2786" s="2" t="s">
        <v>6265</v>
      </c>
      <c r="D2786" s="2" t="s">
        <v>59</v>
      </c>
      <c r="E2786" s="2">
        <v>268</v>
      </c>
      <c r="F2786" s="2">
        <v>5356.118</v>
      </c>
    </row>
    <row r="2788" spans="1:7" x14ac:dyDescent="0.25">
      <c r="A2788" s="1">
        <v>46193</v>
      </c>
      <c r="B2788" s="2" t="s">
        <v>6266</v>
      </c>
      <c r="C2788" s="2" t="s">
        <v>6267</v>
      </c>
      <c r="D2788" s="2" t="s">
        <v>59</v>
      </c>
      <c r="E2788" s="2">
        <v>163</v>
      </c>
      <c r="F2788" s="2">
        <v>3159.57</v>
      </c>
      <c r="G2788" s="1">
        <v>46193</v>
      </c>
    </row>
    <row r="2789" spans="3:6" x14ac:dyDescent="0.25">
      <c r="C2789" s="2" t="s">
        <v>6268</v>
      </c>
      <c r="D2789" s="2" t="s">
        <v>59</v>
      </c>
      <c r="E2789" s="2">
        <v>210</v>
      </c>
      <c r="F2789" s="2">
        <v>4248.87</v>
      </c>
    </row>
    <row r="2790" spans="3:6" x14ac:dyDescent="0.25">
      <c r="C2790" s="2" t="s">
        <v>6269</v>
      </c>
      <c r="D2790" s="2" t="s">
        <v>59</v>
      </c>
      <c r="E2790" s="2">
        <v>163</v>
      </c>
      <c r="F2790" s="2">
        <v>3289.47</v>
      </c>
    </row>
    <row r="2791" spans="3:6" x14ac:dyDescent="0.25">
      <c r="C2791" s="2" t="s">
        <v>6270</v>
      </c>
      <c r="D2791" s="2" t="s">
        <v>59</v>
      </c>
      <c r="E2791" s="2">
        <v>163</v>
      </c>
      <c r="F2791" s="2">
        <v>2987.548</v>
      </c>
    </row>
    <row r="2792" spans="3:6" x14ac:dyDescent="0.25">
      <c r="C2792" s="2" t="s">
        <v>6271</v>
      </c>
      <c r="D2792" s="2" t="s">
        <v>59</v>
      </c>
      <c r="E2792" s="2">
        <v>196</v>
      </c>
      <c r="F2792" s="2">
        <v>2533.64</v>
      </c>
    </row>
    <row r="2793" spans="3:6" x14ac:dyDescent="0.25">
      <c r="C2793" s="2" t="s">
        <v>6272</v>
      </c>
      <c r="D2793" s="2" t="s">
        <v>59</v>
      </c>
      <c r="E2793" s="2">
        <v>245</v>
      </c>
      <c r="F2793" s="2">
        <v>5636.55</v>
      </c>
    </row>
    <row r="2794" spans="3:6" x14ac:dyDescent="0.25">
      <c r="C2794" s="2" t="s">
        <v>6273</v>
      </c>
      <c r="D2794" s="2" t="s">
        <v>59</v>
      </c>
      <c r="E2794" s="2">
        <v>105</v>
      </c>
      <c r="F2794" s="2">
        <v>2059.01</v>
      </c>
    </row>
    <row r="2795" spans="3:6" x14ac:dyDescent="0.25">
      <c r="C2795" s="2" t="s">
        <v>6274</v>
      </c>
      <c r="D2795" s="2" t="s">
        <v>59</v>
      </c>
      <c r="E2795" s="2">
        <v>163</v>
      </c>
      <c r="F2795" s="2">
        <v>3064.16</v>
      </c>
    </row>
    <row r="2796" spans="3:6" x14ac:dyDescent="0.25">
      <c r="C2796" s="2" t="s">
        <v>6275</v>
      </c>
      <c r="D2796" s="2" t="s">
        <v>59</v>
      </c>
      <c r="E2796" s="2">
        <v>163</v>
      </c>
      <c r="F2796" s="2">
        <v>3015.49</v>
      </c>
    </row>
    <row r="2798" spans="1:7" x14ac:dyDescent="0.25">
      <c r="A2798" s="1">
        <v>46193</v>
      </c>
      <c r="B2798" s="2" t="s">
        <v>6276</v>
      </c>
      <c r="C2798" s="2" t="s">
        <v>6277</v>
      </c>
      <c r="D2798" s="2" t="s">
        <v>59</v>
      </c>
      <c r="E2798" s="2">
        <v>86</v>
      </c>
      <c r="F2798" s="2">
        <v>1161.736</v>
      </c>
      <c r="G2798" s="1">
        <v>46193</v>
      </c>
    </row>
    <row r="2799" spans="3:6" x14ac:dyDescent="0.25">
      <c r="C2799" s="2" t="s">
        <v>6278</v>
      </c>
      <c r="D2799" s="2" t="s">
        <v>59</v>
      </c>
      <c r="E2799" s="2">
        <v>105</v>
      </c>
      <c r="F2799" s="2">
        <v>2119.66</v>
      </c>
    </row>
    <row r="2800" spans="3:6" x14ac:dyDescent="0.25">
      <c r="C2800" s="2" t="s">
        <v>6279</v>
      </c>
      <c r="D2800" s="2" t="s">
        <v>59</v>
      </c>
      <c r="E2800" s="2">
        <v>268</v>
      </c>
      <c r="F2800" s="2">
        <v>5316.519</v>
      </c>
    </row>
    <row r="2801" spans="3:6" x14ac:dyDescent="0.25">
      <c r="C2801" s="2" t="s">
        <v>6280</v>
      </c>
      <c r="D2801" s="2" t="s">
        <v>59</v>
      </c>
      <c r="E2801" s="2">
        <v>163</v>
      </c>
      <c r="F2801" s="2">
        <v>3077.888</v>
      </c>
    </row>
    <row r="2802" spans="3:6" x14ac:dyDescent="0.25">
      <c r="C2802" s="2" t="s">
        <v>6281</v>
      </c>
      <c r="D2802" s="2" t="s">
        <v>59</v>
      </c>
      <c r="E2802" s="2">
        <v>105</v>
      </c>
      <c r="F2802" s="2">
        <v>2090.4</v>
      </c>
    </row>
    <row r="2803" spans="3:6" x14ac:dyDescent="0.25">
      <c r="C2803" s="2" t="s">
        <v>6282</v>
      </c>
      <c r="D2803" s="2" t="s">
        <v>59</v>
      </c>
      <c r="E2803" s="2">
        <v>163</v>
      </c>
      <c r="F2803" s="2">
        <v>3095.08</v>
      </c>
    </row>
    <row r="2804" spans="3:6" x14ac:dyDescent="0.25">
      <c r="C2804" s="2" t="s">
        <v>6283</v>
      </c>
      <c r="D2804" s="2" t="s">
        <v>59</v>
      </c>
      <c r="E2804" s="2">
        <v>268</v>
      </c>
      <c r="F2804" s="2">
        <v>5189.73</v>
      </c>
    </row>
    <row r="2805" spans="3:6" x14ac:dyDescent="0.25">
      <c r="C2805" s="2" t="s">
        <v>6284</v>
      </c>
      <c r="D2805" s="2" t="s">
        <v>59</v>
      </c>
      <c r="E2805" s="2">
        <v>326</v>
      </c>
      <c r="F2805" s="2">
        <v>6162.5</v>
      </c>
    </row>
    <row r="2807" spans="1:7" x14ac:dyDescent="0.25">
      <c r="A2807" s="1">
        <v>46194</v>
      </c>
      <c r="B2807" s="2" t="s">
        <v>1032</v>
      </c>
      <c r="C2807" s="2" t="s">
        <v>6285</v>
      </c>
      <c r="D2807" s="2" t="s">
        <v>73</v>
      </c>
      <c r="E2807" s="2">
        <v>90</v>
      </c>
      <c r="F2807" s="2">
        <v>1811.43</v>
      </c>
      <c r="G2807" s="1">
        <v>46198</v>
      </c>
    </row>
    <row r="2808" spans="3:6" x14ac:dyDescent="0.25">
      <c r="C2808" s="2" t="s">
        <v>6286</v>
      </c>
      <c r="D2808" s="2" t="s">
        <v>73</v>
      </c>
      <c r="E2808" s="2">
        <v>82</v>
      </c>
      <c r="F2808" s="2">
        <v>1656.08</v>
      </c>
    </row>
    <row r="2809" spans="3:6" x14ac:dyDescent="0.25">
      <c r="C2809" s="2" t="s">
        <v>6287</v>
      </c>
      <c r="D2809" s="2" t="s">
        <v>73</v>
      </c>
      <c r="E2809" s="2">
        <v>9</v>
      </c>
      <c r="F2809" s="2">
        <v>187</v>
      </c>
    </row>
    <row r="2810" spans="3:6" x14ac:dyDescent="0.25">
      <c r="C2810" s="2" t="s">
        <v>6288</v>
      </c>
      <c r="D2810" s="2" t="s">
        <v>73</v>
      </c>
      <c r="E2810" s="2">
        <v>32</v>
      </c>
      <c r="F2810" s="2">
        <v>574.89</v>
      </c>
    </row>
    <row r="2811" spans="3:6" x14ac:dyDescent="0.25">
      <c r="C2811" s="2" t="s">
        <v>6289</v>
      </c>
      <c r="D2811" s="2" t="s">
        <v>73</v>
      </c>
      <c r="E2811" s="2">
        <v>11</v>
      </c>
      <c r="F2811" s="2">
        <v>219.72</v>
      </c>
    </row>
    <row r="2812" spans="3:6" x14ac:dyDescent="0.25">
      <c r="C2812" s="2" t="s">
        <v>6290</v>
      </c>
      <c r="D2812" s="2" t="s">
        <v>73</v>
      </c>
      <c r="E2812" s="2">
        <v>41</v>
      </c>
      <c r="F2812" s="2">
        <v>809.22</v>
      </c>
    </row>
    <row r="2814" spans="1:7" x14ac:dyDescent="0.25">
      <c r="A2814" s="1">
        <v>46194</v>
      </c>
      <c r="B2814" s="2" t="s">
        <v>5399</v>
      </c>
      <c r="C2814" s="2" t="s">
        <v>6291</v>
      </c>
      <c r="D2814" s="2" t="s">
        <v>178</v>
      </c>
      <c r="E2814" s="2">
        <v>30</v>
      </c>
      <c r="F2814" s="2">
        <v>127.85</v>
      </c>
      <c r="G2814" s="1">
        <v>46198</v>
      </c>
    </row>
    <row r="2815" spans="3:6" x14ac:dyDescent="0.25">
      <c r="C2815" s="2" t="s">
        <v>6292</v>
      </c>
      <c r="D2815" s="2" t="s">
        <v>178</v>
      </c>
      <c r="E2815" s="2">
        <v>45</v>
      </c>
      <c r="F2815" s="2">
        <v>188.63</v>
      </c>
    </row>
    <row r="2816" spans="3:6" x14ac:dyDescent="0.25">
      <c r="C2816" s="2" t="s">
        <v>6293</v>
      </c>
      <c r="D2816" s="2" t="s">
        <v>178</v>
      </c>
      <c r="E2816" s="2">
        <v>45</v>
      </c>
      <c r="F2816" s="2">
        <v>183.76</v>
      </c>
    </row>
    <row r="2817" spans="3:6" x14ac:dyDescent="0.25">
      <c r="C2817" s="2" t="s">
        <v>6294</v>
      </c>
      <c r="D2817" s="2" t="s">
        <v>178</v>
      </c>
      <c r="E2817" s="2">
        <v>102</v>
      </c>
      <c r="F2817" s="2">
        <v>1904.139</v>
      </c>
    </row>
    <row r="2818" spans="3:6" x14ac:dyDescent="0.25">
      <c r="C2818" s="2" t="s">
        <v>6295</v>
      </c>
      <c r="D2818" s="2" t="s">
        <v>178</v>
      </c>
      <c r="E2818" s="2">
        <v>123</v>
      </c>
      <c r="F2818" s="2">
        <v>2298.05</v>
      </c>
    </row>
    <row r="2819" spans="3:6" x14ac:dyDescent="0.25">
      <c r="C2819" s="2" t="s">
        <v>6296</v>
      </c>
      <c r="D2819" s="2" t="s">
        <v>178</v>
      </c>
      <c r="E2819" s="2">
        <v>141</v>
      </c>
      <c r="F2819" s="2">
        <v>2836.28</v>
      </c>
    </row>
    <row r="2820" spans="3:6" x14ac:dyDescent="0.25">
      <c r="C2820" s="2" t="s">
        <v>6297</v>
      </c>
      <c r="D2820" s="2" t="s">
        <v>178</v>
      </c>
      <c r="E2820" s="2">
        <v>141</v>
      </c>
      <c r="F2820" s="2">
        <v>2898.29</v>
      </c>
    </row>
    <row r="2821" spans="3:6" x14ac:dyDescent="0.25">
      <c r="C2821" s="2" t="s">
        <v>6298</v>
      </c>
      <c r="D2821" s="2" t="s">
        <v>178</v>
      </c>
      <c r="E2821" s="2">
        <v>141</v>
      </c>
      <c r="F2821" s="2">
        <v>2912.234</v>
      </c>
    </row>
    <row r="2822" spans="3:6" x14ac:dyDescent="0.25">
      <c r="C2822" s="2" t="s">
        <v>6299</v>
      </c>
      <c r="D2822" s="2" t="s">
        <v>178</v>
      </c>
      <c r="E2822" s="2">
        <v>282</v>
      </c>
      <c r="F2822" s="2">
        <v>5894.1</v>
      </c>
    </row>
    <row r="2823" spans="3:6" x14ac:dyDescent="0.25">
      <c r="C2823" s="2" t="s">
        <v>6300</v>
      </c>
      <c r="D2823" s="2" t="s">
        <v>178</v>
      </c>
      <c r="E2823" s="2">
        <v>13</v>
      </c>
      <c r="F2823" s="2">
        <v>213.479</v>
      </c>
    </row>
    <row r="2824" spans="3:6" x14ac:dyDescent="0.25">
      <c r="C2824" s="2" t="s">
        <v>6301</v>
      </c>
      <c r="D2824" s="2" t="s">
        <v>178</v>
      </c>
      <c r="E2824" s="2">
        <v>19</v>
      </c>
      <c r="F2824" s="2">
        <v>238.86</v>
      </c>
    </row>
    <row r="2825" spans="3:6" x14ac:dyDescent="0.25">
      <c r="C2825" s="2" t="s">
        <v>6302</v>
      </c>
      <c r="D2825" s="2" t="s">
        <v>178</v>
      </c>
      <c r="E2825" s="2">
        <v>46</v>
      </c>
      <c r="F2825" s="2">
        <v>789.54</v>
      </c>
    </row>
    <row r="2826" spans="3:6" x14ac:dyDescent="0.25">
      <c r="C2826" s="2" t="s">
        <v>6303</v>
      </c>
      <c r="D2826" s="2" t="s">
        <v>178</v>
      </c>
      <c r="E2826" s="2">
        <v>246</v>
      </c>
      <c r="F2826" s="2">
        <v>5096.209</v>
      </c>
    </row>
    <row r="2827" spans="3:6" x14ac:dyDescent="0.25">
      <c r="C2827" s="2" t="s">
        <v>6304</v>
      </c>
      <c r="D2827" s="2" t="s">
        <v>178</v>
      </c>
      <c r="E2827" s="2">
        <v>134</v>
      </c>
      <c r="F2827" s="2">
        <v>2845.979</v>
      </c>
    </row>
    <row r="2828" spans="3:6" x14ac:dyDescent="0.25">
      <c r="C2828" s="2" t="s">
        <v>6305</v>
      </c>
      <c r="D2828" s="2" t="s">
        <v>178</v>
      </c>
      <c r="E2828" s="2">
        <v>75</v>
      </c>
      <c r="F2828" s="2">
        <v>1469.68</v>
      </c>
    </row>
    <row r="2829" spans="3:6" x14ac:dyDescent="0.25">
      <c r="C2829" s="2" t="s">
        <v>6306</v>
      </c>
      <c r="D2829" s="2" t="s">
        <v>178</v>
      </c>
      <c r="E2829" s="2">
        <v>39</v>
      </c>
      <c r="F2829" s="2">
        <v>739.02</v>
      </c>
    </row>
    <row r="2830" spans="3:6" x14ac:dyDescent="0.25">
      <c r="C2830" s="2" t="s">
        <v>6307</v>
      </c>
      <c r="D2830" s="2" t="s">
        <v>178</v>
      </c>
      <c r="E2830" s="2">
        <v>10</v>
      </c>
      <c r="F2830" s="2">
        <v>143.53</v>
      </c>
    </row>
    <row r="2831" spans="3:6" x14ac:dyDescent="0.25">
      <c r="C2831" s="2" t="s">
        <v>6308</v>
      </c>
      <c r="D2831" s="2" t="s">
        <v>178</v>
      </c>
      <c r="E2831" s="2">
        <v>141</v>
      </c>
      <c r="F2831" s="2">
        <v>2867.29</v>
      </c>
    </row>
    <row r="2832" spans="3:6" x14ac:dyDescent="0.25">
      <c r="C2832" s="2" t="s">
        <v>6309</v>
      </c>
      <c r="D2832" s="2" t="s">
        <v>178</v>
      </c>
      <c r="E2832" s="2">
        <v>282</v>
      </c>
      <c r="F2832" s="2">
        <v>5914.109</v>
      </c>
    </row>
    <row r="2833" spans="3:6" x14ac:dyDescent="0.25">
      <c r="C2833" s="2" t="s">
        <v>6310</v>
      </c>
      <c r="D2833" s="2" t="s">
        <v>178</v>
      </c>
      <c r="E2833" s="2">
        <v>102</v>
      </c>
      <c r="F2833" s="2">
        <v>2111.36</v>
      </c>
    </row>
    <row r="2834" spans="3:6" x14ac:dyDescent="0.25">
      <c r="C2834" s="2" t="s">
        <v>6311</v>
      </c>
      <c r="D2834" s="2" t="s">
        <v>178</v>
      </c>
      <c r="E2834" s="2">
        <v>142</v>
      </c>
      <c r="F2834" s="2">
        <v>2825.35</v>
      </c>
    </row>
    <row r="2835" spans="3:6" x14ac:dyDescent="0.25">
      <c r="C2835" s="2" t="s">
        <v>6312</v>
      </c>
      <c r="D2835" s="2" t="s">
        <v>178</v>
      </c>
      <c r="E2835" s="2">
        <v>141</v>
      </c>
      <c r="F2835" s="2">
        <v>2909.35</v>
      </c>
    </row>
    <row r="2836" spans="3:6" x14ac:dyDescent="0.25">
      <c r="C2836" s="2" t="s">
        <v>6313</v>
      </c>
      <c r="D2836" s="2" t="s">
        <v>178</v>
      </c>
      <c r="E2836" s="2">
        <v>141</v>
      </c>
      <c r="F2836" s="2">
        <v>2854.68</v>
      </c>
    </row>
    <row r="2837" spans="3:6" x14ac:dyDescent="0.25">
      <c r="C2837" s="2" t="s">
        <v>6314</v>
      </c>
      <c r="D2837" s="2" t="s">
        <v>178</v>
      </c>
      <c r="E2837" s="2">
        <v>282</v>
      </c>
      <c r="F2837" s="2">
        <v>5816.95</v>
      </c>
    </row>
    <row r="2838" spans="3:6" x14ac:dyDescent="0.25">
      <c r="C2838" s="2" t="s">
        <v>6315</v>
      </c>
      <c r="D2838" s="2" t="s">
        <v>178</v>
      </c>
      <c r="E2838" s="2">
        <v>102</v>
      </c>
      <c r="F2838" s="2">
        <v>2079.62</v>
      </c>
    </row>
    <row r="2839" spans="3:6" x14ac:dyDescent="0.25">
      <c r="C2839" s="2" t="s">
        <v>6316</v>
      </c>
      <c r="D2839" s="2" t="s">
        <v>178</v>
      </c>
      <c r="E2839" s="2">
        <v>306</v>
      </c>
      <c r="F2839" s="2">
        <v>6478.869</v>
      </c>
    </row>
    <row r="2840" spans="3:6" x14ac:dyDescent="0.25">
      <c r="C2840" s="2" t="s">
        <v>6317</v>
      </c>
      <c r="D2840" s="2" t="s">
        <v>178</v>
      </c>
      <c r="E2840" s="2">
        <v>141</v>
      </c>
      <c r="F2840" s="2">
        <v>2943.938</v>
      </c>
    </row>
    <row r="2841" spans="3:6" x14ac:dyDescent="0.25">
      <c r="C2841" s="2" t="s">
        <v>6318</v>
      </c>
      <c r="D2841" s="2" t="s">
        <v>178</v>
      </c>
      <c r="E2841" s="2">
        <v>67</v>
      </c>
      <c r="F2841" s="2">
        <v>1325.34</v>
      </c>
    </row>
    <row r="2842" spans="3:6" x14ac:dyDescent="0.25">
      <c r="C2842" s="2" t="s">
        <v>6319</v>
      </c>
      <c r="D2842" s="2" t="s">
        <v>178</v>
      </c>
      <c r="E2842" s="2">
        <v>74</v>
      </c>
      <c r="F2842" s="2">
        <v>1400.579</v>
      </c>
    </row>
    <row r="2843" spans="3:6" x14ac:dyDescent="0.25">
      <c r="C2843" s="2" t="s">
        <v>6320</v>
      </c>
      <c r="D2843" s="2" t="s">
        <v>178</v>
      </c>
      <c r="E2843" s="2">
        <v>51</v>
      </c>
      <c r="F2843" s="2">
        <v>925.61</v>
      </c>
    </row>
    <row r="2844" spans="3:6" x14ac:dyDescent="0.25">
      <c r="C2844" s="2" t="s">
        <v>6321</v>
      </c>
      <c r="D2844" s="2" t="s">
        <v>178</v>
      </c>
      <c r="E2844" s="2">
        <v>51</v>
      </c>
      <c r="F2844" s="2">
        <v>1028.72</v>
      </c>
    </row>
    <row r="2845" spans="3:6" x14ac:dyDescent="0.25">
      <c r="C2845" s="2" t="s">
        <v>6322</v>
      </c>
      <c r="D2845" s="2" t="s">
        <v>178</v>
      </c>
      <c r="E2845" s="2">
        <v>49</v>
      </c>
      <c r="F2845" s="2">
        <v>996.3</v>
      </c>
    </row>
    <row r="2846" spans="3:6" x14ac:dyDescent="0.25">
      <c r="C2846" s="2" t="s">
        <v>6323</v>
      </c>
      <c r="D2846" s="2" t="s">
        <v>178</v>
      </c>
      <c r="E2846" s="2">
        <v>92</v>
      </c>
      <c r="F2846" s="2">
        <v>1903.839</v>
      </c>
    </row>
    <row r="2847" spans="3:6" x14ac:dyDescent="0.25">
      <c r="C2847" s="2" t="s">
        <v>6324</v>
      </c>
      <c r="D2847" s="2" t="s">
        <v>178</v>
      </c>
      <c r="E2847" s="2">
        <v>141</v>
      </c>
      <c r="F2847" s="2">
        <v>2954.96</v>
      </c>
    </row>
    <row r="2849" spans="1:7" x14ac:dyDescent="0.25">
      <c r="A2849" s="1">
        <v>46194</v>
      </c>
      <c r="B2849" s="2" t="s">
        <v>80</v>
      </c>
      <c r="C2849" s="2" t="s">
        <v>6325</v>
      </c>
      <c r="D2849" s="2" t="s">
        <v>82</v>
      </c>
      <c r="E2849" s="2">
        <v>121</v>
      </c>
      <c r="F2849" s="2">
        <v>2456.12</v>
      </c>
      <c r="G2849" s="1">
        <v>46193</v>
      </c>
    </row>
    <row r="2850" spans="3:6" x14ac:dyDescent="0.25">
      <c r="C2850" s="2" t="s">
        <v>6326</v>
      </c>
      <c r="D2850" s="2" t="s">
        <v>82</v>
      </c>
      <c r="E2850" s="2">
        <v>121</v>
      </c>
      <c r="F2850" s="2">
        <v>2479.99</v>
      </c>
    </row>
    <row r="2851" spans="3:6" x14ac:dyDescent="0.25">
      <c r="C2851" s="2" t="s">
        <v>6327</v>
      </c>
      <c r="D2851" s="2" t="s">
        <v>82</v>
      </c>
      <c r="E2851" s="2">
        <v>84</v>
      </c>
      <c r="F2851" s="2">
        <v>1735.43</v>
      </c>
    </row>
    <row r="2852" spans="3:6" x14ac:dyDescent="0.25">
      <c r="C2852" s="2" t="s">
        <v>6328</v>
      </c>
      <c r="D2852" s="2" t="s">
        <v>82</v>
      </c>
      <c r="E2852" s="2">
        <v>57</v>
      </c>
      <c r="F2852" s="2">
        <v>1193.789</v>
      </c>
    </row>
    <row r="2853" spans="3:6" x14ac:dyDescent="0.25">
      <c r="C2853" s="2" t="s">
        <v>6329</v>
      </c>
      <c r="D2853" s="2" t="s">
        <v>82</v>
      </c>
      <c r="E2853" s="2">
        <v>99</v>
      </c>
      <c r="F2853" s="2">
        <v>2006.509</v>
      </c>
    </row>
    <row r="2854" spans="3:6" x14ac:dyDescent="0.25">
      <c r="C2854" s="2" t="s">
        <v>6330</v>
      </c>
      <c r="D2854" s="2" t="s">
        <v>82</v>
      </c>
      <c r="E2854" s="2">
        <v>42</v>
      </c>
      <c r="F2854" s="2">
        <v>885.89</v>
      </c>
    </row>
    <row r="2855" spans="3:6" x14ac:dyDescent="0.25">
      <c r="C2855" s="2" t="s">
        <v>6331</v>
      </c>
      <c r="D2855" s="2" t="s">
        <v>82</v>
      </c>
      <c r="E2855" s="2">
        <v>53</v>
      </c>
      <c r="F2855" s="2">
        <v>1122.6</v>
      </c>
    </row>
    <row r="2856" spans="3:6" x14ac:dyDescent="0.25">
      <c r="C2856" s="2" t="s">
        <v>6332</v>
      </c>
      <c r="D2856" s="2" t="s">
        <v>82</v>
      </c>
      <c r="E2856" s="2">
        <v>31</v>
      </c>
      <c r="F2856" s="2">
        <v>534.562</v>
      </c>
    </row>
    <row r="2857" spans="3:6" x14ac:dyDescent="0.25">
      <c r="C2857" s="2" t="s">
        <v>6333</v>
      </c>
      <c r="D2857" s="2" t="s">
        <v>82</v>
      </c>
      <c r="E2857" s="2">
        <v>39</v>
      </c>
      <c r="F2857" s="2">
        <v>775.11</v>
      </c>
    </row>
    <row r="2858" spans="3:6" x14ac:dyDescent="0.25">
      <c r="C2858" s="2" t="s">
        <v>6334</v>
      </c>
      <c r="D2858" s="2" t="s">
        <v>82</v>
      </c>
      <c r="E2858" s="2">
        <v>16</v>
      </c>
      <c r="F2858" s="2">
        <v>291.56</v>
      </c>
    </row>
    <row r="2859" spans="3:6" x14ac:dyDescent="0.25">
      <c r="C2859" s="2" t="s">
        <v>6335</v>
      </c>
      <c r="D2859" s="2" t="s">
        <v>82</v>
      </c>
      <c r="E2859" s="2">
        <v>48</v>
      </c>
      <c r="F2859" s="2">
        <v>861.69</v>
      </c>
    </row>
    <row r="2860" spans="3:6" x14ac:dyDescent="0.25">
      <c r="C2860" s="2" t="s">
        <v>6336</v>
      </c>
      <c r="D2860" s="2" t="s">
        <v>82</v>
      </c>
      <c r="E2860" s="2">
        <v>67</v>
      </c>
      <c r="F2860" s="2">
        <v>1275.07</v>
      </c>
    </row>
    <row r="2861" spans="3:6" x14ac:dyDescent="0.25">
      <c r="C2861" s="2" t="s">
        <v>6337</v>
      </c>
      <c r="D2861" s="2" t="s">
        <v>82</v>
      </c>
      <c r="E2861" s="2">
        <v>27</v>
      </c>
      <c r="F2861" s="2">
        <v>531.75</v>
      </c>
    </row>
    <row r="2862" spans="3:6" x14ac:dyDescent="0.25">
      <c r="C2862" s="2" t="s">
        <v>6338</v>
      </c>
      <c r="D2862" s="2" t="s">
        <v>82</v>
      </c>
      <c r="E2862" s="2">
        <v>102</v>
      </c>
      <c r="F2862" s="2">
        <v>2149.28</v>
      </c>
    </row>
    <row r="2863" spans="3:6" x14ac:dyDescent="0.25">
      <c r="C2863" s="2" t="s">
        <v>6339</v>
      </c>
      <c r="D2863" s="2" t="s">
        <v>82</v>
      </c>
      <c r="E2863" s="2">
        <v>102</v>
      </c>
      <c r="F2863" s="2">
        <v>2136.53</v>
      </c>
    </row>
    <row r="2864" spans="3:6" x14ac:dyDescent="0.25">
      <c r="C2864" s="2" t="s">
        <v>6340</v>
      </c>
      <c r="D2864" s="2" t="s">
        <v>82</v>
      </c>
      <c r="E2864" s="2">
        <v>102</v>
      </c>
      <c r="F2864" s="2">
        <v>2110.93</v>
      </c>
    </row>
    <row r="2865" spans="3:6" x14ac:dyDescent="0.25">
      <c r="C2865" s="2" t="s">
        <v>6341</v>
      </c>
      <c r="D2865" s="2" t="s">
        <v>82</v>
      </c>
      <c r="E2865" s="2">
        <v>102</v>
      </c>
      <c r="F2865" s="2">
        <v>2102.54</v>
      </c>
    </row>
    <row r="2866" spans="3:6" x14ac:dyDescent="0.25">
      <c r="C2866" s="2" t="s">
        <v>6342</v>
      </c>
      <c r="D2866" s="2" t="s">
        <v>82</v>
      </c>
      <c r="E2866" s="2">
        <v>102</v>
      </c>
      <c r="F2866" s="2">
        <v>2070.46</v>
      </c>
    </row>
    <row r="2867" spans="3:6" x14ac:dyDescent="0.25">
      <c r="C2867" s="2" t="s">
        <v>6343</v>
      </c>
      <c r="D2867" s="2" t="s">
        <v>82</v>
      </c>
      <c r="E2867" s="2">
        <v>68</v>
      </c>
      <c r="F2867" s="2">
        <v>1355.81</v>
      </c>
    </row>
    <row r="2868" spans="3:6" x14ac:dyDescent="0.25">
      <c r="C2868" s="2" t="s">
        <v>6344</v>
      </c>
      <c r="D2868" s="2" t="s">
        <v>82</v>
      </c>
      <c r="E2868" s="2">
        <v>55</v>
      </c>
      <c r="F2868" s="2">
        <v>957.79</v>
      </c>
    </row>
    <row r="2869" spans="3:6" x14ac:dyDescent="0.25">
      <c r="C2869" s="2" t="s">
        <v>6345</v>
      </c>
      <c r="D2869" s="2" t="s">
        <v>82</v>
      </c>
      <c r="E2869" s="2">
        <v>53</v>
      </c>
      <c r="F2869" s="2">
        <v>1041.61</v>
      </c>
    </row>
    <row r="2870" spans="3:6" x14ac:dyDescent="0.25">
      <c r="C2870" s="2" t="s">
        <v>6346</v>
      </c>
      <c r="D2870" s="2" t="s">
        <v>82</v>
      </c>
      <c r="E2870" s="2">
        <v>48</v>
      </c>
      <c r="F2870" s="2">
        <v>1011.93</v>
      </c>
    </row>
    <row r="2871" spans="3:6" x14ac:dyDescent="0.25">
      <c r="C2871" s="2" t="s">
        <v>6347</v>
      </c>
      <c r="D2871" s="2" t="s">
        <v>82</v>
      </c>
      <c r="E2871" s="2">
        <v>20</v>
      </c>
      <c r="F2871" s="2">
        <v>391.61</v>
      </c>
    </row>
    <row r="2872" spans="3:6" x14ac:dyDescent="0.25">
      <c r="C2872" s="2" t="s">
        <v>6348</v>
      </c>
      <c r="D2872" s="2" t="s">
        <v>82</v>
      </c>
      <c r="E2872" s="2">
        <v>134</v>
      </c>
      <c r="F2872" s="2">
        <v>2754.75</v>
      </c>
    </row>
    <row r="2873" spans="3:6" x14ac:dyDescent="0.25">
      <c r="C2873" s="2" t="s">
        <v>6349</v>
      </c>
      <c r="D2873" s="2" t="s">
        <v>82</v>
      </c>
      <c r="E2873" s="2">
        <v>60</v>
      </c>
      <c r="F2873" s="2">
        <v>1209.03</v>
      </c>
    </row>
    <row r="2874" spans="3:6" x14ac:dyDescent="0.25">
      <c r="C2874" s="2" t="s">
        <v>6350</v>
      </c>
      <c r="D2874" s="2" t="s">
        <v>82</v>
      </c>
      <c r="E2874" s="2">
        <v>81</v>
      </c>
      <c r="F2874" s="2">
        <v>1657.93</v>
      </c>
    </row>
    <row r="2875" spans="3:6" x14ac:dyDescent="0.25">
      <c r="C2875" s="2" t="s">
        <v>6351</v>
      </c>
      <c r="D2875" s="2" t="s">
        <v>82</v>
      </c>
      <c r="E2875" s="2">
        <v>141</v>
      </c>
      <c r="F2875" s="2">
        <v>2969.33</v>
      </c>
    </row>
    <row r="2876" spans="3:6" x14ac:dyDescent="0.25">
      <c r="C2876" s="2" t="s">
        <v>6352</v>
      </c>
      <c r="D2876" s="2" t="s">
        <v>82</v>
      </c>
      <c r="E2876" s="2">
        <v>40</v>
      </c>
      <c r="F2876" s="2">
        <v>811.99</v>
      </c>
    </row>
    <row r="2877" spans="3:6" x14ac:dyDescent="0.25">
      <c r="C2877" s="2" t="s">
        <v>6353</v>
      </c>
      <c r="D2877" s="2" t="s">
        <v>82</v>
      </c>
      <c r="E2877" s="2">
        <v>35</v>
      </c>
      <c r="F2877" s="2">
        <v>723.77</v>
      </c>
    </row>
    <row r="2878" spans="3:6" x14ac:dyDescent="0.25">
      <c r="C2878" s="2" t="s">
        <v>6354</v>
      </c>
      <c r="D2878" s="2" t="s">
        <v>82</v>
      </c>
      <c r="E2878" s="2">
        <v>41</v>
      </c>
      <c r="F2878" s="2">
        <v>180.849</v>
      </c>
    </row>
    <row r="2879" spans="3:6" x14ac:dyDescent="0.25">
      <c r="C2879" s="2" t="s">
        <v>6355</v>
      </c>
      <c r="D2879" s="2" t="s">
        <v>82</v>
      </c>
      <c r="E2879" s="2">
        <v>141</v>
      </c>
      <c r="F2879" s="2">
        <v>2810.299</v>
      </c>
    </row>
    <row r="2880" spans="3:6" x14ac:dyDescent="0.25">
      <c r="C2880" s="2" t="s">
        <v>6356</v>
      </c>
      <c r="D2880" s="2" t="s">
        <v>82</v>
      </c>
      <c r="E2880" s="2">
        <v>141</v>
      </c>
      <c r="F2880" s="2">
        <v>2853.199</v>
      </c>
    </row>
    <row r="2881" spans="3:6" x14ac:dyDescent="0.25">
      <c r="C2881" s="2" t="s">
        <v>6357</v>
      </c>
      <c r="D2881" s="2" t="s">
        <v>82</v>
      </c>
      <c r="E2881" s="2">
        <v>141</v>
      </c>
      <c r="F2881" s="2">
        <v>2865.51</v>
      </c>
    </row>
    <row r="2882" spans="3:6" x14ac:dyDescent="0.25">
      <c r="C2882" s="2" t="s">
        <v>6358</v>
      </c>
      <c r="D2882" s="2" t="s">
        <v>82</v>
      </c>
      <c r="E2882" s="2">
        <v>49</v>
      </c>
      <c r="F2882" s="2">
        <v>951.27</v>
      </c>
    </row>
    <row r="2883" spans="3:6" x14ac:dyDescent="0.25">
      <c r="C2883" s="2" t="s">
        <v>6359</v>
      </c>
      <c r="D2883" s="2" t="s">
        <v>82</v>
      </c>
      <c r="E2883" s="2">
        <v>16</v>
      </c>
      <c r="F2883" s="2">
        <v>322.35</v>
      </c>
    </row>
    <row r="2884" spans="3:6" x14ac:dyDescent="0.25">
      <c r="C2884" s="2" t="s">
        <v>6360</v>
      </c>
      <c r="D2884" s="2" t="s">
        <v>82</v>
      </c>
      <c r="E2884" s="2">
        <v>15</v>
      </c>
      <c r="F2884" s="2">
        <v>294.36</v>
      </c>
    </row>
    <row r="2885" spans="3:6" x14ac:dyDescent="0.25">
      <c r="C2885" s="2" t="s">
        <v>6361</v>
      </c>
      <c r="D2885" s="2" t="s">
        <v>82</v>
      </c>
      <c r="E2885" s="2">
        <v>33</v>
      </c>
      <c r="F2885" s="2">
        <v>643.14</v>
      </c>
    </row>
    <row r="2886" spans="3:6" x14ac:dyDescent="0.25">
      <c r="C2886" s="2" t="s">
        <v>6362</v>
      </c>
      <c r="D2886" s="2" t="s">
        <v>82</v>
      </c>
      <c r="E2886" s="2">
        <v>29</v>
      </c>
      <c r="F2886" s="2">
        <v>620.27</v>
      </c>
    </row>
    <row r="2887" spans="3:6" x14ac:dyDescent="0.25">
      <c r="C2887" s="2" t="s">
        <v>6363</v>
      </c>
      <c r="D2887" s="2" t="s">
        <v>82</v>
      </c>
      <c r="E2887" s="2">
        <v>141</v>
      </c>
      <c r="F2887" s="2">
        <v>2960.88</v>
      </c>
    </row>
    <row r="2888" spans="3:6" x14ac:dyDescent="0.25">
      <c r="C2888" s="2" t="s">
        <v>6364</v>
      </c>
      <c r="D2888" s="2" t="s">
        <v>82</v>
      </c>
      <c r="E2888" s="2">
        <v>64</v>
      </c>
      <c r="F2888" s="2">
        <v>1285.09</v>
      </c>
    </row>
    <row r="2889" spans="3:6" x14ac:dyDescent="0.25">
      <c r="C2889" s="2" t="s">
        <v>6365</v>
      </c>
      <c r="D2889" s="2" t="s">
        <v>82</v>
      </c>
      <c r="E2889" s="2">
        <v>77</v>
      </c>
      <c r="F2889" s="2">
        <v>1541.24</v>
      </c>
    </row>
    <row r="2890" spans="3:6" x14ac:dyDescent="0.25">
      <c r="C2890" s="2" t="s">
        <v>6366</v>
      </c>
      <c r="D2890" s="2" t="s">
        <v>82</v>
      </c>
      <c r="E2890" s="2">
        <v>6</v>
      </c>
      <c r="F2890" s="2">
        <v>117.96</v>
      </c>
    </row>
    <row r="2891" spans="3:6" x14ac:dyDescent="0.25">
      <c r="C2891" s="2" t="s">
        <v>6367</v>
      </c>
      <c r="D2891" s="2" t="s">
        <v>82</v>
      </c>
      <c r="E2891" s="2">
        <v>13</v>
      </c>
      <c r="F2891" s="2">
        <v>240.96</v>
      </c>
    </row>
    <row r="2892" spans="3:6" x14ac:dyDescent="0.25">
      <c r="C2892" s="2" t="s">
        <v>6368</v>
      </c>
      <c r="D2892" s="2" t="s">
        <v>82</v>
      </c>
      <c r="E2892" s="2">
        <v>12</v>
      </c>
      <c r="F2892" s="2">
        <v>226.15</v>
      </c>
    </row>
    <row r="2893" spans="3:6" x14ac:dyDescent="0.25">
      <c r="C2893" s="2" t="s">
        <v>6369</v>
      </c>
      <c r="D2893" s="2" t="s">
        <v>82</v>
      </c>
      <c r="E2893" s="2">
        <v>9</v>
      </c>
      <c r="F2893" s="2">
        <v>191.742</v>
      </c>
    </row>
    <row r="2894" spans="3:6" x14ac:dyDescent="0.25">
      <c r="C2894" s="2" t="s">
        <v>6370</v>
      </c>
      <c r="D2894" s="2" t="s">
        <v>82</v>
      </c>
      <c r="E2894" s="2">
        <v>32</v>
      </c>
      <c r="F2894" s="2">
        <v>660.32</v>
      </c>
    </row>
    <row r="2895" spans="3:6" x14ac:dyDescent="0.25">
      <c r="C2895" s="2" t="s">
        <v>6371</v>
      </c>
      <c r="D2895" s="2" t="s">
        <v>82</v>
      </c>
      <c r="E2895" s="2">
        <v>28</v>
      </c>
      <c r="F2895" s="2">
        <v>423.71</v>
      </c>
    </row>
    <row r="2896" spans="3:6" x14ac:dyDescent="0.25">
      <c r="C2896" s="2" t="s">
        <v>6372</v>
      </c>
      <c r="D2896" s="2" t="s">
        <v>82</v>
      </c>
      <c r="E2896" s="2">
        <v>17</v>
      </c>
      <c r="F2896" s="2">
        <v>161.133</v>
      </c>
    </row>
    <row r="2897" spans="3:6" x14ac:dyDescent="0.25">
      <c r="C2897" s="2" t="s">
        <v>6373</v>
      </c>
      <c r="D2897" s="2" t="s">
        <v>82</v>
      </c>
      <c r="E2897" s="2">
        <v>15</v>
      </c>
      <c r="F2897" s="2">
        <v>301.98</v>
      </c>
    </row>
    <row r="2899" spans="1:7" x14ac:dyDescent="0.25">
      <c r="A2899" s="1">
        <v>46194</v>
      </c>
      <c r="B2899" s="2" t="s">
        <v>122</v>
      </c>
      <c r="C2899" s="2" t="s">
        <v>6374</v>
      </c>
      <c r="D2899" s="2" t="s">
        <v>9</v>
      </c>
      <c r="E2899" s="2">
        <v>150</v>
      </c>
      <c r="F2899" s="2">
        <v>3111.98</v>
      </c>
      <c r="G2899" s="1">
        <v>46198</v>
      </c>
    </row>
    <row r="2900" spans="3:6" x14ac:dyDescent="0.25">
      <c r="C2900" s="2" t="s">
        <v>6375</v>
      </c>
      <c r="D2900" s="2" t="s">
        <v>9</v>
      </c>
      <c r="E2900" s="2">
        <v>150</v>
      </c>
      <c r="F2900" s="2">
        <v>3097.379</v>
      </c>
    </row>
    <row r="2901" spans="3:6" x14ac:dyDescent="0.25">
      <c r="C2901" s="2" t="s">
        <v>6376</v>
      </c>
      <c r="D2901" s="2" t="s">
        <v>9</v>
      </c>
      <c r="E2901" s="2">
        <v>71</v>
      </c>
      <c r="F2901" s="2">
        <v>1496.84</v>
      </c>
    </row>
    <row r="2903" spans="1:7" x14ac:dyDescent="0.25">
      <c r="A2903" s="1">
        <v>46194</v>
      </c>
      <c r="B2903" s="2" t="s">
        <v>7</v>
      </c>
      <c r="C2903" s="2" t="s">
        <v>6377</v>
      </c>
      <c r="D2903" s="2" t="s">
        <v>9</v>
      </c>
      <c r="E2903" s="2">
        <v>90</v>
      </c>
      <c r="F2903" s="2">
        <v>1809.53</v>
      </c>
      <c r="G2903" s="1">
        <v>46193</v>
      </c>
    </row>
    <row r="2904" spans="3:6" x14ac:dyDescent="0.25">
      <c r="C2904" s="2" t="s">
        <v>6376</v>
      </c>
      <c r="D2904" s="2" t="s">
        <v>9</v>
      </c>
      <c r="E2904" s="2">
        <v>71</v>
      </c>
      <c r="F2904" s="2">
        <v>1496.84</v>
      </c>
    </row>
    <row r="2905" spans="3:6" x14ac:dyDescent="0.25">
      <c r="C2905" s="2" t="s">
        <v>6378</v>
      </c>
      <c r="D2905" s="2" t="s">
        <v>9</v>
      </c>
      <c r="E2905" s="2">
        <v>88</v>
      </c>
      <c r="F2905" s="2">
        <v>1811.45</v>
      </c>
    </row>
    <row r="2907" spans="1:7" x14ac:dyDescent="0.25">
      <c r="A2907" s="1">
        <v>46194</v>
      </c>
      <c r="B2907" s="2" t="s">
        <v>4257</v>
      </c>
      <c r="C2907" s="2" t="s">
        <v>6379</v>
      </c>
      <c r="D2907" s="2" t="s">
        <v>15</v>
      </c>
      <c r="E2907" s="2">
        <v>99</v>
      </c>
      <c r="F2907" s="2">
        <v>2191.53</v>
      </c>
      <c r="G2907" s="1">
        <v>46193</v>
      </c>
    </row>
    <row r="2909" spans="3:7" x14ac:dyDescent="0.25">
      <c r="C2909" s="2" t="s">
        <v>6380</v>
      </c>
      <c r="D2909" s="2" t="s">
        <v>3848</v>
      </c>
      <c r="E2909" s="2">
        <v>50</v>
      </c>
      <c r="F2909" s="2">
        <v>756.26</v>
      </c>
      <c r="G2909" s="1">
        <v>46193</v>
      </c>
    </row>
    <row r="2910" spans="3:6" x14ac:dyDescent="0.25">
      <c r="C2910" s="2" t="s">
        <v>6381</v>
      </c>
      <c r="D2910" s="2" t="s">
        <v>3848</v>
      </c>
      <c r="E2910" s="2">
        <v>50</v>
      </c>
      <c r="F2910" s="2">
        <v>891.59</v>
      </c>
    </row>
    <row r="2912" spans="1:7" x14ac:dyDescent="0.25">
      <c r="A2912" s="1">
        <v>46195</v>
      </c>
      <c r="B2912" s="2" t="s">
        <v>1012</v>
      </c>
      <c r="C2912" s="2" t="s">
        <v>6382</v>
      </c>
      <c r="D2912" s="2" t="s">
        <v>82</v>
      </c>
      <c r="E2912" s="2">
        <v>141</v>
      </c>
      <c r="F2912" s="2">
        <v>2892.98</v>
      </c>
      <c r="G2912" s="1">
        <v>46198</v>
      </c>
    </row>
    <row r="2914" spans="1:7" x14ac:dyDescent="0.25">
      <c r="A2914" s="1">
        <v>46195</v>
      </c>
      <c r="B2914" s="2" t="s">
        <v>176</v>
      </c>
      <c r="C2914" s="2" t="s">
        <v>6383</v>
      </c>
      <c r="D2914" s="2" t="s">
        <v>178</v>
      </c>
      <c r="E2914" s="2">
        <v>60</v>
      </c>
      <c r="F2914" s="2">
        <v>253.39</v>
      </c>
      <c r="G2914" s="1">
        <v>46194</v>
      </c>
    </row>
    <row r="2915" spans="3:6" x14ac:dyDescent="0.25">
      <c r="C2915" s="2" t="s">
        <v>6384</v>
      </c>
      <c r="D2915" s="2" t="s">
        <v>178</v>
      </c>
      <c r="E2915" s="2">
        <v>44</v>
      </c>
      <c r="F2915" s="2">
        <v>189.008</v>
      </c>
    </row>
    <row r="2916" spans="3:6" x14ac:dyDescent="0.25">
      <c r="C2916" s="2" t="s">
        <v>6385</v>
      </c>
      <c r="D2916" s="2" t="s">
        <v>178</v>
      </c>
      <c r="E2916" s="2">
        <v>1</v>
      </c>
      <c r="F2916" s="2">
        <v>4.07</v>
      </c>
    </row>
    <row r="2917" spans="3:6" x14ac:dyDescent="0.25">
      <c r="C2917" s="2" t="s">
        <v>6386</v>
      </c>
      <c r="D2917" s="2" t="s">
        <v>178</v>
      </c>
      <c r="E2917" s="2">
        <v>123</v>
      </c>
      <c r="F2917" s="2">
        <v>2347.958</v>
      </c>
    </row>
    <row r="2918" spans="3:6" x14ac:dyDescent="0.25">
      <c r="C2918" s="2" t="s">
        <v>6387</v>
      </c>
      <c r="D2918" s="2" t="s">
        <v>178</v>
      </c>
      <c r="E2918" s="2">
        <v>123</v>
      </c>
      <c r="F2918" s="2">
        <v>2346.03</v>
      </c>
    </row>
    <row r="2919" spans="3:6" x14ac:dyDescent="0.25">
      <c r="C2919" s="2" t="s">
        <v>6388</v>
      </c>
      <c r="D2919" s="2" t="s">
        <v>178</v>
      </c>
      <c r="E2919" s="2">
        <v>63</v>
      </c>
      <c r="F2919" s="2">
        <v>1232.07</v>
      </c>
    </row>
    <row r="2920" spans="3:6" x14ac:dyDescent="0.25">
      <c r="C2920" s="2" t="s">
        <v>6389</v>
      </c>
      <c r="D2920" s="2" t="s">
        <v>178</v>
      </c>
      <c r="E2920" s="2">
        <v>60</v>
      </c>
      <c r="F2920" s="2">
        <v>1153.708</v>
      </c>
    </row>
    <row r="2921" spans="3:6" x14ac:dyDescent="0.25">
      <c r="C2921" s="2" t="s">
        <v>6390</v>
      </c>
      <c r="D2921" s="2" t="s">
        <v>178</v>
      </c>
      <c r="E2921" s="2">
        <v>134</v>
      </c>
      <c r="F2921" s="2">
        <v>2906.68</v>
      </c>
    </row>
    <row r="2922" spans="3:6" x14ac:dyDescent="0.25">
      <c r="C2922" s="2" t="s">
        <v>6391</v>
      </c>
      <c r="D2922" s="2" t="s">
        <v>178</v>
      </c>
      <c r="E2922" s="2">
        <v>145</v>
      </c>
      <c r="F2922" s="2">
        <v>2124.74</v>
      </c>
    </row>
    <row r="2923" spans="3:6" x14ac:dyDescent="0.25">
      <c r="C2923" s="2" t="s">
        <v>6392</v>
      </c>
      <c r="D2923" s="2" t="s">
        <v>178</v>
      </c>
      <c r="E2923" s="2">
        <v>141</v>
      </c>
      <c r="F2923" s="2">
        <v>2998.63</v>
      </c>
    </row>
    <row r="2924" spans="3:6" x14ac:dyDescent="0.25">
      <c r="C2924" s="2" t="s">
        <v>6393</v>
      </c>
      <c r="D2924" s="2" t="s">
        <v>178</v>
      </c>
      <c r="E2924" s="2">
        <v>123</v>
      </c>
      <c r="F2924" s="2">
        <v>2604.82</v>
      </c>
    </row>
    <row r="2925" spans="3:6" x14ac:dyDescent="0.25">
      <c r="C2925" s="2" t="s">
        <v>6394</v>
      </c>
      <c r="D2925" s="2" t="s">
        <v>178</v>
      </c>
      <c r="E2925" s="2">
        <v>102</v>
      </c>
      <c r="F2925" s="2">
        <v>1994</v>
      </c>
    </row>
    <row r="2926" spans="3:6" x14ac:dyDescent="0.25">
      <c r="C2926" s="2" t="s">
        <v>6395</v>
      </c>
      <c r="D2926" s="2" t="s">
        <v>178</v>
      </c>
      <c r="E2926" s="2">
        <v>141</v>
      </c>
      <c r="F2926" s="2">
        <v>2871.42</v>
      </c>
    </row>
    <row r="2927" spans="3:6" x14ac:dyDescent="0.25">
      <c r="C2927" s="2" t="s">
        <v>6396</v>
      </c>
      <c r="D2927" s="2" t="s">
        <v>178</v>
      </c>
      <c r="E2927" s="2">
        <v>142</v>
      </c>
      <c r="F2927" s="2">
        <v>2557.25</v>
      </c>
    </row>
    <row r="2928" spans="3:6" x14ac:dyDescent="0.25">
      <c r="C2928" s="2" t="s">
        <v>6397</v>
      </c>
      <c r="D2928" s="2" t="s">
        <v>178</v>
      </c>
      <c r="E2928" s="2">
        <v>102</v>
      </c>
      <c r="F2928" s="2">
        <v>2021.11</v>
      </c>
    </row>
    <row r="2929" spans="3:6" x14ac:dyDescent="0.25">
      <c r="C2929" s="2" t="s">
        <v>6398</v>
      </c>
      <c r="D2929" s="2" t="s">
        <v>178</v>
      </c>
      <c r="E2929" s="2">
        <v>141</v>
      </c>
      <c r="F2929" s="2">
        <v>2930.49</v>
      </c>
    </row>
    <row r="2930" spans="3:6" x14ac:dyDescent="0.25">
      <c r="C2930" s="2" t="s">
        <v>6399</v>
      </c>
      <c r="D2930" s="2" t="s">
        <v>178</v>
      </c>
      <c r="E2930" s="2">
        <v>141</v>
      </c>
      <c r="F2930" s="2">
        <v>2932.56</v>
      </c>
    </row>
    <row r="2931" spans="3:6" x14ac:dyDescent="0.25">
      <c r="C2931" s="2" t="s">
        <v>6400</v>
      </c>
      <c r="D2931" s="2" t="s">
        <v>178</v>
      </c>
      <c r="E2931" s="2">
        <v>141</v>
      </c>
      <c r="F2931" s="2">
        <v>2917.559</v>
      </c>
    </row>
    <row r="2932" spans="3:6" x14ac:dyDescent="0.25">
      <c r="C2932" s="2" t="s">
        <v>6401</v>
      </c>
      <c r="D2932" s="2" t="s">
        <v>178</v>
      </c>
      <c r="E2932" s="2">
        <v>102</v>
      </c>
      <c r="F2932" s="2">
        <v>2221.41</v>
      </c>
    </row>
    <row r="2933" spans="3:6" x14ac:dyDescent="0.25">
      <c r="C2933" s="2" t="s">
        <v>6402</v>
      </c>
      <c r="D2933" s="2" t="s">
        <v>178</v>
      </c>
      <c r="E2933" s="2">
        <v>75</v>
      </c>
      <c r="F2933" s="2">
        <v>1518.54</v>
      </c>
    </row>
    <row r="2934" spans="3:6" x14ac:dyDescent="0.25">
      <c r="C2934" s="2" t="s">
        <v>6403</v>
      </c>
      <c r="D2934" s="2" t="s">
        <v>178</v>
      </c>
      <c r="E2934" s="2">
        <v>16</v>
      </c>
      <c r="F2934" s="2">
        <v>309.89</v>
      </c>
    </row>
    <row r="2935" spans="3:6" x14ac:dyDescent="0.25">
      <c r="C2935" s="2" t="s">
        <v>6404</v>
      </c>
      <c r="D2935" s="2" t="s">
        <v>178</v>
      </c>
      <c r="E2935" s="2">
        <v>20</v>
      </c>
      <c r="F2935" s="2">
        <v>354.6</v>
      </c>
    </row>
    <row r="2936" spans="3:6" x14ac:dyDescent="0.25">
      <c r="C2936" s="2" t="s">
        <v>6405</v>
      </c>
      <c r="D2936" s="2" t="s">
        <v>178</v>
      </c>
      <c r="E2936" s="2">
        <v>18</v>
      </c>
      <c r="F2936" s="2">
        <v>302.59</v>
      </c>
    </row>
    <row r="2937" spans="3:6" x14ac:dyDescent="0.25">
      <c r="C2937" s="2" t="s">
        <v>6406</v>
      </c>
      <c r="D2937" s="2" t="s">
        <v>178</v>
      </c>
      <c r="E2937" s="2">
        <v>17</v>
      </c>
      <c r="F2937" s="2">
        <v>294.15</v>
      </c>
    </row>
    <row r="2938" spans="3:6" x14ac:dyDescent="0.25">
      <c r="C2938" s="2" t="s">
        <v>6407</v>
      </c>
      <c r="D2938" s="2" t="s">
        <v>178</v>
      </c>
      <c r="E2938" s="2">
        <v>11</v>
      </c>
      <c r="F2938" s="2">
        <v>119.49</v>
      </c>
    </row>
    <row r="2939" spans="3:6" x14ac:dyDescent="0.25">
      <c r="C2939" s="2" t="s">
        <v>6408</v>
      </c>
      <c r="D2939" s="2" t="s">
        <v>178</v>
      </c>
      <c r="E2939" s="2">
        <v>7</v>
      </c>
      <c r="F2939" s="2">
        <v>25.26</v>
      </c>
    </row>
    <row r="2940" spans="3:6" x14ac:dyDescent="0.25">
      <c r="C2940" s="2" t="s">
        <v>6409</v>
      </c>
      <c r="D2940" s="2" t="s">
        <v>178</v>
      </c>
      <c r="E2940" s="2">
        <v>12</v>
      </c>
      <c r="F2940" s="2">
        <v>124.44</v>
      </c>
    </row>
    <row r="2941" spans="3:6" x14ac:dyDescent="0.25">
      <c r="C2941" s="2" t="s">
        <v>6410</v>
      </c>
      <c r="D2941" s="2" t="s">
        <v>178</v>
      </c>
      <c r="E2941" s="2">
        <v>8</v>
      </c>
      <c r="F2941" s="2">
        <v>73.809</v>
      </c>
    </row>
    <row r="2942" spans="3:6" x14ac:dyDescent="0.25">
      <c r="C2942" s="2" t="s">
        <v>6411</v>
      </c>
      <c r="D2942" s="2" t="s">
        <v>178</v>
      </c>
      <c r="E2942" s="2">
        <v>43</v>
      </c>
      <c r="F2942" s="2">
        <v>787.089</v>
      </c>
    </row>
    <row r="2943" spans="3:6" x14ac:dyDescent="0.25">
      <c r="C2943" s="2" t="s">
        <v>6412</v>
      </c>
      <c r="D2943" s="2" t="s">
        <v>178</v>
      </c>
      <c r="E2943" s="2">
        <v>282</v>
      </c>
      <c r="F2943" s="2">
        <v>5707.36</v>
      </c>
    </row>
    <row r="2944" spans="3:6" x14ac:dyDescent="0.25">
      <c r="C2944" s="2" t="s">
        <v>6413</v>
      </c>
      <c r="D2944" s="2" t="s">
        <v>178</v>
      </c>
      <c r="E2944" s="2">
        <v>141</v>
      </c>
      <c r="F2944" s="2">
        <v>2804.579</v>
      </c>
    </row>
    <row r="2945" spans="3:6" x14ac:dyDescent="0.25">
      <c r="C2945" s="2" t="s">
        <v>6414</v>
      </c>
      <c r="D2945" s="2" t="s">
        <v>178</v>
      </c>
      <c r="E2945" s="2">
        <v>73</v>
      </c>
      <c r="F2945" s="2">
        <v>1452.77</v>
      </c>
    </row>
    <row r="2946" spans="3:6" x14ac:dyDescent="0.25">
      <c r="C2946" s="2" t="s">
        <v>6415</v>
      </c>
      <c r="D2946" s="2" t="s">
        <v>178</v>
      </c>
      <c r="E2946" s="2">
        <v>68</v>
      </c>
      <c r="F2946" s="2">
        <v>1365.89</v>
      </c>
    </row>
    <row r="2947" spans="3:6" x14ac:dyDescent="0.25">
      <c r="C2947" s="2" t="s">
        <v>6416</v>
      </c>
      <c r="D2947" s="2" t="s">
        <v>178</v>
      </c>
      <c r="E2947" s="2">
        <v>98</v>
      </c>
      <c r="F2947" s="2">
        <v>1978.8</v>
      </c>
    </row>
    <row r="2948" spans="3:6" x14ac:dyDescent="0.25">
      <c r="C2948" s="2" t="s">
        <v>6417</v>
      </c>
      <c r="D2948" s="2" t="s">
        <v>178</v>
      </c>
      <c r="E2948" s="2">
        <v>18</v>
      </c>
      <c r="F2948" s="2">
        <v>337.87</v>
      </c>
    </row>
    <row r="2949" spans="3:6" x14ac:dyDescent="0.25">
      <c r="C2949" s="2" t="s">
        <v>6418</v>
      </c>
      <c r="D2949" s="2" t="s">
        <v>178</v>
      </c>
      <c r="E2949" s="2">
        <v>25</v>
      </c>
      <c r="F2949" s="2">
        <v>517.28</v>
      </c>
    </row>
    <row r="2950" spans="3:6" x14ac:dyDescent="0.25">
      <c r="C2950" s="2" t="s">
        <v>6419</v>
      </c>
      <c r="D2950" s="2" t="s">
        <v>178</v>
      </c>
      <c r="E2950" s="2">
        <v>102</v>
      </c>
      <c r="F2950" s="2">
        <v>2127.49</v>
      </c>
    </row>
    <row r="2951" spans="3:6" x14ac:dyDescent="0.25">
      <c r="C2951" s="2" t="s">
        <v>6420</v>
      </c>
      <c r="D2951" s="2" t="s">
        <v>178</v>
      </c>
      <c r="E2951" s="2">
        <v>102</v>
      </c>
      <c r="F2951" s="2">
        <v>1901.122</v>
      </c>
    </row>
    <row r="2952" spans="3:6" x14ac:dyDescent="0.25">
      <c r="C2952" s="2" t="s">
        <v>6421</v>
      </c>
      <c r="D2952" s="2" t="s">
        <v>178</v>
      </c>
      <c r="E2952" s="2">
        <v>102</v>
      </c>
      <c r="F2952" s="2">
        <v>1703.45</v>
      </c>
    </row>
    <row r="2953" spans="3:6" x14ac:dyDescent="0.25">
      <c r="C2953" s="2" t="s">
        <v>6422</v>
      </c>
      <c r="D2953" s="2" t="s">
        <v>178</v>
      </c>
      <c r="E2953" s="2">
        <v>8</v>
      </c>
      <c r="F2953" s="2">
        <v>155.26</v>
      </c>
    </row>
    <row r="2954" spans="3:6" x14ac:dyDescent="0.25">
      <c r="C2954" s="2" t="s">
        <v>6423</v>
      </c>
      <c r="D2954" s="2" t="s">
        <v>178</v>
      </c>
      <c r="E2954" s="2">
        <v>20</v>
      </c>
      <c r="F2954" s="2">
        <v>334.19</v>
      </c>
    </row>
    <row r="2955" spans="3:6" x14ac:dyDescent="0.25">
      <c r="C2955" s="2" t="s">
        <v>6424</v>
      </c>
      <c r="D2955" s="2" t="s">
        <v>178</v>
      </c>
      <c r="E2955" s="2">
        <v>55</v>
      </c>
      <c r="F2955" s="2">
        <v>1094.05</v>
      </c>
    </row>
    <row r="2956" spans="3:6" x14ac:dyDescent="0.25">
      <c r="C2956" s="2" t="s">
        <v>6425</v>
      </c>
      <c r="D2956" s="2" t="s">
        <v>178</v>
      </c>
      <c r="E2956" s="2">
        <v>19</v>
      </c>
      <c r="F2956" s="2">
        <v>402.51</v>
      </c>
    </row>
    <row r="2958" spans="1:7" x14ac:dyDescent="0.25">
      <c r="A2958" s="1">
        <v>46195</v>
      </c>
      <c r="B2958" s="2" t="s">
        <v>229</v>
      </c>
      <c r="C2958" s="2" t="s">
        <v>6426</v>
      </c>
      <c r="D2958" s="2" t="s">
        <v>82</v>
      </c>
      <c r="E2958" s="2">
        <v>134</v>
      </c>
      <c r="F2958" s="2">
        <v>2816.269</v>
      </c>
      <c r="G2958" s="1">
        <v>46198</v>
      </c>
    </row>
    <row r="2959" spans="3:6" x14ac:dyDescent="0.25">
      <c r="C2959" s="2" t="s">
        <v>6427</v>
      </c>
      <c r="D2959" s="2" t="s">
        <v>82</v>
      </c>
      <c r="E2959" s="2">
        <v>141</v>
      </c>
      <c r="F2959" s="2">
        <v>2974.41</v>
      </c>
    </row>
    <row r="2960" spans="3:6" x14ac:dyDescent="0.25">
      <c r="C2960" s="2" t="s">
        <v>6428</v>
      </c>
      <c r="D2960" s="2" t="s">
        <v>82</v>
      </c>
      <c r="E2960" s="2">
        <v>121</v>
      </c>
      <c r="F2960" s="2">
        <v>2543.06</v>
      </c>
    </row>
    <row r="2961" spans="3:6" x14ac:dyDescent="0.25">
      <c r="C2961" s="2" t="s">
        <v>6429</v>
      </c>
      <c r="D2961" s="2" t="s">
        <v>82</v>
      </c>
      <c r="E2961" s="2">
        <v>121</v>
      </c>
      <c r="F2961" s="2">
        <v>2481.01</v>
      </c>
    </row>
    <row r="2962" spans="3:6" x14ac:dyDescent="0.25">
      <c r="C2962" s="2" t="s">
        <v>6430</v>
      </c>
      <c r="D2962" s="2" t="s">
        <v>82</v>
      </c>
      <c r="E2962" s="2">
        <v>75</v>
      </c>
      <c r="F2962" s="2">
        <v>1514.55</v>
      </c>
    </row>
    <row r="2963" spans="3:6" x14ac:dyDescent="0.25">
      <c r="C2963" s="2" t="s">
        <v>6431</v>
      </c>
      <c r="D2963" s="2" t="s">
        <v>82</v>
      </c>
      <c r="E2963" s="2">
        <v>121</v>
      </c>
      <c r="F2963" s="2">
        <v>2464.13</v>
      </c>
    </row>
    <row r="2964" spans="3:6" x14ac:dyDescent="0.25">
      <c r="C2964" s="2" t="s">
        <v>6432</v>
      </c>
      <c r="D2964" s="2" t="s">
        <v>82</v>
      </c>
      <c r="E2964" s="2">
        <v>121</v>
      </c>
      <c r="F2964" s="2">
        <v>2503</v>
      </c>
    </row>
    <row r="2965" spans="3:6" x14ac:dyDescent="0.25">
      <c r="C2965" s="2" t="s">
        <v>6433</v>
      </c>
      <c r="D2965" s="2" t="s">
        <v>82</v>
      </c>
      <c r="E2965" s="2">
        <v>86</v>
      </c>
      <c r="F2965" s="2">
        <v>1736.22</v>
      </c>
    </row>
    <row r="2966" spans="3:6" x14ac:dyDescent="0.25">
      <c r="C2966" s="2" t="s">
        <v>6434</v>
      </c>
      <c r="D2966" s="2" t="s">
        <v>82</v>
      </c>
      <c r="E2966" s="2">
        <v>55</v>
      </c>
      <c r="F2966" s="2">
        <v>1148.24</v>
      </c>
    </row>
    <row r="2967" spans="3:6" x14ac:dyDescent="0.25">
      <c r="C2967" s="2" t="s">
        <v>6435</v>
      </c>
      <c r="D2967" s="2" t="s">
        <v>82</v>
      </c>
      <c r="E2967" s="2">
        <v>42</v>
      </c>
      <c r="F2967" s="2">
        <v>874.98</v>
      </c>
    </row>
    <row r="2968" spans="3:6" x14ac:dyDescent="0.25">
      <c r="C2968" s="2" t="s">
        <v>6436</v>
      </c>
      <c r="D2968" s="2" t="s">
        <v>82</v>
      </c>
      <c r="E2968" s="2">
        <v>21</v>
      </c>
      <c r="F2968" s="2">
        <v>435.09</v>
      </c>
    </row>
    <row r="2969" spans="3:6" x14ac:dyDescent="0.25">
      <c r="C2969" s="2" t="s">
        <v>6437</v>
      </c>
      <c r="D2969" s="2" t="s">
        <v>82</v>
      </c>
      <c r="E2969" s="2">
        <v>52</v>
      </c>
      <c r="F2969" s="2">
        <v>1045.29</v>
      </c>
    </row>
    <row r="2970" spans="3:6" x14ac:dyDescent="0.25">
      <c r="C2970" s="2" t="s">
        <v>6438</v>
      </c>
      <c r="D2970" s="2" t="s">
        <v>82</v>
      </c>
      <c r="E2970" s="2">
        <v>26</v>
      </c>
      <c r="F2970" s="2">
        <v>449.119</v>
      </c>
    </row>
    <row r="2971" spans="3:6" x14ac:dyDescent="0.25">
      <c r="C2971" s="2" t="s">
        <v>6439</v>
      </c>
      <c r="D2971" s="2" t="s">
        <v>82</v>
      </c>
      <c r="E2971" s="2">
        <v>40</v>
      </c>
      <c r="F2971" s="2">
        <v>177.61</v>
      </c>
    </row>
    <row r="2972" spans="3:6" x14ac:dyDescent="0.25">
      <c r="C2972" s="2" t="s">
        <v>6440</v>
      </c>
      <c r="D2972" s="2" t="s">
        <v>82</v>
      </c>
      <c r="E2972" s="2">
        <v>15</v>
      </c>
      <c r="F2972" s="2">
        <v>67.14</v>
      </c>
    </row>
    <row r="2973" spans="3:6" x14ac:dyDescent="0.25">
      <c r="C2973" s="2" t="s">
        <v>6441</v>
      </c>
      <c r="D2973" s="2" t="s">
        <v>82</v>
      </c>
      <c r="E2973" s="2">
        <v>141</v>
      </c>
      <c r="F2973" s="2">
        <v>3008.97</v>
      </c>
    </row>
    <row r="2974" spans="3:6" x14ac:dyDescent="0.25">
      <c r="C2974" s="2" t="s">
        <v>6442</v>
      </c>
      <c r="D2974" s="2" t="s">
        <v>82</v>
      </c>
      <c r="E2974" s="2">
        <v>104</v>
      </c>
      <c r="F2974" s="2">
        <v>2060.51</v>
      </c>
    </row>
    <row r="2975" spans="3:6" x14ac:dyDescent="0.25">
      <c r="C2975" s="2" t="s">
        <v>6443</v>
      </c>
      <c r="D2975" s="2" t="s">
        <v>82</v>
      </c>
      <c r="E2975" s="2">
        <v>25</v>
      </c>
      <c r="F2975" s="2">
        <v>496.25</v>
      </c>
    </row>
    <row r="2976" spans="3:6" x14ac:dyDescent="0.25">
      <c r="C2976" s="2" t="s">
        <v>6444</v>
      </c>
      <c r="D2976" s="2" t="s">
        <v>82</v>
      </c>
      <c r="E2976" s="2">
        <v>17</v>
      </c>
      <c r="F2976" s="2">
        <v>308.33</v>
      </c>
    </row>
    <row r="2977" spans="3:6" x14ac:dyDescent="0.25">
      <c r="C2977" s="2" t="s">
        <v>6445</v>
      </c>
      <c r="D2977" s="2" t="s">
        <v>82</v>
      </c>
      <c r="E2977" s="2">
        <v>21</v>
      </c>
      <c r="F2977" s="2">
        <v>415.85</v>
      </c>
    </row>
    <row r="2978" spans="3:6" x14ac:dyDescent="0.25">
      <c r="C2978" s="2" t="s">
        <v>6446</v>
      </c>
      <c r="D2978" s="2" t="s">
        <v>82</v>
      </c>
      <c r="E2978" s="2">
        <v>39</v>
      </c>
      <c r="F2978" s="2">
        <v>851.44</v>
      </c>
    </row>
    <row r="2979" spans="3:6" x14ac:dyDescent="0.25">
      <c r="C2979" s="2" t="s">
        <v>6447</v>
      </c>
      <c r="D2979" s="2" t="s">
        <v>82</v>
      </c>
      <c r="E2979" s="2">
        <v>50</v>
      </c>
      <c r="F2979" s="2">
        <v>948.37</v>
      </c>
    </row>
    <row r="2980" spans="3:6" x14ac:dyDescent="0.25">
      <c r="C2980" s="2" t="s">
        <v>6448</v>
      </c>
      <c r="D2980" s="2" t="s">
        <v>82</v>
      </c>
      <c r="E2980" s="2">
        <v>28</v>
      </c>
      <c r="F2980" s="2">
        <v>522.47</v>
      </c>
    </row>
    <row r="2981" spans="3:6" x14ac:dyDescent="0.25">
      <c r="C2981" s="2" t="s">
        <v>6449</v>
      </c>
      <c r="D2981" s="2" t="s">
        <v>82</v>
      </c>
      <c r="E2981" s="2">
        <v>24</v>
      </c>
      <c r="F2981" s="2">
        <v>484.99</v>
      </c>
    </row>
    <row r="2982" spans="3:6" x14ac:dyDescent="0.25">
      <c r="C2982" s="2" t="s">
        <v>6450</v>
      </c>
      <c r="D2982" s="2" t="s">
        <v>82</v>
      </c>
      <c r="E2982" s="2">
        <v>82</v>
      </c>
      <c r="F2982" s="2">
        <v>1647.22</v>
      </c>
    </row>
    <row r="2983" spans="3:6" x14ac:dyDescent="0.25">
      <c r="C2983" s="2" t="s">
        <v>6451</v>
      </c>
      <c r="D2983" s="2" t="s">
        <v>82</v>
      </c>
      <c r="E2983" s="2">
        <v>59</v>
      </c>
      <c r="F2983" s="2">
        <v>1256.85</v>
      </c>
    </row>
    <row r="2984" spans="3:6" x14ac:dyDescent="0.25">
      <c r="C2984" s="2" t="s">
        <v>6452</v>
      </c>
      <c r="D2984" s="2" t="s">
        <v>82</v>
      </c>
      <c r="E2984" s="2">
        <v>102</v>
      </c>
      <c r="F2984" s="2">
        <v>2071.93</v>
      </c>
    </row>
    <row r="2985" spans="3:6" x14ac:dyDescent="0.25">
      <c r="C2985" s="2" t="s">
        <v>6453</v>
      </c>
      <c r="D2985" s="2" t="s">
        <v>82</v>
      </c>
      <c r="E2985" s="2">
        <v>141</v>
      </c>
      <c r="F2985" s="2">
        <v>2946</v>
      </c>
    </row>
    <row r="2986" spans="3:6" x14ac:dyDescent="0.25">
      <c r="C2986" s="2" t="s">
        <v>6454</v>
      </c>
      <c r="D2986" s="2" t="s">
        <v>82</v>
      </c>
      <c r="E2986" s="2">
        <v>70</v>
      </c>
      <c r="F2986" s="2">
        <v>1482.55</v>
      </c>
    </row>
    <row r="2987" spans="3:6" x14ac:dyDescent="0.25">
      <c r="C2987" s="2" t="s">
        <v>6455</v>
      </c>
      <c r="D2987" s="2" t="s">
        <v>82</v>
      </c>
      <c r="E2987" s="2">
        <v>72</v>
      </c>
      <c r="F2987" s="2">
        <v>1429.62</v>
      </c>
    </row>
    <row r="2988" spans="3:6" x14ac:dyDescent="0.25">
      <c r="C2988" s="2" t="s">
        <v>6456</v>
      </c>
      <c r="D2988" s="2" t="s">
        <v>82</v>
      </c>
      <c r="E2988" s="2">
        <v>64</v>
      </c>
      <c r="F2988" s="2">
        <f>1289.01+75.75</f>
        <v>1364.76</v>
      </c>
    </row>
    <row r="2989" spans="3:6" x14ac:dyDescent="0.25">
      <c r="C2989" s="2" t="s">
        <v>6457</v>
      </c>
      <c r="D2989" s="2" t="s">
        <v>82</v>
      </c>
      <c r="E2989" s="2">
        <v>32</v>
      </c>
      <c r="F2989" s="2">
        <v>654.3</v>
      </c>
    </row>
    <row r="2990" spans="3:6" x14ac:dyDescent="0.25">
      <c r="C2990" s="2" t="s">
        <v>6458</v>
      </c>
      <c r="D2990" s="2" t="s">
        <v>82</v>
      </c>
      <c r="E2990" s="2">
        <v>9</v>
      </c>
      <c r="F2990" s="2">
        <v>160</v>
      </c>
    </row>
    <row r="2991" spans="3:6" x14ac:dyDescent="0.25">
      <c r="C2991" s="2" t="s">
        <v>6459</v>
      </c>
      <c r="D2991" s="2" t="s">
        <v>82</v>
      </c>
      <c r="E2991" s="2">
        <v>7</v>
      </c>
      <c r="F2991" s="2">
        <v>113.25</v>
      </c>
    </row>
    <row r="2992" spans="3:6" x14ac:dyDescent="0.25">
      <c r="C2992" s="2" t="s">
        <v>6460</v>
      </c>
      <c r="D2992" s="2" t="s">
        <v>82</v>
      </c>
      <c r="E2992" s="2">
        <v>26</v>
      </c>
      <c r="F2992" s="2">
        <v>535.62</v>
      </c>
    </row>
    <row r="2993" spans="3:6" x14ac:dyDescent="0.25">
      <c r="C2993" s="2" t="s">
        <v>6461</v>
      </c>
      <c r="D2993" s="2" t="s">
        <v>82</v>
      </c>
      <c r="E2993" s="2">
        <v>144</v>
      </c>
      <c r="F2993" s="2">
        <v>2821.34</v>
      </c>
    </row>
    <row r="2994" spans="3:6" x14ac:dyDescent="0.25">
      <c r="C2994" s="2" t="s">
        <v>6462</v>
      </c>
      <c r="D2994" s="2" t="s">
        <v>82</v>
      </c>
      <c r="E2994" s="2">
        <v>144</v>
      </c>
      <c r="F2994" s="2">
        <v>2802.118</v>
      </c>
    </row>
    <row r="2995" spans="3:6" x14ac:dyDescent="0.25">
      <c r="C2995" s="2" t="s">
        <v>6463</v>
      </c>
      <c r="D2995" s="2" t="s">
        <v>82</v>
      </c>
      <c r="E2995" s="2">
        <v>10</v>
      </c>
      <c r="F2995" s="2">
        <f>95.04+65.6</f>
        <v>160.64</v>
      </c>
    </row>
    <row r="2996" spans="3:6" x14ac:dyDescent="0.25">
      <c r="C2996" s="2" t="s">
        <v>6464</v>
      </c>
      <c r="D2996" s="2" t="s">
        <v>82</v>
      </c>
      <c r="E2996" s="2">
        <v>10</v>
      </c>
      <c r="F2996" s="2">
        <f>121.88+18.15</f>
        <v>140.03</v>
      </c>
    </row>
    <row r="2997" spans="3:6" x14ac:dyDescent="0.25">
      <c r="C2997" s="2" t="s">
        <v>6465</v>
      </c>
      <c r="D2997" s="2" t="s">
        <v>82</v>
      </c>
      <c r="E2997" s="2">
        <v>63</v>
      </c>
      <c r="F2997" s="2">
        <v>1285.01</v>
      </c>
    </row>
    <row r="2998" spans="3:6" x14ac:dyDescent="0.25">
      <c r="C2998" s="2" t="s">
        <v>6466</v>
      </c>
      <c r="D2998" s="2" t="s">
        <v>82</v>
      </c>
      <c r="E2998" s="2">
        <v>61</v>
      </c>
      <c r="F2998" s="2">
        <v>1226.899</v>
      </c>
    </row>
    <row r="2999" spans="3:6" x14ac:dyDescent="0.25">
      <c r="C2999" s="2" t="s">
        <v>6467</v>
      </c>
      <c r="D2999" s="2" t="s">
        <v>82</v>
      </c>
      <c r="E2999" s="2">
        <v>26</v>
      </c>
      <c r="F2999" s="2">
        <v>546.42</v>
      </c>
    </row>
    <row r="3000" spans="3:6" x14ac:dyDescent="0.25">
      <c r="C3000" s="2" t="s">
        <v>6468</v>
      </c>
      <c r="D3000" s="2" t="s">
        <v>82</v>
      </c>
      <c r="E3000" s="2">
        <v>115</v>
      </c>
      <c r="F3000" s="2">
        <v>2408.78</v>
      </c>
    </row>
    <row r="3001" spans="3:6" x14ac:dyDescent="0.25">
      <c r="C3001" s="2" t="s">
        <v>6469</v>
      </c>
      <c r="D3001" s="2" t="s">
        <v>82</v>
      </c>
      <c r="E3001" s="2">
        <v>42</v>
      </c>
      <c r="F3001" s="2">
        <v>916.82</v>
      </c>
    </row>
    <row r="3002" spans="3:6" x14ac:dyDescent="0.25">
      <c r="C3002" s="2" t="s">
        <v>6470</v>
      </c>
      <c r="D3002" s="2" t="s">
        <v>82</v>
      </c>
      <c r="E3002" s="2">
        <v>46</v>
      </c>
      <c r="F3002" s="2">
        <v>965.13</v>
      </c>
    </row>
    <row r="3003" spans="3:6" x14ac:dyDescent="0.25">
      <c r="C3003" s="2" t="s">
        <v>6471</v>
      </c>
      <c r="D3003" s="2" t="s">
        <v>82</v>
      </c>
      <c r="E3003" s="2">
        <v>35</v>
      </c>
      <c r="F3003" s="2">
        <v>724.21</v>
      </c>
    </row>
    <row r="3004" spans="3:6" x14ac:dyDescent="0.25">
      <c r="C3004" s="2" t="s">
        <v>6472</v>
      </c>
      <c r="D3004" s="2" t="s">
        <v>82</v>
      </c>
      <c r="E3004" s="2">
        <v>18</v>
      </c>
      <c r="F3004" s="2">
        <v>363.73</v>
      </c>
    </row>
    <row r="3005" spans="3:6" x14ac:dyDescent="0.25">
      <c r="C3005" s="2" t="s">
        <v>6473</v>
      </c>
      <c r="D3005" s="2" t="s">
        <v>82</v>
      </c>
      <c r="E3005" s="2">
        <v>143</v>
      </c>
      <c r="F3005" s="2">
        <v>2597</v>
      </c>
    </row>
    <row r="3007" spans="1:7" x14ac:dyDescent="0.25">
      <c r="A3007" s="1">
        <v>46195</v>
      </c>
      <c r="B3007" s="2" t="s">
        <v>290</v>
      </c>
      <c r="C3007" s="2" t="s">
        <v>6474</v>
      </c>
      <c r="D3007" s="2" t="s">
        <v>292</v>
      </c>
      <c r="E3007" s="2">
        <v>35</v>
      </c>
      <c r="F3007" s="2">
        <v>720.62</v>
      </c>
      <c r="G3007" s="1">
        <v>46198</v>
      </c>
    </row>
    <row r="3008" spans="3:6" x14ac:dyDescent="0.25">
      <c r="C3008" s="2" t="s">
        <v>6475</v>
      </c>
      <c r="D3008" s="2" t="s">
        <v>292</v>
      </c>
      <c r="E3008" s="2">
        <v>47</v>
      </c>
      <c r="F3008" s="2">
        <v>1007.62</v>
      </c>
    </row>
    <row r="3009" spans="3:6" x14ac:dyDescent="0.25">
      <c r="C3009" s="2" t="s">
        <v>6476</v>
      </c>
      <c r="D3009" s="2" t="s">
        <v>292</v>
      </c>
      <c r="E3009" s="2">
        <v>65</v>
      </c>
      <c r="F3009" s="2">
        <v>1360.28</v>
      </c>
    </row>
    <row r="3010" spans="3:6" x14ac:dyDescent="0.25">
      <c r="C3010" s="2" t="s">
        <v>6477</v>
      </c>
      <c r="D3010" s="2" t="s">
        <v>292</v>
      </c>
      <c r="E3010" s="2">
        <v>53</v>
      </c>
      <c r="F3010" s="2">
        <v>1106.47</v>
      </c>
    </row>
    <row r="3011" spans="3:6" x14ac:dyDescent="0.25">
      <c r="C3011" s="2" t="s">
        <v>6478</v>
      </c>
      <c r="D3011" s="2" t="s">
        <v>292</v>
      </c>
      <c r="E3011" s="2">
        <v>82</v>
      </c>
      <c r="F3011" s="2">
        <v>1619.02</v>
      </c>
    </row>
    <row r="3012" spans="3:6" x14ac:dyDescent="0.25">
      <c r="C3012" s="2" t="s">
        <v>6479</v>
      </c>
      <c r="D3012" s="2" t="s">
        <v>292</v>
      </c>
      <c r="E3012" s="2">
        <v>41</v>
      </c>
      <c r="F3012" s="2">
        <v>903.17</v>
      </c>
    </row>
    <row r="3013" spans="3:6" x14ac:dyDescent="0.25">
      <c r="C3013" s="2" t="s">
        <v>6480</v>
      </c>
      <c r="D3013" s="2" t="s">
        <v>292</v>
      </c>
      <c r="E3013" s="2">
        <v>37</v>
      </c>
      <c r="F3013" s="2">
        <v>837.86</v>
      </c>
    </row>
    <row r="3014" spans="3:6" x14ac:dyDescent="0.25">
      <c r="C3014" s="2" t="s">
        <v>6481</v>
      </c>
      <c r="D3014" s="2" t="s">
        <v>292</v>
      </c>
      <c r="E3014" s="2">
        <v>46</v>
      </c>
      <c r="F3014" s="2">
        <v>924.97</v>
      </c>
    </row>
    <row r="3015" spans="3:6" x14ac:dyDescent="0.25">
      <c r="C3015" s="2" t="s">
        <v>6482</v>
      </c>
      <c r="D3015" s="2" t="s">
        <v>292</v>
      </c>
      <c r="E3015" s="2">
        <v>89</v>
      </c>
      <c r="F3015" s="2">
        <v>1861.492</v>
      </c>
    </row>
    <row r="3016" spans="3:6" x14ac:dyDescent="0.25">
      <c r="C3016" s="2" t="s">
        <v>6483</v>
      </c>
      <c r="D3016" s="2" t="s">
        <v>292</v>
      </c>
      <c r="E3016" s="2">
        <v>95</v>
      </c>
      <c r="F3016" s="2">
        <v>2044.65</v>
      </c>
    </row>
    <row r="3017" spans="3:6" x14ac:dyDescent="0.25">
      <c r="C3017" s="2" t="s">
        <v>6484</v>
      </c>
      <c r="D3017" s="2" t="s">
        <v>292</v>
      </c>
      <c r="E3017" s="2">
        <v>6</v>
      </c>
      <c r="F3017" s="2">
        <v>61.91</v>
      </c>
    </row>
    <row r="3018" spans="3:6" x14ac:dyDescent="0.25">
      <c r="C3018" s="2" t="s">
        <v>6485</v>
      </c>
      <c r="D3018" s="2" t="s">
        <v>292</v>
      </c>
      <c r="E3018" s="2">
        <v>24</v>
      </c>
      <c r="F3018" s="2">
        <v>503.05</v>
      </c>
    </row>
    <row r="3019" spans="3:6" x14ac:dyDescent="0.25">
      <c r="C3019" s="2" t="s">
        <v>6486</v>
      </c>
      <c r="D3019" s="2" t="s">
        <v>292</v>
      </c>
      <c r="E3019" s="2">
        <v>21</v>
      </c>
      <c r="F3019" s="2">
        <v>411.78</v>
      </c>
    </row>
    <row r="3020" spans="3:6" x14ac:dyDescent="0.25">
      <c r="C3020" s="2" t="s">
        <v>6487</v>
      </c>
      <c r="D3020" s="2" t="s">
        <v>292</v>
      </c>
      <c r="E3020" s="2">
        <v>93</v>
      </c>
      <c r="F3020" s="2">
        <v>1723.882</v>
      </c>
    </row>
    <row r="3021" spans="3:6" x14ac:dyDescent="0.25">
      <c r="C3021" s="2" t="s">
        <v>6488</v>
      </c>
      <c r="D3021" s="2" t="s">
        <v>292</v>
      </c>
      <c r="E3021" s="2">
        <v>120</v>
      </c>
      <c r="F3021" s="2">
        <v>2395.05</v>
      </c>
    </row>
    <row r="3022" spans="3:6" x14ac:dyDescent="0.25">
      <c r="C3022" s="2" t="s">
        <v>6489</v>
      </c>
      <c r="D3022" s="2" t="s">
        <v>292</v>
      </c>
      <c r="E3022" s="2">
        <v>14</v>
      </c>
      <c r="F3022" s="2">
        <v>221.35</v>
      </c>
    </row>
    <row r="3023" spans="3:6" x14ac:dyDescent="0.25">
      <c r="C3023" s="2" t="s">
        <v>6490</v>
      </c>
      <c r="D3023" s="2" t="s">
        <v>292</v>
      </c>
      <c r="E3023" s="2">
        <v>31</v>
      </c>
      <c r="F3023" s="2">
        <v>608.09</v>
      </c>
    </row>
    <row r="3024" spans="3:6" x14ac:dyDescent="0.25">
      <c r="C3024" s="2" t="s">
        <v>6491</v>
      </c>
      <c r="D3024" s="2" t="s">
        <v>292</v>
      </c>
      <c r="E3024" s="2">
        <v>141</v>
      </c>
      <c r="F3024" s="2">
        <v>3078.84</v>
      </c>
    </row>
    <row r="3025" spans="3:6" x14ac:dyDescent="0.25">
      <c r="C3025" s="2" t="s">
        <v>6492</v>
      </c>
      <c r="D3025" s="2" t="s">
        <v>292</v>
      </c>
      <c r="E3025" s="2">
        <v>141</v>
      </c>
      <c r="F3025" s="2">
        <v>2963.74</v>
      </c>
    </row>
    <row r="3026" spans="3:6" x14ac:dyDescent="0.25">
      <c r="C3026" s="2" t="s">
        <v>6493</v>
      </c>
      <c r="D3026" s="2" t="s">
        <v>292</v>
      </c>
      <c r="E3026" s="2">
        <v>45</v>
      </c>
      <c r="F3026" s="2">
        <v>243.92</v>
      </c>
    </row>
    <row r="3027" spans="3:6" x14ac:dyDescent="0.25">
      <c r="C3027" s="2" t="s">
        <v>6494</v>
      </c>
      <c r="D3027" s="2" t="s">
        <v>292</v>
      </c>
      <c r="E3027" s="2">
        <v>96</v>
      </c>
      <c r="F3027" s="2">
        <v>1861.46</v>
      </c>
    </row>
    <row r="3028" spans="3:6" x14ac:dyDescent="0.25">
      <c r="C3028" s="2" t="s">
        <v>6495</v>
      </c>
      <c r="D3028" s="2" t="s">
        <v>292</v>
      </c>
      <c r="E3028" s="2">
        <v>10</v>
      </c>
      <c r="F3028" s="2">
        <v>208.88</v>
      </c>
    </row>
    <row r="3029" spans="3:6" x14ac:dyDescent="0.25">
      <c r="C3029" s="2" t="s">
        <v>6496</v>
      </c>
      <c r="D3029" s="2" t="s">
        <v>292</v>
      </c>
      <c r="E3029" s="2">
        <v>65</v>
      </c>
      <c r="F3029" s="2">
        <v>1361.74</v>
      </c>
    </row>
    <row r="3030" spans="3:6" x14ac:dyDescent="0.25">
      <c r="C3030" s="2" t="s">
        <v>6497</v>
      </c>
      <c r="D3030" s="2" t="s">
        <v>292</v>
      </c>
      <c r="E3030" s="2">
        <v>141</v>
      </c>
      <c r="F3030" s="2">
        <v>2818.789</v>
      </c>
    </row>
    <row r="3031" spans="3:6" x14ac:dyDescent="0.25">
      <c r="C3031" s="2" t="s">
        <v>6498</v>
      </c>
      <c r="D3031" s="2" t="s">
        <v>292</v>
      </c>
      <c r="E3031" s="2">
        <v>74</v>
      </c>
      <c r="F3031" s="2">
        <v>1893.77</v>
      </c>
    </row>
    <row r="3032" spans="3:6" x14ac:dyDescent="0.25">
      <c r="C3032" s="2" t="s">
        <v>6499</v>
      </c>
      <c r="D3032" s="2" t="s">
        <v>292</v>
      </c>
      <c r="E3032" s="2">
        <v>123</v>
      </c>
      <c r="F3032" s="2">
        <v>2501.44</v>
      </c>
    </row>
    <row r="3033" spans="3:6" x14ac:dyDescent="0.25">
      <c r="C3033" s="2" t="s">
        <v>6500</v>
      </c>
      <c r="D3033" s="2" t="s">
        <v>292</v>
      </c>
      <c r="E3033" s="2">
        <v>20</v>
      </c>
      <c r="F3033" s="2">
        <v>411.43</v>
      </c>
    </row>
    <row r="3034" spans="3:6" x14ac:dyDescent="0.25">
      <c r="C3034" s="2" t="s">
        <v>6501</v>
      </c>
      <c r="D3034" s="2" t="s">
        <v>292</v>
      </c>
      <c r="E3034" s="2">
        <v>80</v>
      </c>
      <c r="F3034" s="2">
        <v>1660.62</v>
      </c>
    </row>
    <row r="3035" spans="3:6" x14ac:dyDescent="0.25">
      <c r="C3035" s="2" t="s">
        <v>6502</v>
      </c>
      <c r="D3035" s="2" t="s">
        <v>292</v>
      </c>
      <c r="E3035" s="2">
        <v>77</v>
      </c>
      <c r="F3035" s="2">
        <v>1585.35</v>
      </c>
    </row>
    <row r="3036" spans="3:6" x14ac:dyDescent="0.25">
      <c r="C3036" s="2" t="s">
        <v>6503</v>
      </c>
      <c r="D3036" s="2" t="s">
        <v>292</v>
      </c>
      <c r="E3036" s="2">
        <v>100</v>
      </c>
      <c r="F3036" s="2">
        <v>2039.8</v>
      </c>
    </row>
    <row r="3037" spans="3:6" x14ac:dyDescent="0.25">
      <c r="C3037" s="2" t="s">
        <v>6504</v>
      </c>
      <c r="D3037" s="2" t="s">
        <v>292</v>
      </c>
      <c r="E3037" s="2">
        <v>64</v>
      </c>
      <c r="F3037" s="2">
        <v>1280.25</v>
      </c>
    </row>
    <row r="3038" spans="3:6" x14ac:dyDescent="0.25">
      <c r="C3038" s="2" t="s">
        <v>6505</v>
      </c>
      <c r="D3038" s="2" t="s">
        <v>292</v>
      </c>
      <c r="E3038" s="2">
        <v>51</v>
      </c>
      <c r="F3038" s="2">
        <v>912.32</v>
      </c>
    </row>
    <row r="3039" spans="3:6" x14ac:dyDescent="0.25">
      <c r="C3039" s="2" t="s">
        <v>6506</v>
      </c>
      <c r="D3039" s="2" t="s">
        <v>292</v>
      </c>
      <c r="E3039" s="2">
        <v>60</v>
      </c>
      <c r="F3039" s="2">
        <v>324.255</v>
      </c>
    </row>
    <row r="3040" spans="3:6" x14ac:dyDescent="0.25">
      <c r="C3040" s="2" t="s">
        <v>6507</v>
      </c>
      <c r="D3040" s="2" t="s">
        <v>292</v>
      </c>
      <c r="E3040" s="2">
        <v>90</v>
      </c>
      <c r="F3040" s="2">
        <v>1767.94</v>
      </c>
    </row>
    <row r="3041" spans="3:6" x14ac:dyDescent="0.25">
      <c r="C3041" s="2" t="s">
        <v>6508</v>
      </c>
      <c r="D3041" s="2" t="s">
        <v>292</v>
      </c>
      <c r="E3041" s="2">
        <v>141</v>
      </c>
      <c r="F3041" s="2">
        <v>2962.489</v>
      </c>
    </row>
    <row r="3042" spans="3:6" x14ac:dyDescent="0.25">
      <c r="C3042" s="2" t="s">
        <v>6509</v>
      </c>
      <c r="D3042" s="2" t="s">
        <v>292</v>
      </c>
      <c r="E3042" s="2">
        <v>50</v>
      </c>
      <c r="F3042" s="2">
        <v>257.69</v>
      </c>
    </row>
    <row r="3043" spans="3:6" x14ac:dyDescent="0.25">
      <c r="C3043" s="2" t="s">
        <v>6510</v>
      </c>
      <c r="D3043" s="2" t="s">
        <v>292</v>
      </c>
      <c r="E3043" s="2">
        <v>141</v>
      </c>
      <c r="F3043" s="2">
        <v>2842.27</v>
      </c>
    </row>
    <row r="3044" spans="3:6" x14ac:dyDescent="0.25">
      <c r="C3044" s="2" t="s">
        <v>6511</v>
      </c>
      <c r="D3044" s="2" t="s">
        <v>292</v>
      </c>
      <c r="E3044" s="2">
        <v>113</v>
      </c>
      <c r="F3044" s="2">
        <v>2595.04</v>
      </c>
    </row>
    <row r="3045" spans="3:6" x14ac:dyDescent="0.25">
      <c r="C3045" s="2" t="s">
        <v>6512</v>
      </c>
      <c r="D3045" s="2" t="s">
        <v>292</v>
      </c>
      <c r="E3045" s="2">
        <v>124</v>
      </c>
      <c r="F3045" s="2">
        <v>2727.289</v>
      </c>
    </row>
    <row r="3046" spans="3:6" x14ac:dyDescent="0.25">
      <c r="C3046" s="2" t="s">
        <v>6513</v>
      </c>
      <c r="D3046" s="2" t="s">
        <v>292</v>
      </c>
      <c r="E3046" s="2">
        <v>123</v>
      </c>
      <c r="F3046" s="2">
        <v>2523.26</v>
      </c>
    </row>
    <row r="3047" spans="3:6" x14ac:dyDescent="0.25">
      <c r="C3047" s="2" t="s">
        <v>6514</v>
      </c>
      <c r="D3047" s="2" t="s">
        <v>292</v>
      </c>
      <c r="E3047" s="2">
        <v>141</v>
      </c>
      <c r="F3047" s="2">
        <v>2862.19</v>
      </c>
    </row>
    <row r="3048" spans="3:6" x14ac:dyDescent="0.25">
      <c r="C3048" s="2" t="s">
        <v>6515</v>
      </c>
      <c r="D3048" s="2" t="s">
        <v>292</v>
      </c>
      <c r="E3048" s="2">
        <v>100</v>
      </c>
      <c r="F3048" s="2">
        <v>2103.47</v>
      </c>
    </row>
    <row r="3049" spans="3:6" x14ac:dyDescent="0.25">
      <c r="C3049" s="2" t="s">
        <v>6516</v>
      </c>
      <c r="D3049" s="2" t="s">
        <v>292</v>
      </c>
      <c r="E3049" s="2">
        <v>141</v>
      </c>
      <c r="F3049" s="2">
        <v>2964.48</v>
      </c>
    </row>
    <row r="3050" spans="3:6" x14ac:dyDescent="0.25">
      <c r="C3050" s="2" t="s">
        <v>6517</v>
      </c>
      <c r="D3050" s="2" t="s">
        <v>292</v>
      </c>
      <c r="E3050" s="2">
        <v>134</v>
      </c>
      <c r="F3050" s="2">
        <v>1494.743</v>
      </c>
    </row>
    <row r="3051" spans="3:6" x14ac:dyDescent="0.25">
      <c r="C3051" s="2" t="s">
        <v>6518</v>
      </c>
      <c r="D3051" s="2" t="s">
        <v>292</v>
      </c>
      <c r="E3051" s="2">
        <v>126</v>
      </c>
      <c r="F3051" s="2">
        <v>2755.189</v>
      </c>
    </row>
    <row r="3052" spans="3:6" x14ac:dyDescent="0.25">
      <c r="C3052" s="2" t="s">
        <v>6519</v>
      </c>
      <c r="D3052" s="2" t="s">
        <v>292</v>
      </c>
      <c r="E3052" s="2">
        <v>45</v>
      </c>
      <c r="F3052" s="2">
        <v>224.55</v>
      </c>
    </row>
    <row r="3053" spans="3:6" x14ac:dyDescent="0.25">
      <c r="C3053" s="2" t="s">
        <v>6520</v>
      </c>
      <c r="D3053" s="2" t="s">
        <v>292</v>
      </c>
      <c r="E3053" s="2">
        <v>72</v>
      </c>
      <c r="F3053" s="2">
        <v>1432.01</v>
      </c>
    </row>
    <row r="3055" spans="1:7" x14ac:dyDescent="0.25">
      <c r="A3055" s="1">
        <v>46195</v>
      </c>
      <c r="B3055" s="2" t="s">
        <v>7</v>
      </c>
      <c r="C3055" s="2" t="s">
        <v>6521</v>
      </c>
      <c r="D3055" s="2" t="s">
        <v>9</v>
      </c>
      <c r="E3055" s="2">
        <v>88</v>
      </c>
      <c r="F3055" s="2">
        <v>1805.099</v>
      </c>
      <c r="G3055" s="1">
        <v>46198</v>
      </c>
    </row>
    <row r="3056" spans="3:6" x14ac:dyDescent="0.25">
      <c r="C3056" s="2" t="s">
        <v>6522</v>
      </c>
      <c r="D3056" s="2" t="s">
        <v>9</v>
      </c>
      <c r="E3056" s="2">
        <v>87</v>
      </c>
      <c r="F3056" s="2">
        <v>1802.17</v>
      </c>
    </row>
    <row r="3058" spans="1:7" x14ac:dyDescent="0.25">
      <c r="A3058" s="1">
        <v>46195</v>
      </c>
      <c r="B3058" s="2" t="s">
        <v>128</v>
      </c>
      <c r="C3058" s="2" t="s">
        <v>6523</v>
      </c>
      <c r="D3058" s="2" t="s">
        <v>15</v>
      </c>
      <c r="E3058" s="2">
        <v>29</v>
      </c>
      <c r="F3058" s="2">
        <v>576</v>
      </c>
      <c r="G3058" s="1">
        <v>46195</v>
      </c>
    </row>
    <row r="3059" spans="3:6" x14ac:dyDescent="0.25">
      <c r="C3059" s="2" t="s">
        <v>6524</v>
      </c>
      <c r="D3059" s="2" t="s">
        <v>15</v>
      </c>
      <c r="E3059" s="2">
        <v>134</v>
      </c>
      <c r="F3059" s="2">
        <v>2535.32</v>
      </c>
    </row>
    <row r="3060" spans="3:6" x14ac:dyDescent="0.25">
      <c r="C3060" s="2" t="s">
        <v>6525</v>
      </c>
      <c r="D3060" s="2" t="s">
        <v>15</v>
      </c>
      <c r="E3060" s="2">
        <v>163</v>
      </c>
      <c r="F3060" s="2">
        <v>3027.526</v>
      </c>
    </row>
    <row r="3061" spans="3:6" x14ac:dyDescent="0.25">
      <c r="C3061" s="2" t="s">
        <v>6526</v>
      </c>
      <c r="D3061" s="2" t="s">
        <v>15</v>
      </c>
      <c r="E3061" s="2">
        <v>163</v>
      </c>
      <c r="F3061" s="2">
        <v>3034.199</v>
      </c>
    </row>
    <row r="3062" spans="3:6" x14ac:dyDescent="0.25">
      <c r="C3062" s="2" t="s">
        <v>6527</v>
      </c>
      <c r="D3062" s="2" t="s">
        <v>15</v>
      </c>
      <c r="E3062" s="2">
        <v>105</v>
      </c>
      <c r="F3062" s="2">
        <v>1699.73</v>
      </c>
    </row>
    <row r="3063" spans="3:6" x14ac:dyDescent="0.25">
      <c r="C3063" s="2" t="s">
        <v>6221</v>
      </c>
      <c r="D3063" s="2" t="s">
        <v>15</v>
      </c>
      <c r="E3063" s="2">
        <v>163</v>
      </c>
      <c r="F3063" s="2">
        <v>3069.109</v>
      </c>
    </row>
    <row r="3064" spans="3:6" x14ac:dyDescent="0.25">
      <c r="C3064" s="2" t="s">
        <v>6222</v>
      </c>
      <c r="D3064" s="2" t="s">
        <v>15</v>
      </c>
      <c r="E3064" s="2">
        <v>281</v>
      </c>
      <c r="F3064" s="2">
        <v>823.54</v>
      </c>
    </row>
    <row r="3065" spans="3:6" x14ac:dyDescent="0.25">
      <c r="C3065" s="2" t="s">
        <v>6528</v>
      </c>
      <c r="D3065" s="2" t="s">
        <v>15</v>
      </c>
      <c r="E3065" s="2">
        <v>103</v>
      </c>
      <c r="F3065" s="2">
        <v>2135.08</v>
      </c>
    </row>
    <row r="3066" spans="3:6" x14ac:dyDescent="0.25">
      <c r="C3066" s="2" t="s">
        <v>6529</v>
      </c>
      <c r="D3066" s="2" t="s">
        <v>15</v>
      </c>
      <c r="E3066" s="2">
        <v>103</v>
      </c>
      <c r="F3066" s="2">
        <v>2122.79</v>
      </c>
    </row>
    <row r="3067" spans="3:6" x14ac:dyDescent="0.25">
      <c r="C3067" s="2" t="s">
        <v>6530</v>
      </c>
      <c r="D3067" s="2" t="s">
        <v>15</v>
      </c>
      <c r="E3067" s="2">
        <v>103</v>
      </c>
      <c r="F3067" s="2">
        <v>2102.2</v>
      </c>
    </row>
    <row r="3068" spans="3:6" x14ac:dyDescent="0.25">
      <c r="C3068" s="2" t="s">
        <v>6531</v>
      </c>
      <c r="D3068" s="2" t="s">
        <v>26</v>
      </c>
      <c r="E3068" s="2">
        <v>56</v>
      </c>
      <c r="F3068" s="2">
        <v>1095.74</v>
      </c>
    </row>
    <row r="3069" spans="3:6" x14ac:dyDescent="0.25">
      <c r="C3069" s="2" t="s">
        <v>6532</v>
      </c>
      <c r="D3069" s="2" t="s">
        <v>26</v>
      </c>
      <c r="E3069" s="2">
        <v>100</v>
      </c>
      <c r="F3069" s="2">
        <v>1980.11</v>
      </c>
    </row>
    <row r="3070" spans="3:6" x14ac:dyDescent="0.25">
      <c r="C3070" s="2" t="s">
        <v>6533</v>
      </c>
      <c r="D3070" s="2" t="s">
        <v>26</v>
      </c>
      <c r="E3070" s="2">
        <v>100</v>
      </c>
      <c r="F3070" s="2">
        <v>1951.21</v>
      </c>
    </row>
    <row r="3071" spans="3:6" x14ac:dyDescent="0.25">
      <c r="C3071" s="2" t="s">
        <v>6534</v>
      </c>
      <c r="D3071" s="2" t="s">
        <v>26</v>
      </c>
      <c r="E3071" s="2">
        <v>56</v>
      </c>
      <c r="F3071" s="2">
        <v>1080.32</v>
      </c>
    </row>
    <row r="3072" spans="3:6" x14ac:dyDescent="0.25">
      <c r="C3072" s="2" t="s">
        <v>6535</v>
      </c>
      <c r="D3072" s="2" t="s">
        <v>26</v>
      </c>
      <c r="E3072" s="2">
        <v>100</v>
      </c>
      <c r="F3072" s="2">
        <v>2037.21</v>
      </c>
    </row>
    <row r="3073" spans="3:6" x14ac:dyDescent="0.25">
      <c r="C3073" s="2" t="s">
        <v>6536</v>
      </c>
      <c r="D3073" s="2" t="s">
        <v>26</v>
      </c>
      <c r="E3073" s="2">
        <v>56</v>
      </c>
      <c r="F3073" s="2">
        <v>1122.23</v>
      </c>
    </row>
    <row r="3074" spans="3:6" x14ac:dyDescent="0.25">
      <c r="C3074" s="2" t="s">
        <v>6537</v>
      </c>
      <c r="D3074" s="2" t="s">
        <v>30</v>
      </c>
      <c r="E3074" s="2">
        <v>134</v>
      </c>
      <c r="F3074" s="2">
        <v>2685.23</v>
      </c>
    </row>
    <row r="3075" spans="3:6" x14ac:dyDescent="0.25">
      <c r="C3075" s="2" t="s">
        <v>6538</v>
      </c>
      <c r="D3075" s="2" t="s">
        <v>30</v>
      </c>
      <c r="E3075" s="2">
        <v>134</v>
      </c>
      <c r="F3075" s="2">
        <v>2770.04</v>
      </c>
    </row>
    <row r="3076" spans="3:6" x14ac:dyDescent="0.25">
      <c r="C3076" s="2" t="s">
        <v>6539</v>
      </c>
      <c r="D3076" s="2" t="s">
        <v>30</v>
      </c>
      <c r="E3076" s="2">
        <v>134</v>
      </c>
      <c r="F3076" s="2">
        <v>2542.82</v>
      </c>
    </row>
    <row r="3077" spans="3:6" x14ac:dyDescent="0.25">
      <c r="C3077" s="2" t="s">
        <v>6540</v>
      </c>
      <c r="D3077" s="2" t="s">
        <v>30</v>
      </c>
      <c r="E3077" s="2">
        <v>134</v>
      </c>
      <c r="F3077" s="2">
        <v>2716.71</v>
      </c>
    </row>
    <row r="3078" spans="3:6" x14ac:dyDescent="0.25">
      <c r="C3078" s="2" t="s">
        <v>6541</v>
      </c>
      <c r="D3078" s="2" t="s">
        <v>30</v>
      </c>
      <c r="E3078" s="2">
        <v>134</v>
      </c>
      <c r="F3078" s="2">
        <v>2661</v>
      </c>
    </row>
    <row r="3079" spans="3:6" x14ac:dyDescent="0.25">
      <c r="C3079" s="2" t="s">
        <v>6542</v>
      </c>
      <c r="D3079" s="2" t="s">
        <v>30</v>
      </c>
      <c r="E3079" s="2">
        <v>134</v>
      </c>
      <c r="F3079" s="2">
        <v>2681.72</v>
      </c>
    </row>
    <row r="3080" spans="3:6" x14ac:dyDescent="0.25">
      <c r="C3080" s="2" t="s">
        <v>6543</v>
      </c>
      <c r="D3080" s="2" t="s">
        <v>30</v>
      </c>
      <c r="E3080" s="2">
        <v>36</v>
      </c>
      <c r="F3080" s="2">
        <v>674.41</v>
      </c>
    </row>
    <row r="3081" spans="3:6" x14ac:dyDescent="0.25">
      <c r="C3081" s="2" t="s">
        <v>6544</v>
      </c>
      <c r="D3081" s="2" t="s">
        <v>36</v>
      </c>
      <c r="E3081" s="2">
        <v>45</v>
      </c>
      <c r="F3081" s="2">
        <v>772.5</v>
      </c>
    </row>
    <row r="3082" spans="3:6" x14ac:dyDescent="0.25">
      <c r="C3082" s="2" t="s">
        <v>6545</v>
      </c>
      <c r="D3082" s="2" t="s">
        <v>36</v>
      </c>
      <c r="E3082" s="2">
        <v>60</v>
      </c>
      <c r="F3082" s="2">
        <v>1092.57</v>
      </c>
    </row>
    <row r="3083" spans="3:6" x14ac:dyDescent="0.25">
      <c r="C3083" s="2" t="s">
        <v>6546</v>
      </c>
      <c r="D3083" s="2" t="s">
        <v>42</v>
      </c>
      <c r="E3083" s="2">
        <v>56</v>
      </c>
      <c r="F3083" s="2">
        <v>1082.31</v>
      </c>
    </row>
    <row r="3084" spans="3:6" x14ac:dyDescent="0.25">
      <c r="C3084" s="2" t="s">
        <v>6547</v>
      </c>
      <c r="D3084" s="2" t="s">
        <v>42</v>
      </c>
      <c r="E3084" s="2">
        <v>100</v>
      </c>
      <c r="F3084" s="2">
        <v>1882.518</v>
      </c>
    </row>
    <row r="3085" spans="3:6" x14ac:dyDescent="0.25">
      <c r="C3085" s="2" t="s">
        <v>6548</v>
      </c>
      <c r="D3085" s="2" t="s">
        <v>42</v>
      </c>
      <c r="E3085" s="2">
        <v>22</v>
      </c>
      <c r="F3085" s="2">
        <v>415</v>
      </c>
    </row>
    <row r="3086" spans="3:6" x14ac:dyDescent="0.25">
      <c r="C3086" s="2" t="s">
        <v>6549</v>
      </c>
      <c r="D3086" s="2" t="s">
        <v>42</v>
      </c>
      <c r="E3086" s="2">
        <v>91</v>
      </c>
      <c r="F3086" s="2">
        <v>1676.159</v>
      </c>
    </row>
    <row r="3087" spans="3:6" x14ac:dyDescent="0.25">
      <c r="C3087" s="2" t="s">
        <v>6550</v>
      </c>
      <c r="D3087" s="2" t="s">
        <v>42</v>
      </c>
      <c r="E3087" s="2">
        <v>30</v>
      </c>
      <c r="F3087" s="2">
        <v>540</v>
      </c>
    </row>
    <row r="3088" spans="3:6" x14ac:dyDescent="0.25">
      <c r="C3088" s="2" t="s">
        <v>6551</v>
      </c>
      <c r="D3088" s="2" t="s">
        <v>42</v>
      </c>
      <c r="E3088" s="2">
        <v>13</v>
      </c>
      <c r="F3088" s="2">
        <v>240.68</v>
      </c>
    </row>
    <row r="3089" spans="3:6" x14ac:dyDescent="0.25">
      <c r="C3089" s="2" t="s">
        <v>6552</v>
      </c>
      <c r="D3089" s="2" t="s">
        <v>26</v>
      </c>
      <c r="E3089" s="2">
        <v>141</v>
      </c>
      <c r="F3089" s="2">
        <v>2629</v>
      </c>
    </row>
    <row r="3090" spans="3:6" x14ac:dyDescent="0.25">
      <c r="C3090" s="2" t="s">
        <v>6553</v>
      </c>
      <c r="D3090" s="2" t="s">
        <v>26</v>
      </c>
      <c r="E3090" s="2">
        <v>15</v>
      </c>
      <c r="F3090" s="2">
        <v>203</v>
      </c>
    </row>
    <row r="3091" spans="3:6" x14ac:dyDescent="0.25">
      <c r="C3091" s="2" t="s">
        <v>6554</v>
      </c>
      <c r="D3091" s="2" t="s">
        <v>26</v>
      </c>
      <c r="E3091" s="2">
        <v>105</v>
      </c>
      <c r="F3091" s="2">
        <v>1937</v>
      </c>
    </row>
    <row r="3092" spans="3:6" x14ac:dyDescent="0.25">
      <c r="C3092" s="2" t="s">
        <v>6555</v>
      </c>
      <c r="D3092" s="2" t="s">
        <v>30</v>
      </c>
      <c r="E3092" s="2">
        <v>156</v>
      </c>
      <c r="F3092" s="2">
        <v>2955</v>
      </c>
    </row>
    <row r="3094" spans="3:6" x14ac:dyDescent="0.25">
      <c r="C3094" s="2" t="s">
        <v>6556</v>
      </c>
      <c r="D3094" s="2" t="s">
        <v>136</v>
      </c>
      <c r="E3094" s="2">
        <v>127</v>
      </c>
      <c r="F3094" s="2">
        <v>2488.679</v>
      </c>
    </row>
    <row r="3095" spans="3:6" x14ac:dyDescent="0.25">
      <c r="C3095" s="2" t="s">
        <v>6557</v>
      </c>
      <c r="D3095" s="2" t="s">
        <v>136</v>
      </c>
      <c r="E3095" s="2">
        <v>29</v>
      </c>
      <c r="F3095" s="2">
        <v>515.55</v>
      </c>
    </row>
    <row r="3096" spans="3:6" x14ac:dyDescent="0.25">
      <c r="C3096" s="2" t="s">
        <v>6558</v>
      </c>
      <c r="D3096" s="2" t="s">
        <v>136</v>
      </c>
      <c r="E3096" s="2">
        <v>156</v>
      </c>
      <c r="F3096" s="2">
        <v>3244.769</v>
      </c>
    </row>
    <row r="3098" spans="1:7" x14ac:dyDescent="0.25">
      <c r="A3098" s="1">
        <v>46195</v>
      </c>
      <c r="B3098" s="2" t="s">
        <v>1626</v>
      </c>
      <c r="C3098" s="2" t="s">
        <v>6559</v>
      </c>
      <c r="D3098" s="2" t="s">
        <v>59</v>
      </c>
      <c r="E3098" s="2">
        <v>102</v>
      </c>
      <c r="F3098" s="2">
        <v>2024.87</v>
      </c>
      <c r="G3098" s="1">
        <v>46195</v>
      </c>
    </row>
    <row r="3099" spans="3:6" x14ac:dyDescent="0.25">
      <c r="C3099" s="2" t="s">
        <v>6560</v>
      </c>
      <c r="D3099" s="2" t="s">
        <v>59</v>
      </c>
      <c r="E3099" s="2">
        <v>224</v>
      </c>
      <c r="F3099" s="2">
        <v>4212.487</v>
      </c>
    </row>
    <row r="3100" spans="3:6" x14ac:dyDescent="0.25">
      <c r="C3100" s="2" t="s">
        <v>6561</v>
      </c>
      <c r="D3100" s="2" t="s">
        <v>59</v>
      </c>
      <c r="E3100" s="2">
        <v>149</v>
      </c>
      <c r="F3100" s="2">
        <v>2913.638</v>
      </c>
    </row>
    <row r="3101" spans="3:6" x14ac:dyDescent="0.25">
      <c r="C3101" s="2" t="s">
        <v>6562</v>
      </c>
      <c r="D3101" s="2" t="s">
        <v>59</v>
      </c>
      <c r="E3101" s="2">
        <v>102</v>
      </c>
      <c r="F3101" s="2">
        <v>1980.299</v>
      </c>
    </row>
    <row r="3102" spans="3:6" x14ac:dyDescent="0.25">
      <c r="C3102" s="2" t="s">
        <v>6563</v>
      </c>
      <c r="D3102" s="2" t="s">
        <v>59</v>
      </c>
      <c r="E3102" s="2">
        <v>251</v>
      </c>
      <c r="F3102" s="2">
        <v>4692.05</v>
      </c>
    </row>
    <row r="3103" spans="3:6" x14ac:dyDescent="0.25">
      <c r="C3103" s="2" t="s">
        <v>6564</v>
      </c>
      <c r="D3103" s="2" t="s">
        <v>59</v>
      </c>
      <c r="E3103" s="2">
        <v>259</v>
      </c>
      <c r="F3103" s="2">
        <v>5047.089</v>
      </c>
    </row>
    <row r="3104" spans="3:6" x14ac:dyDescent="0.25">
      <c r="C3104" s="2" t="s">
        <v>6565</v>
      </c>
      <c r="D3104" s="2" t="s">
        <v>59</v>
      </c>
      <c r="E3104" s="2">
        <v>251</v>
      </c>
      <c r="F3104" s="2">
        <v>4957.719</v>
      </c>
    </row>
    <row r="3106" spans="1:7" x14ac:dyDescent="0.25">
      <c r="A3106" s="1">
        <v>46196</v>
      </c>
      <c r="B3106" s="2" t="s">
        <v>1958</v>
      </c>
      <c r="C3106" s="2" t="s">
        <v>6566</v>
      </c>
      <c r="D3106" s="2" t="s">
        <v>53</v>
      </c>
      <c r="E3106" s="2">
        <v>101</v>
      </c>
      <c r="F3106" s="2">
        <v>1864</v>
      </c>
      <c r="G3106" s="1">
        <v>46196</v>
      </c>
    </row>
    <row r="3108" spans="1:7" x14ac:dyDescent="0.25">
      <c r="A3108" s="1">
        <v>46196</v>
      </c>
      <c r="B3108" s="2" t="s">
        <v>1012</v>
      </c>
      <c r="C3108" s="2" t="s">
        <v>6567</v>
      </c>
      <c r="D3108" s="2" t="s">
        <v>73</v>
      </c>
      <c r="E3108" s="2">
        <v>92</v>
      </c>
      <c r="F3108" s="2">
        <v>1824.82</v>
      </c>
      <c r="G3108" s="1">
        <v>46195</v>
      </c>
    </row>
    <row r="3109" spans="3:6" x14ac:dyDescent="0.25">
      <c r="C3109" s="2" t="s">
        <v>6568</v>
      </c>
      <c r="D3109" s="2" t="s">
        <v>73</v>
      </c>
      <c r="E3109" s="2">
        <v>98</v>
      </c>
      <c r="F3109" s="2">
        <v>1903.22</v>
      </c>
    </row>
    <row r="3110" spans="3:6" x14ac:dyDescent="0.25">
      <c r="C3110" s="2" t="s">
        <v>6569</v>
      </c>
      <c r="D3110" s="2" t="s">
        <v>73</v>
      </c>
      <c r="E3110" s="2">
        <v>40</v>
      </c>
      <c r="F3110" s="2">
        <v>641.36</v>
      </c>
    </row>
    <row r="3111" spans="3:6" x14ac:dyDescent="0.25">
      <c r="C3111" s="2" t="s">
        <v>6570</v>
      </c>
      <c r="D3111" s="2" t="s">
        <v>73</v>
      </c>
      <c r="E3111" s="2">
        <v>57</v>
      </c>
      <c r="F3111" s="2">
        <v>1067.249</v>
      </c>
    </row>
    <row r="3112" spans="3:6" x14ac:dyDescent="0.25">
      <c r="C3112" s="2" t="s">
        <v>6571</v>
      </c>
      <c r="D3112" s="2" t="s">
        <v>73</v>
      </c>
      <c r="E3112" s="2">
        <v>8</v>
      </c>
      <c r="F3112" s="2">
        <v>148.05</v>
      </c>
    </row>
    <row r="3113" spans="3:6" x14ac:dyDescent="0.25">
      <c r="C3113" s="2" t="s">
        <v>6572</v>
      </c>
      <c r="D3113" s="2" t="s">
        <v>73</v>
      </c>
      <c r="E3113" s="2">
        <v>35</v>
      </c>
      <c r="F3113" s="2">
        <v>663.73</v>
      </c>
    </row>
    <row r="3114" spans="3:6" x14ac:dyDescent="0.25">
      <c r="C3114" s="2" t="s">
        <v>6573</v>
      </c>
      <c r="D3114" s="2" t="s">
        <v>73</v>
      </c>
      <c r="E3114" s="2">
        <v>28</v>
      </c>
      <c r="F3114" s="2">
        <v>491.36</v>
      </c>
    </row>
    <row r="3115" spans="3:6" x14ac:dyDescent="0.25">
      <c r="C3115" s="2" t="s">
        <v>6574</v>
      </c>
      <c r="D3115" s="2" t="s">
        <v>73</v>
      </c>
      <c r="E3115" s="2">
        <v>55</v>
      </c>
      <c r="F3115" s="2">
        <v>1128.89</v>
      </c>
    </row>
    <row r="3116" spans="3:6" x14ac:dyDescent="0.25">
      <c r="C3116" s="2" t="s">
        <v>6575</v>
      </c>
      <c r="D3116" s="2" t="s">
        <v>73</v>
      </c>
      <c r="E3116" s="2">
        <v>93</v>
      </c>
      <c r="F3116" s="2">
        <v>1855.67</v>
      </c>
    </row>
    <row r="3118" spans="1:7" x14ac:dyDescent="0.25">
      <c r="A3118" s="1">
        <v>46196</v>
      </c>
      <c r="B3118" s="2" t="s">
        <v>7</v>
      </c>
      <c r="C3118" s="2" t="s">
        <v>6576</v>
      </c>
      <c r="D3118" s="2" t="s">
        <v>9</v>
      </c>
      <c r="E3118" s="2">
        <v>70</v>
      </c>
      <c r="F3118" s="2">
        <v>1409.57</v>
      </c>
      <c r="G3118" s="1">
        <v>46195</v>
      </c>
    </row>
    <row r="3119" spans="3:6" x14ac:dyDescent="0.25">
      <c r="C3119" s="2" t="s">
        <v>6577</v>
      </c>
      <c r="D3119" s="2" t="s">
        <v>9</v>
      </c>
      <c r="E3119" s="2">
        <v>69</v>
      </c>
      <c r="F3119" s="2">
        <v>1406.599</v>
      </c>
    </row>
    <row r="3122" spans="1:7" x14ac:dyDescent="0.25">
      <c r="A3122" s="1">
        <v>46196</v>
      </c>
      <c r="B3122" s="2" t="s">
        <v>1299</v>
      </c>
      <c r="C3122" s="2" t="s">
        <v>6578</v>
      </c>
      <c r="D3122" s="2" t="s">
        <v>136</v>
      </c>
      <c r="E3122" s="2">
        <v>154</v>
      </c>
      <c r="F3122" s="2">
        <v>3227.549</v>
      </c>
      <c r="G3122" s="1">
        <v>46195</v>
      </c>
    </row>
    <row r="3123" spans="3:6" x14ac:dyDescent="0.25">
      <c r="C3123" s="2" t="s">
        <v>6579</v>
      </c>
      <c r="D3123" s="2" t="s">
        <v>136</v>
      </c>
      <c r="E3123" s="2">
        <v>156</v>
      </c>
      <c r="F3123" s="2">
        <v>3188.32</v>
      </c>
    </row>
    <row r="3125" spans="3:7" x14ac:dyDescent="0.25">
      <c r="C3125" s="2" t="s">
        <v>6580</v>
      </c>
      <c r="D3125" s="2" t="s">
        <v>15</v>
      </c>
      <c r="E3125" s="2">
        <v>262</v>
      </c>
      <c r="F3125" s="2">
        <v>705.39</v>
      </c>
      <c r="G3125" s="1">
        <v>46195</v>
      </c>
    </row>
    <row r="3126" spans="3:6" x14ac:dyDescent="0.25">
      <c r="C3126" s="2" t="s">
        <v>6581</v>
      </c>
      <c r="D3126" s="2" t="s">
        <v>26</v>
      </c>
      <c r="E3126" s="2">
        <v>56</v>
      </c>
      <c r="F3126" s="2">
        <v>1095.15</v>
      </c>
    </row>
    <row r="3127" spans="3:6" x14ac:dyDescent="0.25">
      <c r="C3127" s="2" t="s">
        <v>6582</v>
      </c>
      <c r="D3127" s="2" t="s">
        <v>26</v>
      </c>
      <c r="E3127" s="2">
        <v>100</v>
      </c>
      <c r="F3127" s="2">
        <v>1834.229</v>
      </c>
    </row>
    <row r="3128" spans="3:6" x14ac:dyDescent="0.25">
      <c r="C3128" s="2" t="s">
        <v>6583</v>
      </c>
      <c r="D3128" s="2" t="s">
        <v>15</v>
      </c>
      <c r="E3128" s="2">
        <v>105</v>
      </c>
      <c r="F3128" s="2">
        <v>2023.15</v>
      </c>
    </row>
    <row r="3129" spans="3:6" x14ac:dyDescent="0.25">
      <c r="C3129" s="2" t="s">
        <v>6584</v>
      </c>
      <c r="D3129" s="2" t="s">
        <v>15</v>
      </c>
      <c r="E3129" s="2">
        <v>36</v>
      </c>
      <c r="F3129" s="2">
        <v>719.32</v>
      </c>
    </row>
    <row r="3130" spans="3:6" x14ac:dyDescent="0.25">
      <c r="C3130" s="2" t="s">
        <v>6585</v>
      </c>
      <c r="D3130" s="2" t="s">
        <v>15</v>
      </c>
      <c r="E3130" s="2">
        <v>163</v>
      </c>
      <c r="F3130" s="2">
        <v>3005.5</v>
      </c>
    </row>
    <row r="3131" spans="3:6" x14ac:dyDescent="0.25">
      <c r="C3131" s="2" t="s">
        <v>6586</v>
      </c>
      <c r="D3131" s="2" t="s">
        <v>15</v>
      </c>
      <c r="E3131" s="2">
        <v>163</v>
      </c>
      <c r="F3131" s="2">
        <v>3116.57</v>
      </c>
    </row>
    <row r="3132" spans="3:6" x14ac:dyDescent="0.25">
      <c r="C3132" s="2" t="s">
        <v>6587</v>
      </c>
      <c r="D3132" s="2" t="s">
        <v>15</v>
      </c>
      <c r="E3132" s="2">
        <v>156</v>
      </c>
      <c r="F3132" s="2">
        <v>2515.69</v>
      </c>
    </row>
    <row r="3133" spans="3:6" x14ac:dyDescent="0.25">
      <c r="C3133" s="2" t="s">
        <v>6588</v>
      </c>
      <c r="D3133" s="2" t="s">
        <v>15</v>
      </c>
      <c r="E3133" s="2">
        <v>163</v>
      </c>
      <c r="F3133" s="2">
        <v>3094.168</v>
      </c>
    </row>
    <row r="3134" spans="3:6" x14ac:dyDescent="0.25">
      <c r="C3134" s="2" t="s">
        <v>6589</v>
      </c>
      <c r="D3134" s="2" t="s">
        <v>15</v>
      </c>
      <c r="E3134" s="2">
        <v>277</v>
      </c>
      <c r="F3134" s="2">
        <v>654.932</v>
      </c>
    </row>
    <row r="3135" spans="3:6" x14ac:dyDescent="0.25">
      <c r="C3135" s="2" t="s">
        <v>6590</v>
      </c>
      <c r="D3135" s="2" t="s">
        <v>15</v>
      </c>
      <c r="E3135" s="2">
        <v>83</v>
      </c>
      <c r="F3135" s="2">
        <v>1558.34</v>
      </c>
    </row>
    <row r="3136" spans="3:6" x14ac:dyDescent="0.25">
      <c r="C3136" s="2" t="s">
        <v>6591</v>
      </c>
      <c r="D3136" s="2" t="s">
        <v>36</v>
      </c>
      <c r="E3136" s="2">
        <v>80</v>
      </c>
      <c r="F3136" s="2">
        <v>1581.32</v>
      </c>
    </row>
    <row r="3137" spans="3:6" x14ac:dyDescent="0.25">
      <c r="C3137" s="2" t="s">
        <v>6592</v>
      </c>
      <c r="D3137" s="2" t="s">
        <v>36</v>
      </c>
      <c r="E3137" s="2">
        <v>17</v>
      </c>
      <c r="F3137" s="2">
        <v>308.57</v>
      </c>
    </row>
    <row r="3138" spans="3:6" x14ac:dyDescent="0.25">
      <c r="C3138" s="2" t="s">
        <v>6593</v>
      </c>
      <c r="D3138" s="2" t="s">
        <v>15</v>
      </c>
      <c r="E3138" s="2">
        <v>87</v>
      </c>
      <c r="F3138" s="2">
        <v>1565.929</v>
      </c>
    </row>
    <row r="3139" spans="3:6" x14ac:dyDescent="0.25">
      <c r="C3139" s="2" t="s">
        <v>6594</v>
      </c>
      <c r="D3139" s="2" t="s">
        <v>15</v>
      </c>
      <c r="E3139" s="2">
        <v>80</v>
      </c>
      <c r="F3139" s="2">
        <v>1607.99</v>
      </c>
    </row>
    <row r="3140" spans="3:6" x14ac:dyDescent="0.25">
      <c r="C3140" s="2" t="s">
        <v>6595</v>
      </c>
      <c r="D3140" s="2" t="s">
        <v>15</v>
      </c>
      <c r="E3140" s="2">
        <v>76</v>
      </c>
      <c r="F3140" s="2">
        <v>1524.429</v>
      </c>
    </row>
    <row r="3141" spans="3:6" x14ac:dyDescent="0.25">
      <c r="C3141" s="2" t="s">
        <v>6596</v>
      </c>
      <c r="D3141" s="2" t="s">
        <v>42</v>
      </c>
      <c r="E3141" s="2">
        <v>87</v>
      </c>
      <c r="F3141" s="2">
        <v>1598.869</v>
      </c>
    </row>
    <row r="3142" spans="3:6" x14ac:dyDescent="0.25">
      <c r="C3142" s="2" t="s">
        <v>6597</v>
      </c>
      <c r="D3142" s="2" t="s">
        <v>42</v>
      </c>
      <c r="E3142" s="2">
        <v>28</v>
      </c>
      <c r="F3142" s="2">
        <v>527.34</v>
      </c>
    </row>
    <row r="3143" spans="3:6" x14ac:dyDescent="0.25">
      <c r="C3143" s="2" t="s">
        <v>6598</v>
      </c>
      <c r="D3143" s="2" t="s">
        <v>42</v>
      </c>
      <c r="E3143" s="2">
        <v>41</v>
      </c>
      <c r="F3143" s="2">
        <v>776.339</v>
      </c>
    </row>
    <row r="3144" spans="3:6" x14ac:dyDescent="0.25">
      <c r="C3144" s="2" t="s">
        <v>6599</v>
      </c>
      <c r="D3144" s="2" t="s">
        <v>15</v>
      </c>
      <c r="E3144" s="2">
        <v>163</v>
      </c>
      <c r="F3144" s="2">
        <v>3139.239</v>
      </c>
    </row>
    <row r="3145" spans="3:6" x14ac:dyDescent="0.25">
      <c r="C3145" s="2" t="s">
        <v>6600</v>
      </c>
      <c r="D3145" s="2" t="s">
        <v>26</v>
      </c>
      <c r="E3145" s="2">
        <v>56</v>
      </c>
      <c r="F3145" s="2">
        <v>1112.44</v>
      </c>
    </row>
    <row r="3146" spans="3:6" x14ac:dyDescent="0.25">
      <c r="C3146" s="2" t="s">
        <v>6601</v>
      </c>
      <c r="D3146" s="2" t="s">
        <v>26</v>
      </c>
      <c r="E3146" s="2">
        <v>100</v>
      </c>
      <c r="F3146" s="2">
        <v>1961.389</v>
      </c>
    </row>
    <row r="3147" spans="3:6" x14ac:dyDescent="0.25">
      <c r="C3147" s="2" t="s">
        <v>6602</v>
      </c>
      <c r="D3147" s="2" t="s">
        <v>26</v>
      </c>
      <c r="E3147" s="2">
        <v>56</v>
      </c>
      <c r="F3147" s="2">
        <v>1074.63</v>
      </c>
    </row>
    <row r="3148" spans="3:6" x14ac:dyDescent="0.25">
      <c r="C3148" s="2" t="s">
        <v>6603</v>
      </c>
      <c r="D3148" s="2" t="s">
        <v>26</v>
      </c>
      <c r="E3148" s="2">
        <v>100</v>
      </c>
      <c r="F3148" s="2">
        <v>1938.67</v>
      </c>
    </row>
    <row r="3149" spans="3:6" x14ac:dyDescent="0.25">
      <c r="C3149" s="2" t="s">
        <v>6604</v>
      </c>
      <c r="D3149" s="2" t="s">
        <v>26</v>
      </c>
      <c r="E3149" s="2">
        <v>56</v>
      </c>
      <c r="F3149" s="2">
        <v>1090.56</v>
      </c>
    </row>
    <row r="3150" spans="3:6" x14ac:dyDescent="0.25">
      <c r="C3150" s="2" t="s">
        <v>6605</v>
      </c>
      <c r="D3150" s="2" t="s">
        <v>26</v>
      </c>
      <c r="E3150" s="2">
        <v>100</v>
      </c>
      <c r="F3150" s="2">
        <v>1931.57</v>
      </c>
    </row>
    <row r="3151" spans="3:6" x14ac:dyDescent="0.25">
      <c r="C3151" s="2" t="s">
        <v>6606</v>
      </c>
      <c r="D3151" s="2" t="s">
        <v>36</v>
      </c>
      <c r="E3151" s="2">
        <v>60</v>
      </c>
      <c r="F3151" s="2">
        <v>1084.04</v>
      </c>
    </row>
    <row r="3152" spans="3:6" x14ac:dyDescent="0.25">
      <c r="C3152" s="2" t="s">
        <v>6607</v>
      </c>
      <c r="D3152" s="2" t="s">
        <v>36</v>
      </c>
      <c r="E3152" s="2">
        <v>45</v>
      </c>
      <c r="F3152" s="2">
        <v>811.97</v>
      </c>
    </row>
    <row r="3153" spans="3:6" x14ac:dyDescent="0.25">
      <c r="C3153" s="2" t="s">
        <v>6608</v>
      </c>
      <c r="D3153" s="2" t="s">
        <v>15</v>
      </c>
      <c r="E3153" s="2">
        <v>94</v>
      </c>
      <c r="F3153" s="2">
        <v>1709.1</v>
      </c>
    </row>
    <row r="3154" spans="3:6" x14ac:dyDescent="0.25">
      <c r="C3154" s="2" t="s">
        <v>6609</v>
      </c>
      <c r="D3154" s="2" t="s">
        <v>15</v>
      </c>
      <c r="E3154" s="2">
        <v>163</v>
      </c>
      <c r="F3154" s="2">
        <v>3073.08</v>
      </c>
    </row>
    <row r="3155" spans="3:6" x14ac:dyDescent="0.25">
      <c r="C3155" s="2" t="s">
        <v>6610</v>
      </c>
      <c r="D3155" s="2" t="s">
        <v>15</v>
      </c>
      <c r="E3155" s="2">
        <v>163</v>
      </c>
      <c r="F3155" s="2">
        <v>2850.459</v>
      </c>
    </row>
    <row r="3156" spans="3:6" x14ac:dyDescent="0.25">
      <c r="C3156" s="2" t="s">
        <v>6611</v>
      </c>
      <c r="D3156" s="2" t="s">
        <v>15</v>
      </c>
      <c r="E3156" s="2">
        <v>163</v>
      </c>
      <c r="F3156" s="2">
        <v>2833.75</v>
      </c>
    </row>
    <row r="3157" spans="3:6" x14ac:dyDescent="0.25">
      <c r="C3157" s="2" t="s">
        <v>6612</v>
      </c>
      <c r="D3157" s="2" t="s">
        <v>15</v>
      </c>
      <c r="E3157" s="2">
        <v>105</v>
      </c>
      <c r="F3157" s="2">
        <v>2080.899</v>
      </c>
    </row>
    <row r="3158" spans="3:6" x14ac:dyDescent="0.25">
      <c r="C3158" s="2" t="s">
        <v>6613</v>
      </c>
      <c r="D3158" s="2" t="s">
        <v>15</v>
      </c>
      <c r="E3158" s="2">
        <v>105</v>
      </c>
      <c r="F3158" s="2">
        <v>2068.63</v>
      </c>
    </row>
    <row r="3159" spans="3:6" x14ac:dyDescent="0.25">
      <c r="C3159" s="2" t="s">
        <v>6614</v>
      </c>
      <c r="D3159" s="2" t="s">
        <v>15</v>
      </c>
      <c r="E3159" s="2">
        <v>134</v>
      </c>
      <c r="F3159" s="2">
        <v>2651.289</v>
      </c>
    </row>
    <row r="3160" spans="3:6" x14ac:dyDescent="0.25">
      <c r="C3160" s="2" t="s">
        <v>6615</v>
      </c>
      <c r="D3160" s="2" t="s">
        <v>15</v>
      </c>
      <c r="E3160" s="2">
        <v>134</v>
      </c>
      <c r="F3160" s="2">
        <v>2607.398</v>
      </c>
    </row>
    <row r="3161" spans="3:6" x14ac:dyDescent="0.25">
      <c r="C3161" s="2" t="s">
        <v>6616</v>
      </c>
      <c r="D3161" s="2" t="s">
        <v>15</v>
      </c>
      <c r="E3161" s="2">
        <v>134</v>
      </c>
      <c r="F3161" s="2">
        <v>2560.04</v>
      </c>
    </row>
    <row r="3162" spans="3:6" x14ac:dyDescent="0.25">
      <c r="C3162" s="2" t="s">
        <v>6617</v>
      </c>
      <c r="D3162" s="2" t="s">
        <v>15</v>
      </c>
      <c r="E3162" s="2">
        <v>134</v>
      </c>
      <c r="F3162" s="2">
        <v>2542</v>
      </c>
    </row>
    <row r="3163" spans="3:6" x14ac:dyDescent="0.25">
      <c r="C3163" s="2" t="s">
        <v>6618</v>
      </c>
      <c r="D3163" s="2" t="s">
        <v>15</v>
      </c>
      <c r="E3163" s="2">
        <v>134</v>
      </c>
      <c r="F3163" s="2">
        <v>2602.198</v>
      </c>
    </row>
    <row r="3164" spans="3:6" x14ac:dyDescent="0.25">
      <c r="C3164" s="2" t="s">
        <v>6619</v>
      </c>
      <c r="D3164" s="2" t="s">
        <v>36</v>
      </c>
      <c r="E3164" s="2">
        <v>25</v>
      </c>
      <c r="F3164" s="2">
        <v>495.8</v>
      </c>
    </row>
    <row r="3165" spans="3:6" x14ac:dyDescent="0.25">
      <c r="C3165" s="2" t="s">
        <v>6620</v>
      </c>
      <c r="D3165" s="2" t="s">
        <v>36</v>
      </c>
      <c r="E3165" s="2">
        <v>80</v>
      </c>
      <c r="F3165" s="2">
        <v>1582.71</v>
      </c>
    </row>
    <row r="3166" spans="3:6" x14ac:dyDescent="0.25">
      <c r="C3166" s="2" t="s">
        <v>6621</v>
      </c>
      <c r="D3166" s="2" t="s">
        <v>15</v>
      </c>
      <c r="E3166" s="2">
        <v>69</v>
      </c>
      <c r="F3166" s="2">
        <v>1281</v>
      </c>
    </row>
    <row r="3167" spans="3:6" x14ac:dyDescent="0.25">
      <c r="C3167" s="2" t="s">
        <v>6622</v>
      </c>
      <c r="D3167" s="2" t="s">
        <v>36</v>
      </c>
      <c r="E3167" s="2">
        <v>8</v>
      </c>
      <c r="F3167" s="2">
        <v>157</v>
      </c>
    </row>
    <row r="3169" spans="2:6" x14ac:dyDescent="0.25">
      <c r="B3169" s="2" t="s">
        <v>48</v>
      </c>
      <c r="C3169" s="2" t="s">
        <v>6623</v>
      </c>
      <c r="D3169" s="2" t="s">
        <v>26</v>
      </c>
      <c r="E3169" s="2">
        <v>156</v>
      </c>
      <c r="F3169" s="2">
        <v>2911.62</v>
      </c>
    </row>
    <row r="3170" spans="3:6" x14ac:dyDescent="0.25">
      <c r="C3170" s="2" t="s">
        <v>6624</v>
      </c>
      <c r="D3170" s="2" t="s">
        <v>26</v>
      </c>
      <c r="E3170" s="2">
        <v>134</v>
      </c>
      <c r="F3170" s="2">
        <v>2445.778</v>
      </c>
    </row>
    <row r="3172" spans="1:7" x14ac:dyDescent="0.25">
      <c r="A3172" s="1">
        <v>46196</v>
      </c>
      <c r="B3172" s="2" t="s">
        <v>420</v>
      </c>
      <c r="C3172" s="2" t="s">
        <v>6625</v>
      </c>
      <c r="D3172" s="2" t="s">
        <v>59</v>
      </c>
      <c r="E3172" s="2">
        <v>105</v>
      </c>
      <c r="F3172" s="2">
        <v>1973.339</v>
      </c>
      <c r="G3172" s="1">
        <v>46195</v>
      </c>
    </row>
    <row r="3173" spans="3:6" x14ac:dyDescent="0.25">
      <c r="C3173" s="2" t="s">
        <v>6626</v>
      </c>
      <c r="D3173" s="2" t="s">
        <v>59</v>
      </c>
      <c r="E3173" s="2">
        <v>105</v>
      </c>
      <c r="F3173" s="2">
        <v>1999.09</v>
      </c>
    </row>
    <row r="3174" spans="3:6" x14ac:dyDescent="0.25">
      <c r="C3174" s="2" t="s">
        <v>6627</v>
      </c>
      <c r="D3174" s="2" t="s">
        <v>59</v>
      </c>
      <c r="E3174" s="2">
        <v>105</v>
      </c>
      <c r="F3174" s="2">
        <v>1975.92</v>
      </c>
    </row>
    <row r="3175" spans="3:6" x14ac:dyDescent="0.25">
      <c r="C3175" s="2" t="s">
        <v>6628</v>
      </c>
      <c r="D3175" s="2" t="s">
        <v>59</v>
      </c>
      <c r="E3175" s="2">
        <v>105</v>
      </c>
      <c r="F3175" s="2">
        <v>2069.34</v>
      </c>
    </row>
    <row r="3176" spans="3:6" x14ac:dyDescent="0.25">
      <c r="C3176" s="2" t="s">
        <v>6629</v>
      </c>
      <c r="D3176" s="2" t="s">
        <v>59</v>
      </c>
      <c r="E3176" s="2">
        <v>105</v>
      </c>
      <c r="F3176" s="2">
        <v>2016.828</v>
      </c>
    </row>
    <row r="3178" spans="1:7" x14ac:dyDescent="0.25">
      <c r="A3178" s="1">
        <v>46197</v>
      </c>
      <c r="B3178" s="2" t="s">
        <v>1400</v>
      </c>
      <c r="C3178" s="2" t="s">
        <v>6630</v>
      </c>
      <c r="D3178" s="2" t="s">
        <v>82</v>
      </c>
      <c r="E3178" s="2">
        <v>141</v>
      </c>
      <c r="F3178" s="2">
        <v>2893.939</v>
      </c>
      <c r="G3178" s="1">
        <v>46196</v>
      </c>
    </row>
    <row r="3179" spans="3:6" x14ac:dyDescent="0.25">
      <c r="C3179" s="2" t="s">
        <v>6631</v>
      </c>
      <c r="D3179" s="2" t="s">
        <v>82</v>
      </c>
      <c r="E3179" s="2">
        <v>141</v>
      </c>
      <c r="F3179" s="2">
        <v>2826.37</v>
      </c>
    </row>
    <row r="3180" spans="3:6" x14ac:dyDescent="0.25">
      <c r="C3180" s="2" t="s">
        <v>6632</v>
      </c>
      <c r="D3180" s="2" t="s">
        <v>82</v>
      </c>
      <c r="E3180" s="2">
        <v>141</v>
      </c>
      <c r="F3180" s="2">
        <v>2736.9</v>
      </c>
    </row>
    <row r="3181" spans="3:6" x14ac:dyDescent="0.25">
      <c r="C3181" s="2" t="s">
        <v>6633</v>
      </c>
      <c r="D3181" s="2" t="s">
        <v>82</v>
      </c>
      <c r="E3181" s="2">
        <v>111</v>
      </c>
      <c r="F3181" s="2">
        <v>2214.7</v>
      </c>
    </row>
    <row r="3182" spans="3:6" x14ac:dyDescent="0.25">
      <c r="C3182" s="2" t="s">
        <v>6634</v>
      </c>
      <c r="D3182" s="2" t="s">
        <v>82</v>
      </c>
      <c r="E3182" s="2">
        <v>30</v>
      </c>
      <c r="F3182" s="2">
        <v>611.23</v>
      </c>
    </row>
    <row r="3183" spans="3:6" x14ac:dyDescent="0.25">
      <c r="C3183" s="2" t="s">
        <v>6635</v>
      </c>
      <c r="D3183" s="2" t="s">
        <v>82</v>
      </c>
      <c r="E3183" s="2">
        <v>6</v>
      </c>
      <c r="F3183" s="2">
        <v>82.75</v>
      </c>
    </row>
    <row r="3184" spans="3:6" x14ac:dyDescent="0.25">
      <c r="C3184" s="2" t="s">
        <v>6636</v>
      </c>
      <c r="D3184" s="2" t="s">
        <v>82</v>
      </c>
      <c r="E3184" s="2">
        <v>3</v>
      </c>
      <c r="F3184" s="2">
        <v>10.53</v>
      </c>
    </row>
    <row r="3185" spans="3:6" x14ac:dyDescent="0.25">
      <c r="C3185" s="2" t="s">
        <v>6637</v>
      </c>
      <c r="D3185" s="2" t="s">
        <v>82</v>
      </c>
      <c r="E3185" s="2">
        <v>33</v>
      </c>
      <c r="F3185" s="2">
        <v>661.13</v>
      </c>
    </row>
    <row r="3186" spans="3:6" x14ac:dyDescent="0.25">
      <c r="C3186" s="2" t="s">
        <v>6638</v>
      </c>
      <c r="D3186" s="2" t="s">
        <v>82</v>
      </c>
      <c r="E3186" s="2">
        <v>100</v>
      </c>
      <c r="F3186" s="2">
        <v>2090.75</v>
      </c>
    </row>
    <row r="3188" spans="1:7" x14ac:dyDescent="0.25">
      <c r="A3188" s="1">
        <v>46197</v>
      </c>
      <c r="B3188" s="2" t="s">
        <v>3948</v>
      </c>
      <c r="C3188" s="2" t="s">
        <v>6639</v>
      </c>
      <c r="D3188" s="2" t="s">
        <v>178</v>
      </c>
      <c r="E3188" s="2">
        <v>45</v>
      </c>
      <c r="F3188" s="2">
        <v>198.39</v>
      </c>
      <c r="G3188" s="1">
        <v>46197</v>
      </c>
    </row>
    <row r="3189" spans="3:6" x14ac:dyDescent="0.25">
      <c r="C3189" s="2" t="s">
        <v>6640</v>
      </c>
      <c r="D3189" s="2" t="s">
        <v>178</v>
      </c>
      <c r="E3189" s="2">
        <v>45</v>
      </c>
      <c r="F3189" s="2">
        <v>186.229</v>
      </c>
    </row>
    <row r="3190" spans="3:6" x14ac:dyDescent="0.25">
      <c r="C3190" s="2" t="s">
        <v>6641</v>
      </c>
      <c r="D3190" s="2" t="s">
        <v>178</v>
      </c>
      <c r="E3190" s="2">
        <v>71</v>
      </c>
      <c r="F3190" s="2">
        <v>293.619</v>
      </c>
    </row>
    <row r="3191" spans="3:6" x14ac:dyDescent="0.25">
      <c r="C3191" s="2" t="s">
        <v>6642</v>
      </c>
      <c r="D3191" s="2" t="s">
        <v>178</v>
      </c>
      <c r="E3191" s="2">
        <v>123</v>
      </c>
      <c r="F3191" s="2">
        <v>2475.48</v>
      </c>
    </row>
    <row r="3192" spans="3:6" x14ac:dyDescent="0.25">
      <c r="C3192" s="2" t="s">
        <v>6643</v>
      </c>
      <c r="D3192" s="2" t="s">
        <v>178</v>
      </c>
      <c r="E3192" s="2">
        <v>123</v>
      </c>
      <c r="F3192" s="2">
        <v>2398.149</v>
      </c>
    </row>
    <row r="3193" spans="3:6" x14ac:dyDescent="0.25">
      <c r="C3193" s="2" t="s">
        <v>6644</v>
      </c>
      <c r="D3193" s="2" t="s">
        <v>178</v>
      </c>
      <c r="E3193" s="2">
        <v>123</v>
      </c>
      <c r="F3193" s="2">
        <v>2632.43</v>
      </c>
    </row>
    <row r="3194" spans="3:6" x14ac:dyDescent="0.25">
      <c r="C3194" s="2" t="s">
        <v>6645</v>
      </c>
      <c r="D3194" s="2" t="s">
        <v>178</v>
      </c>
      <c r="E3194" s="2">
        <v>74</v>
      </c>
      <c r="F3194" s="2">
        <v>1428.54</v>
      </c>
    </row>
    <row r="3195" spans="3:6" x14ac:dyDescent="0.25">
      <c r="C3195" s="2" t="s">
        <v>6646</v>
      </c>
      <c r="D3195" s="2" t="s">
        <v>178</v>
      </c>
      <c r="E3195" s="2">
        <v>60</v>
      </c>
      <c r="F3195" s="2">
        <v>1195.829</v>
      </c>
    </row>
    <row r="3196" spans="3:6" x14ac:dyDescent="0.25">
      <c r="C3196" s="2" t="s">
        <v>6647</v>
      </c>
      <c r="D3196" s="2" t="s">
        <v>178</v>
      </c>
      <c r="E3196" s="2">
        <v>282</v>
      </c>
      <c r="F3196" s="2">
        <v>5954.03</v>
      </c>
    </row>
    <row r="3197" spans="3:6" x14ac:dyDescent="0.25">
      <c r="C3197" s="2" t="s">
        <v>6648</v>
      </c>
      <c r="D3197" s="2" t="s">
        <v>178</v>
      </c>
      <c r="E3197" s="2">
        <v>123</v>
      </c>
      <c r="F3197" s="2">
        <v>2513.22</v>
      </c>
    </row>
    <row r="3198" spans="3:6" x14ac:dyDescent="0.25">
      <c r="C3198" s="2" t="s">
        <v>6649</v>
      </c>
      <c r="D3198" s="2" t="s">
        <v>178</v>
      </c>
      <c r="E3198" s="2">
        <v>102</v>
      </c>
      <c r="F3198" s="2">
        <v>2140.36</v>
      </c>
    </row>
    <row r="3199" spans="3:6" x14ac:dyDescent="0.25">
      <c r="C3199" s="2" t="s">
        <v>6650</v>
      </c>
      <c r="D3199" s="2" t="s">
        <v>178</v>
      </c>
      <c r="E3199" s="2">
        <v>102</v>
      </c>
      <c r="F3199" s="2">
        <v>1965.64</v>
      </c>
    </row>
    <row r="3200" spans="3:6" x14ac:dyDescent="0.25">
      <c r="C3200" s="2" t="s">
        <v>6651</v>
      </c>
      <c r="D3200" s="2" t="s">
        <v>178</v>
      </c>
      <c r="E3200" s="2">
        <v>141</v>
      </c>
      <c r="F3200" s="2">
        <v>2982.529</v>
      </c>
    </row>
    <row r="3201" spans="3:6" x14ac:dyDescent="0.25">
      <c r="C3201" s="2" t="s">
        <v>6652</v>
      </c>
      <c r="D3201" s="2" t="s">
        <v>178</v>
      </c>
      <c r="E3201" s="2">
        <v>282</v>
      </c>
      <c r="F3201" s="2">
        <v>5780.709</v>
      </c>
    </row>
    <row r="3202" spans="3:6" x14ac:dyDescent="0.25">
      <c r="C3202" s="2" t="s">
        <v>6653</v>
      </c>
      <c r="D3202" s="2" t="s">
        <v>178</v>
      </c>
      <c r="E3202" s="2">
        <v>141</v>
      </c>
      <c r="F3202" s="2">
        <v>2868.75</v>
      </c>
    </row>
    <row r="3203" spans="3:6" x14ac:dyDescent="0.25">
      <c r="C3203" s="2" t="s">
        <v>6654</v>
      </c>
      <c r="D3203" s="2" t="s">
        <v>178</v>
      </c>
      <c r="E3203" s="2">
        <v>141</v>
      </c>
      <c r="F3203" s="2">
        <v>2882.84</v>
      </c>
    </row>
    <row r="3204" spans="3:6" x14ac:dyDescent="0.25">
      <c r="C3204" s="2" t="s">
        <v>6655</v>
      </c>
      <c r="D3204" s="2" t="s">
        <v>178</v>
      </c>
      <c r="E3204" s="2">
        <v>141</v>
      </c>
      <c r="F3204" s="2">
        <v>2809.27</v>
      </c>
    </row>
    <row r="3205" spans="3:6" x14ac:dyDescent="0.25">
      <c r="C3205" s="2" t="s">
        <v>6656</v>
      </c>
      <c r="D3205" s="2" t="s">
        <v>178</v>
      </c>
      <c r="E3205" s="2">
        <v>141</v>
      </c>
      <c r="F3205" s="2">
        <v>2885.65</v>
      </c>
    </row>
    <row r="3206" spans="3:6" x14ac:dyDescent="0.25">
      <c r="C3206" s="2" t="s">
        <v>6657</v>
      </c>
      <c r="D3206" s="2" t="s">
        <v>178</v>
      </c>
      <c r="E3206" s="2">
        <v>282</v>
      </c>
      <c r="F3206" s="2">
        <v>5782.529</v>
      </c>
    </row>
    <row r="3207" spans="3:6" x14ac:dyDescent="0.25">
      <c r="C3207" s="2" t="s">
        <v>6658</v>
      </c>
      <c r="D3207" s="2" t="s">
        <v>178</v>
      </c>
      <c r="E3207" s="2">
        <v>141</v>
      </c>
      <c r="F3207" s="2">
        <v>2923.179</v>
      </c>
    </row>
    <row r="3208" spans="3:6" x14ac:dyDescent="0.25">
      <c r="C3208" s="2" t="s">
        <v>6659</v>
      </c>
      <c r="D3208" s="2" t="s">
        <v>178</v>
      </c>
      <c r="E3208" s="2">
        <v>102</v>
      </c>
      <c r="F3208" s="2">
        <v>2121.11</v>
      </c>
    </row>
    <row r="3209" spans="3:6" x14ac:dyDescent="0.25">
      <c r="C3209" s="2" t="s">
        <v>6660</v>
      </c>
      <c r="D3209" s="2" t="s">
        <v>178</v>
      </c>
      <c r="E3209" s="2">
        <v>141</v>
      </c>
      <c r="F3209" s="2">
        <v>2959.09</v>
      </c>
    </row>
    <row r="3210" spans="3:6" x14ac:dyDescent="0.25">
      <c r="C3210" s="2" t="s">
        <v>6661</v>
      </c>
      <c r="D3210" s="2" t="s">
        <v>178</v>
      </c>
      <c r="E3210" s="2">
        <v>102</v>
      </c>
      <c r="F3210" s="2">
        <v>2104.06</v>
      </c>
    </row>
    <row r="3211" spans="3:6" x14ac:dyDescent="0.25">
      <c r="C3211" s="2" t="s">
        <v>6662</v>
      </c>
      <c r="D3211" s="2" t="s">
        <v>178</v>
      </c>
      <c r="E3211" s="2">
        <v>75</v>
      </c>
      <c r="F3211" s="2">
        <v>1536.01</v>
      </c>
    </row>
    <row r="3212" spans="3:6" x14ac:dyDescent="0.25">
      <c r="C3212" s="2" t="s">
        <v>6663</v>
      </c>
      <c r="D3212" s="2" t="s">
        <v>178</v>
      </c>
      <c r="E3212" s="2">
        <v>15</v>
      </c>
      <c r="F3212" s="2">
        <v>321.29</v>
      </c>
    </row>
    <row r="3213" spans="3:6" x14ac:dyDescent="0.25">
      <c r="C3213" s="2" t="s">
        <v>6664</v>
      </c>
      <c r="D3213" s="2" t="s">
        <v>178</v>
      </c>
      <c r="E3213" s="2">
        <v>7</v>
      </c>
      <c r="F3213" s="2">
        <v>126.85</v>
      </c>
    </row>
    <row r="3214" spans="3:6" x14ac:dyDescent="0.25">
      <c r="C3214" s="2" t="s">
        <v>6665</v>
      </c>
      <c r="D3214" s="2" t="s">
        <v>178</v>
      </c>
      <c r="E3214" s="2">
        <v>46</v>
      </c>
      <c r="F3214" s="2">
        <v>874.86</v>
      </c>
    </row>
    <row r="3215" spans="3:6" x14ac:dyDescent="0.25">
      <c r="C3215" s="2" t="s">
        <v>6666</v>
      </c>
      <c r="D3215" s="2" t="s">
        <v>178</v>
      </c>
      <c r="E3215" s="2">
        <v>23</v>
      </c>
      <c r="F3215" s="2">
        <v>430.59</v>
      </c>
    </row>
    <row r="3216" spans="3:6" x14ac:dyDescent="0.25">
      <c r="C3216" s="2" t="s">
        <v>6667</v>
      </c>
      <c r="D3216" s="2" t="s">
        <v>178</v>
      </c>
      <c r="E3216" s="2">
        <v>12</v>
      </c>
      <c r="F3216" s="2">
        <v>245.84</v>
      </c>
    </row>
    <row r="3217" spans="3:6" x14ac:dyDescent="0.25">
      <c r="C3217" s="2" t="s">
        <v>6668</v>
      </c>
      <c r="D3217" s="2" t="s">
        <v>178</v>
      </c>
      <c r="E3217" s="2">
        <v>103</v>
      </c>
      <c r="F3217" s="2">
        <v>2171.14</v>
      </c>
    </row>
    <row r="3218" spans="3:6" x14ac:dyDescent="0.25">
      <c r="C3218" s="2" t="s">
        <v>6669</v>
      </c>
      <c r="D3218" s="2" t="s">
        <v>178</v>
      </c>
      <c r="E3218" s="2">
        <v>38</v>
      </c>
      <c r="F3218" s="2">
        <v>779.12</v>
      </c>
    </row>
    <row r="3219" spans="3:6" x14ac:dyDescent="0.25">
      <c r="C3219" s="2" t="s">
        <v>6670</v>
      </c>
      <c r="D3219" s="2" t="s">
        <v>178</v>
      </c>
      <c r="E3219" s="2">
        <v>83</v>
      </c>
      <c r="F3219" s="2">
        <v>1699.01</v>
      </c>
    </row>
    <row r="3220" spans="3:6" x14ac:dyDescent="0.25">
      <c r="C3220" s="2" t="s">
        <v>6671</v>
      </c>
      <c r="D3220" s="2" t="s">
        <v>178</v>
      </c>
      <c r="E3220" s="2">
        <v>39</v>
      </c>
      <c r="F3220" s="2">
        <v>766.42</v>
      </c>
    </row>
    <row r="3221" spans="3:6" x14ac:dyDescent="0.25">
      <c r="C3221" s="2" t="s">
        <v>6672</v>
      </c>
      <c r="D3221" s="2" t="s">
        <v>178</v>
      </c>
      <c r="E3221" s="2">
        <v>20</v>
      </c>
      <c r="F3221" s="2">
        <v>448.94</v>
      </c>
    </row>
    <row r="3222" spans="3:6" x14ac:dyDescent="0.25">
      <c r="C3222" s="2" t="s">
        <v>6673</v>
      </c>
      <c r="D3222" s="2" t="s">
        <v>178</v>
      </c>
      <c r="E3222" s="2">
        <v>102</v>
      </c>
      <c r="F3222" s="2">
        <v>2112.63</v>
      </c>
    </row>
    <row r="3223" spans="3:6" x14ac:dyDescent="0.25">
      <c r="C3223" s="2" t="s">
        <v>6674</v>
      </c>
      <c r="D3223" s="2" t="s">
        <v>178</v>
      </c>
      <c r="E3223" s="2">
        <v>47</v>
      </c>
      <c r="F3223" s="2">
        <v>908.259</v>
      </c>
    </row>
    <row r="3224" spans="3:6" x14ac:dyDescent="0.25">
      <c r="C3224" s="2" t="s">
        <v>6675</v>
      </c>
      <c r="D3224" s="2" t="s">
        <v>178</v>
      </c>
      <c r="E3224" s="2">
        <v>55</v>
      </c>
      <c r="F3224" s="2">
        <v>1137.11</v>
      </c>
    </row>
    <row r="3225" spans="3:6" x14ac:dyDescent="0.25">
      <c r="C3225" s="2" t="s">
        <v>6676</v>
      </c>
      <c r="D3225" s="2" t="s">
        <v>178</v>
      </c>
      <c r="E3225" s="2">
        <v>141</v>
      </c>
      <c r="F3225" s="2">
        <v>2810.82</v>
      </c>
    </row>
    <row r="3226" spans="3:6" x14ac:dyDescent="0.25">
      <c r="C3226" s="2" t="s">
        <v>6677</v>
      </c>
      <c r="D3226" s="2" t="s">
        <v>178</v>
      </c>
      <c r="E3226" s="2">
        <v>53</v>
      </c>
      <c r="F3226" s="2">
        <v>926.95</v>
      </c>
    </row>
    <row r="3227" spans="3:6" x14ac:dyDescent="0.25">
      <c r="C3227" s="2" t="s">
        <v>6678</v>
      </c>
      <c r="D3227" s="2" t="s">
        <v>178</v>
      </c>
      <c r="E3227" s="2">
        <v>50</v>
      </c>
      <c r="F3227" s="2">
        <v>1003.21</v>
      </c>
    </row>
    <row r="3228" spans="3:6" x14ac:dyDescent="0.25">
      <c r="C3228" s="2" t="s">
        <v>6679</v>
      </c>
      <c r="D3228" s="2" t="s">
        <v>178</v>
      </c>
      <c r="E3228" s="2">
        <v>41</v>
      </c>
      <c r="F3228" s="2">
        <v>795.319</v>
      </c>
    </row>
    <row r="3230" spans="1:7" x14ac:dyDescent="0.25">
      <c r="A3230" s="1">
        <v>46197</v>
      </c>
      <c r="B3230" s="2" t="s">
        <v>229</v>
      </c>
      <c r="C3230" s="2" t="s">
        <v>6680</v>
      </c>
      <c r="D3230" s="2" t="s">
        <v>292</v>
      </c>
      <c r="E3230" s="2">
        <v>38</v>
      </c>
      <c r="F3230" s="2">
        <v>873.8</v>
      </c>
      <c r="G3230" s="1">
        <v>46196</v>
      </c>
    </row>
    <row r="3231" spans="3:6" x14ac:dyDescent="0.25">
      <c r="C3231" s="2" t="s">
        <v>6681</v>
      </c>
      <c r="D3231" s="2" t="s">
        <v>292</v>
      </c>
      <c r="E3231" s="2">
        <v>5</v>
      </c>
      <c r="F3231" s="2">
        <v>119.02</v>
      </c>
    </row>
    <row r="3232" spans="3:6" x14ac:dyDescent="0.25">
      <c r="C3232" s="2" t="s">
        <v>6682</v>
      </c>
      <c r="D3232" s="2" t="s">
        <v>292</v>
      </c>
      <c r="E3232" s="2">
        <v>60</v>
      </c>
      <c r="F3232" s="2">
        <v>315.72</v>
      </c>
    </row>
    <row r="3233" spans="3:6" x14ac:dyDescent="0.25">
      <c r="C3233" s="2" t="s">
        <v>6683</v>
      </c>
      <c r="D3233" s="2" t="s">
        <v>292</v>
      </c>
      <c r="E3233" s="2">
        <v>81</v>
      </c>
      <c r="F3233" s="2">
        <v>1598.91</v>
      </c>
    </row>
    <row r="3234" spans="3:6" x14ac:dyDescent="0.25">
      <c r="C3234" s="2" t="s">
        <v>6684</v>
      </c>
      <c r="D3234" s="2" t="s">
        <v>292</v>
      </c>
      <c r="E3234" s="2">
        <v>60</v>
      </c>
      <c r="F3234" s="2">
        <v>1246.06</v>
      </c>
    </row>
    <row r="3235" spans="3:6" x14ac:dyDescent="0.25">
      <c r="C3235" s="2" t="s">
        <v>6685</v>
      </c>
      <c r="D3235" s="2" t="s">
        <v>292</v>
      </c>
      <c r="E3235" s="2">
        <v>141</v>
      </c>
      <c r="F3235" s="2">
        <v>2896.49</v>
      </c>
    </row>
    <row r="3236" spans="3:6" x14ac:dyDescent="0.25">
      <c r="C3236" s="2" t="s">
        <v>6686</v>
      </c>
      <c r="D3236" s="2" t="s">
        <v>292</v>
      </c>
      <c r="E3236" s="2">
        <v>127</v>
      </c>
      <c r="F3236" s="2">
        <v>2060.222</v>
      </c>
    </row>
    <row r="3237" spans="3:6" x14ac:dyDescent="0.25">
      <c r="C3237" s="2" t="s">
        <v>6687</v>
      </c>
      <c r="D3237" s="2" t="s">
        <v>292</v>
      </c>
      <c r="E3237" s="2">
        <v>141</v>
      </c>
      <c r="F3237" s="2">
        <v>2803.839</v>
      </c>
    </row>
    <row r="3238" spans="3:6" x14ac:dyDescent="0.25">
      <c r="C3238" s="2" t="s">
        <v>6688</v>
      </c>
      <c r="D3238" s="2" t="s">
        <v>292</v>
      </c>
      <c r="E3238" s="2">
        <v>141</v>
      </c>
      <c r="F3238" s="2">
        <v>2830.689</v>
      </c>
    </row>
    <row r="3239" spans="3:6" x14ac:dyDescent="0.25">
      <c r="C3239" s="2" t="s">
        <v>6689</v>
      </c>
      <c r="D3239" s="2" t="s">
        <v>292</v>
      </c>
      <c r="E3239" s="2">
        <v>141</v>
      </c>
      <c r="F3239" s="2">
        <v>2760.149</v>
      </c>
    </row>
    <row r="3240" spans="3:6" x14ac:dyDescent="0.25">
      <c r="C3240" s="2" t="s">
        <v>6690</v>
      </c>
      <c r="D3240" s="2" t="s">
        <v>292</v>
      </c>
      <c r="E3240" s="2">
        <v>123</v>
      </c>
      <c r="F3240" s="2">
        <v>2508.64</v>
      </c>
    </row>
    <row r="3241" spans="3:6" x14ac:dyDescent="0.25">
      <c r="C3241" s="2" t="s">
        <v>6691</v>
      </c>
      <c r="D3241" s="2" t="s">
        <v>292</v>
      </c>
      <c r="E3241" s="2">
        <v>141</v>
      </c>
      <c r="F3241" s="2">
        <v>2918.97</v>
      </c>
    </row>
    <row r="3242" spans="3:6" x14ac:dyDescent="0.25">
      <c r="C3242" s="2" t="s">
        <v>6692</v>
      </c>
      <c r="D3242" s="2" t="s">
        <v>292</v>
      </c>
      <c r="E3242" s="2">
        <v>141</v>
      </c>
      <c r="F3242" s="2">
        <v>2895</v>
      </c>
    </row>
    <row r="3243" spans="3:6" x14ac:dyDescent="0.25">
      <c r="C3243" s="2" t="s">
        <v>6693</v>
      </c>
      <c r="D3243" s="2" t="s">
        <v>292</v>
      </c>
      <c r="E3243" s="2">
        <v>102</v>
      </c>
      <c r="F3243" s="2">
        <v>2025.369</v>
      </c>
    </row>
    <row r="3244" spans="3:6" x14ac:dyDescent="0.25">
      <c r="C3244" s="2" t="s">
        <v>6694</v>
      </c>
      <c r="D3244" s="2" t="s">
        <v>292</v>
      </c>
      <c r="E3244" s="2">
        <v>102</v>
      </c>
      <c r="F3244" s="2">
        <v>2119.09</v>
      </c>
    </row>
    <row r="3245" spans="3:6" x14ac:dyDescent="0.25">
      <c r="C3245" s="2" t="s">
        <v>6695</v>
      </c>
      <c r="D3245" s="2" t="s">
        <v>292</v>
      </c>
      <c r="E3245" s="2">
        <v>116</v>
      </c>
      <c r="F3245" s="2">
        <v>2399.29</v>
      </c>
    </row>
    <row r="3246" spans="3:6" x14ac:dyDescent="0.25">
      <c r="C3246" s="2" t="s">
        <v>6696</v>
      </c>
      <c r="D3246" s="2" t="s">
        <v>292</v>
      </c>
      <c r="E3246" s="2">
        <v>50</v>
      </c>
      <c r="F3246" s="2">
        <v>247.79</v>
      </c>
    </row>
    <row r="3247" spans="3:6" x14ac:dyDescent="0.25">
      <c r="C3247" s="2" t="s">
        <v>6697</v>
      </c>
      <c r="D3247" s="2" t="s">
        <v>292</v>
      </c>
      <c r="E3247" s="2">
        <v>123</v>
      </c>
      <c r="F3247" s="2">
        <v>2656.24</v>
      </c>
    </row>
    <row r="3248" spans="3:6" x14ac:dyDescent="0.25">
      <c r="C3248" s="2" t="s">
        <v>6698</v>
      </c>
      <c r="D3248" s="2" t="s">
        <v>292</v>
      </c>
      <c r="E3248" s="2">
        <v>5</v>
      </c>
      <c r="F3248" s="2">
        <v>126.58</v>
      </c>
    </row>
    <row r="3249" spans="3:6" x14ac:dyDescent="0.25">
      <c r="C3249" s="2" t="s">
        <v>6699</v>
      </c>
      <c r="D3249" s="2" t="s">
        <v>292</v>
      </c>
      <c r="E3249" s="2">
        <v>113</v>
      </c>
      <c r="F3249" s="2">
        <v>2259.549</v>
      </c>
    </row>
    <row r="3250" spans="3:6" x14ac:dyDescent="0.25">
      <c r="C3250" s="2" t="s">
        <v>6700</v>
      </c>
      <c r="D3250" s="2" t="s">
        <v>292</v>
      </c>
      <c r="E3250" s="2">
        <v>40</v>
      </c>
      <c r="F3250" s="2">
        <v>783.389</v>
      </c>
    </row>
    <row r="3251" spans="3:6" x14ac:dyDescent="0.25">
      <c r="C3251" s="2" t="s">
        <v>6701</v>
      </c>
      <c r="D3251" s="2" t="s">
        <v>292</v>
      </c>
      <c r="E3251" s="2">
        <v>94</v>
      </c>
      <c r="F3251" s="2">
        <v>1796.89</v>
      </c>
    </row>
    <row r="3252" spans="3:6" x14ac:dyDescent="0.25">
      <c r="C3252" s="2" t="s">
        <v>6702</v>
      </c>
      <c r="D3252" s="2" t="s">
        <v>292</v>
      </c>
      <c r="E3252" s="2">
        <v>32</v>
      </c>
      <c r="F3252" s="2">
        <v>691.55</v>
      </c>
    </row>
    <row r="3253" spans="3:6" x14ac:dyDescent="0.25">
      <c r="C3253" s="2" t="s">
        <v>6703</v>
      </c>
      <c r="D3253" s="2" t="s">
        <v>292</v>
      </c>
      <c r="E3253" s="2">
        <v>80</v>
      </c>
      <c r="F3253" s="2">
        <v>1616.4</v>
      </c>
    </row>
    <row r="3254" spans="3:6" x14ac:dyDescent="0.25">
      <c r="C3254" s="2" t="s">
        <v>6704</v>
      </c>
      <c r="D3254" s="2" t="s">
        <v>292</v>
      </c>
      <c r="E3254" s="2">
        <v>29</v>
      </c>
      <c r="F3254" s="2">
        <v>519.02</v>
      </c>
    </row>
    <row r="3255" spans="3:6" x14ac:dyDescent="0.25">
      <c r="C3255" s="2" t="s">
        <v>6705</v>
      </c>
      <c r="D3255" s="2" t="s">
        <v>292</v>
      </c>
      <c r="E3255" s="2">
        <v>62</v>
      </c>
      <c r="F3255" s="2">
        <v>1266.07</v>
      </c>
    </row>
    <row r="3256" spans="3:6" x14ac:dyDescent="0.25">
      <c r="C3256" s="2" t="s">
        <v>6706</v>
      </c>
      <c r="D3256" s="2" t="s">
        <v>292</v>
      </c>
      <c r="E3256" s="2">
        <v>38</v>
      </c>
      <c r="F3256" s="2">
        <v>715.78</v>
      </c>
    </row>
    <row r="3257" spans="3:6" x14ac:dyDescent="0.25">
      <c r="C3257" s="2" t="s">
        <v>6707</v>
      </c>
      <c r="D3257" s="2" t="s">
        <v>292</v>
      </c>
      <c r="E3257" s="2">
        <v>41</v>
      </c>
      <c r="F3257" s="2">
        <v>791.55</v>
      </c>
    </row>
    <row r="3258" spans="3:6" x14ac:dyDescent="0.25">
      <c r="C3258" s="2" t="s">
        <v>6708</v>
      </c>
      <c r="D3258" s="2" t="s">
        <v>292</v>
      </c>
      <c r="E3258" s="2">
        <v>34</v>
      </c>
      <c r="F3258" s="2">
        <v>671.37</v>
      </c>
    </row>
    <row r="3259" spans="3:6" x14ac:dyDescent="0.25">
      <c r="C3259" s="2" t="s">
        <v>6709</v>
      </c>
      <c r="D3259" s="2" t="s">
        <v>292</v>
      </c>
      <c r="E3259" s="2">
        <v>15</v>
      </c>
      <c r="F3259" s="2">
        <v>328.24</v>
      </c>
    </row>
    <row r="3260" spans="3:6" x14ac:dyDescent="0.25">
      <c r="C3260" s="2" t="s">
        <v>6710</v>
      </c>
      <c r="D3260" s="2" t="s">
        <v>292</v>
      </c>
      <c r="E3260" s="2">
        <v>107</v>
      </c>
      <c r="F3260" s="2">
        <v>2286.58</v>
      </c>
    </row>
    <row r="3261" spans="3:6" x14ac:dyDescent="0.25">
      <c r="C3261" s="2" t="s">
        <v>6711</v>
      </c>
      <c r="D3261" s="2" t="s">
        <v>292</v>
      </c>
      <c r="E3261" s="2">
        <v>27</v>
      </c>
      <c r="F3261" s="2">
        <v>473.08</v>
      </c>
    </row>
    <row r="3262" spans="3:6" x14ac:dyDescent="0.25">
      <c r="C3262" s="2" t="s">
        <v>6712</v>
      </c>
      <c r="D3262" s="2" t="s">
        <v>292</v>
      </c>
      <c r="E3262" s="2">
        <v>11</v>
      </c>
      <c r="F3262" s="2">
        <v>130.239</v>
      </c>
    </row>
    <row r="3263" spans="3:6" x14ac:dyDescent="0.25">
      <c r="C3263" s="2" t="s">
        <v>6713</v>
      </c>
      <c r="D3263" s="2" t="s">
        <v>292</v>
      </c>
      <c r="E3263" s="2">
        <v>64</v>
      </c>
      <c r="F3263" s="2">
        <v>1264.48</v>
      </c>
    </row>
    <row r="3264" spans="3:6" x14ac:dyDescent="0.25">
      <c r="C3264" s="2" t="s">
        <v>6714</v>
      </c>
      <c r="D3264" s="2" t="s">
        <v>292</v>
      </c>
      <c r="E3264" s="2">
        <v>45</v>
      </c>
      <c r="F3264" s="2">
        <v>223.69</v>
      </c>
    </row>
    <row r="3265" spans="3:6" x14ac:dyDescent="0.25">
      <c r="C3265" s="2" t="s">
        <v>6715</v>
      </c>
      <c r="D3265" s="2" t="s">
        <v>292</v>
      </c>
      <c r="E3265" s="2">
        <v>93</v>
      </c>
      <c r="F3265" s="2">
        <v>1577.223</v>
      </c>
    </row>
    <row r="3266" spans="3:6" x14ac:dyDescent="0.25">
      <c r="C3266" s="2" t="s">
        <v>6716</v>
      </c>
      <c r="D3266" s="2" t="s">
        <v>292</v>
      </c>
      <c r="E3266" s="2">
        <v>45</v>
      </c>
      <c r="F3266" s="2">
        <v>238.7</v>
      </c>
    </row>
    <row r="3267" spans="3:6" x14ac:dyDescent="0.25">
      <c r="C3267" s="2" t="s">
        <v>6717</v>
      </c>
      <c r="D3267" s="2" t="s">
        <v>292</v>
      </c>
      <c r="E3267" s="2">
        <v>40</v>
      </c>
      <c r="F3267" s="2">
        <v>802.25</v>
      </c>
    </row>
    <row r="3268" spans="3:6" x14ac:dyDescent="0.25">
      <c r="C3268" s="2" t="s">
        <v>6718</v>
      </c>
      <c r="D3268" s="2" t="s">
        <v>292</v>
      </c>
      <c r="E3268" s="2">
        <v>31</v>
      </c>
      <c r="F3268" s="2">
        <v>638.15</v>
      </c>
    </row>
    <row r="3269" spans="3:6" x14ac:dyDescent="0.25">
      <c r="C3269" s="2" t="s">
        <v>6719</v>
      </c>
      <c r="D3269" s="2" t="s">
        <v>292</v>
      </c>
      <c r="E3269" s="2">
        <v>101</v>
      </c>
      <c r="F3269" s="2">
        <v>2030.47</v>
      </c>
    </row>
    <row r="3270" spans="3:6" x14ac:dyDescent="0.25">
      <c r="C3270" s="2" t="s">
        <v>6720</v>
      </c>
      <c r="D3270" s="2" t="s">
        <v>292</v>
      </c>
      <c r="E3270" s="2">
        <v>93</v>
      </c>
      <c r="F3270" s="2">
        <v>1845.26</v>
      </c>
    </row>
    <row r="3271" spans="3:6" x14ac:dyDescent="0.25">
      <c r="C3271" s="2" t="s">
        <v>6721</v>
      </c>
      <c r="D3271" s="2" t="s">
        <v>292</v>
      </c>
      <c r="E3271" s="2">
        <v>2</v>
      </c>
      <c r="F3271" s="2">
        <v>22.7</v>
      </c>
    </row>
    <row r="3272" spans="3:6" x14ac:dyDescent="0.25">
      <c r="C3272" s="2" t="s">
        <v>6722</v>
      </c>
      <c r="D3272" s="2" t="s">
        <v>292</v>
      </c>
      <c r="E3272" s="2">
        <v>84</v>
      </c>
      <c r="F3272" s="2">
        <v>1748.61</v>
      </c>
    </row>
    <row r="3273" spans="3:6" x14ac:dyDescent="0.25">
      <c r="C3273" s="2" t="s">
        <v>6723</v>
      </c>
      <c r="D3273" s="2" t="s">
        <v>292</v>
      </c>
      <c r="E3273" s="2">
        <v>55</v>
      </c>
      <c r="F3273" s="2">
        <v>1180.672</v>
      </c>
    </row>
    <row r="3274" spans="3:6" x14ac:dyDescent="0.25">
      <c r="C3274" s="2" t="s">
        <v>6724</v>
      </c>
      <c r="D3274" s="2" t="s">
        <v>292</v>
      </c>
      <c r="E3274" s="2">
        <v>63</v>
      </c>
      <c r="F3274" s="2">
        <v>1306.17</v>
      </c>
    </row>
    <row r="3275" spans="3:6" x14ac:dyDescent="0.25">
      <c r="C3275" s="2" t="s">
        <v>6725</v>
      </c>
      <c r="D3275" s="2" t="s">
        <v>292</v>
      </c>
      <c r="E3275" s="2">
        <v>16</v>
      </c>
      <c r="F3275" s="2">
        <v>322.49</v>
      </c>
    </row>
    <row r="3276" spans="3:6" x14ac:dyDescent="0.25">
      <c r="C3276" s="2" t="s">
        <v>6726</v>
      </c>
      <c r="D3276" s="2" t="s">
        <v>292</v>
      </c>
      <c r="E3276" s="2">
        <v>45</v>
      </c>
      <c r="F3276" s="2">
        <v>914.39</v>
      </c>
    </row>
    <row r="3277" spans="3:6" x14ac:dyDescent="0.25">
      <c r="C3277" s="2" t="s">
        <v>6727</v>
      </c>
      <c r="D3277" s="2" t="s">
        <v>292</v>
      </c>
      <c r="E3277" s="2">
        <v>58</v>
      </c>
      <c r="F3277" s="2">
        <v>1194.54</v>
      </c>
    </row>
    <row r="3279" spans="1:7" x14ac:dyDescent="0.25">
      <c r="A3279" s="1">
        <v>46197</v>
      </c>
      <c r="B3279" s="2" t="s">
        <v>7</v>
      </c>
      <c r="C3279" s="2" t="s">
        <v>6728</v>
      </c>
      <c r="D3279" s="2" t="s">
        <v>9</v>
      </c>
      <c r="E3279" s="2">
        <v>77</v>
      </c>
      <c r="F3279" s="2">
        <v>1605.5</v>
      </c>
      <c r="G3279" s="1">
        <v>46196</v>
      </c>
    </row>
    <row r="3280" spans="3:6" x14ac:dyDescent="0.25">
      <c r="C3280" s="2" t="s">
        <v>6729</v>
      </c>
      <c r="D3280" s="2" t="s">
        <v>9</v>
      </c>
      <c r="E3280" s="2">
        <v>78</v>
      </c>
      <c r="F3280" s="2">
        <v>1615.48</v>
      </c>
    </row>
    <row r="3282" spans="1:7" x14ac:dyDescent="0.25">
      <c r="A3282" s="1">
        <v>46197</v>
      </c>
      <c r="B3282" s="2" t="s">
        <v>6730</v>
      </c>
      <c r="C3282" s="2" t="s">
        <v>6731</v>
      </c>
      <c r="D3282" s="2" t="s">
        <v>15</v>
      </c>
      <c r="E3282" s="2">
        <v>96</v>
      </c>
      <c r="F3282" s="2">
        <v>2126.789</v>
      </c>
      <c r="G3282" s="1">
        <v>46196</v>
      </c>
    </row>
    <row r="3284" spans="1:7" x14ac:dyDescent="0.25">
      <c r="A3284" s="1">
        <v>46197</v>
      </c>
      <c r="B3284" s="2" t="s">
        <v>378</v>
      </c>
      <c r="C3284" s="2" t="s">
        <v>6732</v>
      </c>
      <c r="D3284" s="2" t="s">
        <v>15</v>
      </c>
      <c r="E3284" s="2">
        <v>163</v>
      </c>
      <c r="F3284" s="2">
        <v>2976.11</v>
      </c>
      <c r="G3284" s="1">
        <v>46196</v>
      </c>
    </row>
    <row r="3285" spans="3:6" x14ac:dyDescent="0.25">
      <c r="C3285" s="2" t="s">
        <v>6733</v>
      </c>
      <c r="D3285" s="2" t="s">
        <v>15</v>
      </c>
      <c r="E3285" s="2">
        <v>163</v>
      </c>
      <c r="F3285" s="2">
        <v>3139.779</v>
      </c>
    </row>
    <row r="3286" spans="3:6" x14ac:dyDescent="0.25">
      <c r="C3286" s="2" t="s">
        <v>6734</v>
      </c>
      <c r="D3286" s="2" t="s">
        <v>15</v>
      </c>
      <c r="E3286" s="2">
        <v>163</v>
      </c>
      <c r="F3286" s="2">
        <v>3053.53</v>
      </c>
    </row>
    <row r="3287" spans="3:6" x14ac:dyDescent="0.25">
      <c r="C3287" s="2" t="s">
        <v>6735</v>
      </c>
      <c r="D3287" s="2" t="s">
        <v>15</v>
      </c>
      <c r="E3287" s="2">
        <v>163</v>
      </c>
      <c r="F3287" s="2">
        <v>3037.72</v>
      </c>
    </row>
    <row r="3288" spans="3:6" x14ac:dyDescent="0.25">
      <c r="C3288" s="2" t="s">
        <v>6736</v>
      </c>
      <c r="D3288" s="2" t="s">
        <v>15</v>
      </c>
      <c r="E3288" s="2">
        <v>163</v>
      </c>
      <c r="F3288" s="2">
        <v>3152.739</v>
      </c>
    </row>
    <row r="3289" spans="3:6" x14ac:dyDescent="0.25">
      <c r="C3289" s="2" t="s">
        <v>6737</v>
      </c>
      <c r="D3289" s="2" t="s">
        <v>15</v>
      </c>
      <c r="E3289" s="2">
        <v>105</v>
      </c>
      <c r="F3289" s="2">
        <v>1868.239</v>
      </c>
    </row>
    <row r="3290" spans="3:6" x14ac:dyDescent="0.25">
      <c r="C3290" s="2" t="s">
        <v>6738</v>
      </c>
      <c r="D3290" s="2" t="s">
        <v>15</v>
      </c>
      <c r="E3290" s="2">
        <v>105</v>
      </c>
      <c r="F3290" s="2">
        <v>2064.649</v>
      </c>
    </row>
    <row r="3291" spans="3:6" x14ac:dyDescent="0.25">
      <c r="C3291" s="2" t="s">
        <v>6739</v>
      </c>
      <c r="D3291" s="2" t="s">
        <v>15</v>
      </c>
      <c r="E3291" s="2">
        <v>105</v>
      </c>
      <c r="F3291" s="2">
        <v>2104.28</v>
      </c>
    </row>
    <row r="3292" spans="3:6" x14ac:dyDescent="0.25">
      <c r="C3292" s="2" t="s">
        <v>6740</v>
      </c>
      <c r="D3292" s="2" t="s">
        <v>15</v>
      </c>
      <c r="E3292" s="2">
        <v>105</v>
      </c>
      <c r="F3292" s="2">
        <v>2089.969</v>
      </c>
    </row>
    <row r="3293" spans="3:6" x14ac:dyDescent="0.25">
      <c r="C3293" s="2" t="s">
        <v>6741</v>
      </c>
      <c r="D3293" s="2" t="s">
        <v>15</v>
      </c>
      <c r="E3293" s="2">
        <v>121</v>
      </c>
      <c r="F3293" s="2">
        <v>2152.118</v>
      </c>
    </row>
    <row r="3294" spans="3:6" x14ac:dyDescent="0.25">
      <c r="C3294" s="2" t="s">
        <v>6742</v>
      </c>
      <c r="D3294" s="2" t="s">
        <v>15</v>
      </c>
      <c r="E3294" s="2">
        <v>42</v>
      </c>
      <c r="F3294" s="2">
        <v>771</v>
      </c>
    </row>
    <row r="3295" spans="3:6" x14ac:dyDescent="0.25">
      <c r="C3295" s="2" t="s">
        <v>6743</v>
      </c>
      <c r="D3295" s="2" t="s">
        <v>15</v>
      </c>
      <c r="E3295" s="2">
        <v>105</v>
      </c>
      <c r="F3295" s="2">
        <v>2032.6</v>
      </c>
    </row>
    <row r="3296" spans="3:6" x14ac:dyDescent="0.25">
      <c r="C3296" s="2" t="s">
        <v>6744</v>
      </c>
      <c r="D3296" s="2" t="s">
        <v>15</v>
      </c>
      <c r="E3296" s="2">
        <v>105</v>
      </c>
      <c r="F3296" s="2">
        <v>2139.51</v>
      </c>
    </row>
    <row r="3297" spans="3:6" x14ac:dyDescent="0.25">
      <c r="C3297" s="2" t="s">
        <v>6745</v>
      </c>
      <c r="D3297" s="2" t="s">
        <v>15</v>
      </c>
      <c r="E3297" s="2">
        <v>163</v>
      </c>
      <c r="F3297" s="2">
        <v>3073.63</v>
      </c>
    </row>
    <row r="3298" spans="3:6" x14ac:dyDescent="0.25">
      <c r="C3298" s="2" t="s">
        <v>6746</v>
      </c>
      <c r="D3298" s="2" t="s">
        <v>15</v>
      </c>
      <c r="E3298" s="2">
        <v>36</v>
      </c>
      <c r="F3298" s="2">
        <v>584.02</v>
      </c>
    </row>
    <row r="3299" spans="3:6" x14ac:dyDescent="0.25">
      <c r="C3299" s="2" t="s">
        <v>6747</v>
      </c>
      <c r="D3299" s="2" t="s">
        <v>26</v>
      </c>
      <c r="E3299" s="2">
        <v>100</v>
      </c>
      <c r="F3299" s="2">
        <v>1983.03</v>
      </c>
    </row>
    <row r="3300" spans="3:6" x14ac:dyDescent="0.25">
      <c r="C3300" s="2" t="s">
        <v>6748</v>
      </c>
      <c r="D3300" s="2" t="s">
        <v>26</v>
      </c>
      <c r="E3300" s="2">
        <v>56</v>
      </c>
      <c r="F3300" s="2">
        <v>1102.34</v>
      </c>
    </row>
    <row r="3301" spans="3:6" x14ac:dyDescent="0.25">
      <c r="C3301" s="2" t="s">
        <v>6749</v>
      </c>
      <c r="D3301" s="2" t="s">
        <v>26</v>
      </c>
      <c r="E3301" s="2">
        <v>100</v>
      </c>
      <c r="F3301" s="2">
        <v>1958.92</v>
      </c>
    </row>
    <row r="3302" spans="3:6" x14ac:dyDescent="0.25">
      <c r="C3302" s="2" t="s">
        <v>6750</v>
      </c>
      <c r="D3302" s="2" t="s">
        <v>26</v>
      </c>
      <c r="E3302" s="2">
        <v>56</v>
      </c>
      <c r="F3302" s="2">
        <v>987.15</v>
      </c>
    </row>
    <row r="3303" spans="3:6" x14ac:dyDescent="0.25">
      <c r="C3303" s="2" t="s">
        <v>6751</v>
      </c>
      <c r="D3303" s="2" t="s">
        <v>26</v>
      </c>
      <c r="E3303" s="2">
        <v>100</v>
      </c>
      <c r="F3303" s="2">
        <v>1905.67</v>
      </c>
    </row>
    <row r="3304" spans="3:6" x14ac:dyDescent="0.25">
      <c r="C3304" s="2" t="s">
        <v>6752</v>
      </c>
      <c r="D3304" s="2" t="s">
        <v>26</v>
      </c>
      <c r="E3304" s="2">
        <v>56</v>
      </c>
      <c r="F3304" s="2">
        <v>1104.309</v>
      </c>
    </row>
    <row r="3305" spans="3:6" x14ac:dyDescent="0.25">
      <c r="C3305" s="2" t="s">
        <v>6753</v>
      </c>
      <c r="D3305" s="2" t="s">
        <v>26</v>
      </c>
      <c r="E3305" s="2">
        <v>100</v>
      </c>
      <c r="F3305" s="2">
        <v>2026.46</v>
      </c>
    </row>
    <row r="3306" spans="3:6" x14ac:dyDescent="0.25">
      <c r="C3306" s="2" t="s">
        <v>6754</v>
      </c>
      <c r="D3306" s="2" t="s">
        <v>26</v>
      </c>
      <c r="E3306" s="2">
        <v>56</v>
      </c>
      <c r="F3306" s="2">
        <v>1087.92</v>
      </c>
    </row>
    <row r="3307" spans="3:6" x14ac:dyDescent="0.25">
      <c r="C3307" s="2" t="s">
        <v>6755</v>
      </c>
      <c r="D3307" s="2" t="s">
        <v>30</v>
      </c>
      <c r="E3307" s="2">
        <v>134</v>
      </c>
      <c r="F3307" s="2">
        <v>2546.02</v>
      </c>
    </row>
    <row r="3308" spans="3:6" x14ac:dyDescent="0.25">
      <c r="C3308" s="2" t="s">
        <v>6756</v>
      </c>
      <c r="D3308" s="2" t="s">
        <v>30</v>
      </c>
      <c r="E3308" s="2">
        <v>134</v>
      </c>
      <c r="F3308" s="2">
        <v>2701.53</v>
      </c>
    </row>
    <row r="3309" spans="3:6" x14ac:dyDescent="0.25">
      <c r="C3309" s="2" t="s">
        <v>6757</v>
      </c>
      <c r="D3309" s="2" t="s">
        <v>30</v>
      </c>
      <c r="E3309" s="2">
        <v>134</v>
      </c>
      <c r="F3309" s="2">
        <v>2774.49</v>
      </c>
    </row>
    <row r="3310" spans="3:6" x14ac:dyDescent="0.25">
      <c r="C3310" s="2" t="s">
        <v>6758</v>
      </c>
      <c r="D3310" s="2" t="s">
        <v>30</v>
      </c>
      <c r="E3310" s="2">
        <v>134</v>
      </c>
      <c r="F3310" s="2">
        <v>2764.32</v>
      </c>
    </row>
    <row r="3311" spans="3:6" x14ac:dyDescent="0.25">
      <c r="C3311" s="2" t="s">
        <v>6759</v>
      </c>
      <c r="D3311" s="2" t="s">
        <v>30</v>
      </c>
      <c r="E3311" s="2">
        <v>134</v>
      </c>
      <c r="F3311" s="2">
        <v>2556.66</v>
      </c>
    </row>
    <row r="3312" spans="3:6" x14ac:dyDescent="0.25">
      <c r="C3312" s="2" t="s">
        <v>6760</v>
      </c>
      <c r="D3312" s="2" t="s">
        <v>30</v>
      </c>
      <c r="E3312" s="2">
        <v>134</v>
      </c>
      <c r="F3312" s="2">
        <v>2634.66</v>
      </c>
    </row>
    <row r="3313" spans="3:6" x14ac:dyDescent="0.25">
      <c r="C3313" s="2" t="s">
        <v>6761</v>
      </c>
      <c r="D3313" s="2" t="s">
        <v>30</v>
      </c>
      <c r="E3313" s="2">
        <v>163</v>
      </c>
      <c r="F3313" s="2">
        <v>3182.62</v>
      </c>
    </row>
    <row r="3314" spans="3:6" x14ac:dyDescent="0.25">
      <c r="C3314" s="2" t="s">
        <v>6762</v>
      </c>
      <c r="D3314" s="2" t="s">
        <v>36</v>
      </c>
      <c r="E3314" s="2">
        <v>60</v>
      </c>
      <c r="F3314" s="2">
        <v>1066.97</v>
      </c>
    </row>
    <row r="3315" spans="3:6" x14ac:dyDescent="0.25">
      <c r="C3315" s="2" t="s">
        <v>6763</v>
      </c>
      <c r="D3315" s="2" t="s">
        <v>36</v>
      </c>
      <c r="E3315" s="2">
        <v>45</v>
      </c>
      <c r="F3315" s="2">
        <v>849.69</v>
      </c>
    </row>
    <row r="3317" spans="2:7" x14ac:dyDescent="0.25">
      <c r="B3317" s="2" t="s">
        <v>6764</v>
      </c>
      <c r="C3317" s="2" t="s">
        <v>6765</v>
      </c>
      <c r="D3317" s="2" t="s">
        <v>36</v>
      </c>
      <c r="E3317" s="2">
        <v>45</v>
      </c>
      <c r="F3317" s="2">
        <v>849.69</v>
      </c>
      <c r="G3317" s="1">
        <v>46196</v>
      </c>
    </row>
    <row r="3318" spans="3:6" x14ac:dyDescent="0.25">
      <c r="C3318" s="2" t="s">
        <v>6766</v>
      </c>
      <c r="D3318" s="2" t="s">
        <v>36</v>
      </c>
      <c r="E3318" s="2">
        <v>45</v>
      </c>
      <c r="F3318" s="2">
        <v>849.69</v>
      </c>
    </row>
    <row r="3320" spans="2:7" x14ac:dyDescent="0.25">
      <c r="B3320" s="2" t="s">
        <v>48</v>
      </c>
      <c r="C3320" s="2" t="s">
        <v>6767</v>
      </c>
      <c r="D3320" s="2" t="s">
        <v>26</v>
      </c>
      <c r="E3320" s="2">
        <v>156</v>
      </c>
      <c r="F3320" s="2">
        <v>2786</v>
      </c>
      <c r="G3320" s="1">
        <v>46196</v>
      </c>
    </row>
    <row r="3321" spans="3:6" x14ac:dyDescent="0.25">
      <c r="C3321" s="2" t="s">
        <v>6768</v>
      </c>
      <c r="D3321" s="2" t="s">
        <v>30</v>
      </c>
      <c r="E3321" s="2">
        <v>158</v>
      </c>
      <c r="F3321" s="2">
        <v>2821</v>
      </c>
    </row>
    <row r="3322" spans="3:6" x14ac:dyDescent="0.25">
      <c r="C3322" s="2" t="s">
        <v>6769</v>
      </c>
      <c r="D3322" s="2" t="s">
        <v>30</v>
      </c>
      <c r="E3322" s="2">
        <v>105</v>
      </c>
      <c r="F3322" s="2">
        <v>1837</v>
      </c>
    </row>
    <row r="3324" spans="1:7" x14ac:dyDescent="0.25">
      <c r="A3324" s="1">
        <v>46197</v>
      </c>
      <c r="B3324" s="2" t="s">
        <v>420</v>
      </c>
      <c r="C3324" s="2" t="s">
        <v>6770</v>
      </c>
      <c r="D3324" s="2" t="s">
        <v>59</v>
      </c>
      <c r="E3324" s="2">
        <v>163</v>
      </c>
      <c r="F3324" s="2">
        <v>3124.119</v>
      </c>
      <c r="G3324" s="1">
        <v>46195</v>
      </c>
    </row>
    <row r="3325" spans="3:6" x14ac:dyDescent="0.25">
      <c r="C3325" s="2" t="s">
        <v>6771</v>
      </c>
      <c r="D3325" s="2" t="s">
        <v>59</v>
      </c>
      <c r="E3325" s="2">
        <v>114</v>
      </c>
      <c r="F3325" s="2">
        <v>1758.573</v>
      </c>
    </row>
    <row r="3326" spans="3:6" x14ac:dyDescent="0.25">
      <c r="C3326" s="2" t="s">
        <v>6772</v>
      </c>
      <c r="D3326" s="2" t="s">
        <v>59</v>
      </c>
      <c r="E3326" s="2">
        <v>163</v>
      </c>
      <c r="F3326" s="2">
        <v>3062.929</v>
      </c>
    </row>
    <row r="3327" spans="3:6" x14ac:dyDescent="0.25">
      <c r="C3327" s="2" t="s">
        <v>6773</v>
      </c>
      <c r="D3327" s="2" t="s">
        <v>59</v>
      </c>
      <c r="E3327" s="2">
        <v>268</v>
      </c>
      <c r="F3327" s="2">
        <v>5051.349</v>
      </c>
    </row>
    <row r="3328" spans="3:6" x14ac:dyDescent="0.25">
      <c r="C3328" s="2" t="s">
        <v>6774</v>
      </c>
      <c r="D3328" s="2" t="s">
        <v>59</v>
      </c>
      <c r="E3328" s="2">
        <v>105</v>
      </c>
      <c r="F3328" s="2">
        <v>2058.12</v>
      </c>
    </row>
    <row r="3329" spans="3:6" x14ac:dyDescent="0.25">
      <c r="C3329" s="2" t="s">
        <v>6775</v>
      </c>
      <c r="D3329" s="2" t="s">
        <v>59</v>
      </c>
      <c r="E3329" s="2">
        <v>163</v>
      </c>
      <c r="F3329" s="2">
        <v>3175.538</v>
      </c>
    </row>
    <row r="3330" spans="3:6" x14ac:dyDescent="0.25">
      <c r="C3330" s="2" t="s">
        <v>6776</v>
      </c>
      <c r="D3330" s="2" t="s">
        <v>59</v>
      </c>
      <c r="E3330" s="2">
        <v>213</v>
      </c>
      <c r="F3330" s="2">
        <v>4054.949</v>
      </c>
    </row>
    <row r="3332" spans="1:7" x14ac:dyDescent="0.25">
      <c r="A3332" s="1">
        <v>46197</v>
      </c>
      <c r="B3332" s="2" t="s">
        <v>427</v>
      </c>
      <c r="C3332" s="2" t="s">
        <v>6777</v>
      </c>
      <c r="D3332" s="2" t="s">
        <v>59</v>
      </c>
      <c r="E3332" s="2">
        <v>149</v>
      </c>
      <c r="F3332" s="2">
        <v>3026.869</v>
      </c>
      <c r="G3332" s="1">
        <v>46196</v>
      </c>
    </row>
    <row r="3333" spans="3:6" x14ac:dyDescent="0.25">
      <c r="C3333" s="2" t="s">
        <v>6778</v>
      </c>
      <c r="D3333" s="2" t="s">
        <v>59</v>
      </c>
      <c r="E3333" s="2">
        <v>149</v>
      </c>
      <c r="F3333" s="2">
        <v>2869.199</v>
      </c>
    </row>
    <row r="3334" spans="3:6" x14ac:dyDescent="0.25">
      <c r="C3334" s="2" t="s">
        <v>6779</v>
      </c>
      <c r="D3334" s="2" t="s">
        <v>59</v>
      </c>
      <c r="E3334" s="2">
        <v>149</v>
      </c>
      <c r="F3334" s="2">
        <v>2897.039</v>
      </c>
    </row>
    <row r="3336" spans="1:7" x14ac:dyDescent="0.25">
      <c r="A3336" s="1">
        <v>46198</v>
      </c>
      <c r="B3336" s="2" t="s">
        <v>7</v>
      </c>
      <c r="C3336" s="2" t="s">
        <v>6780</v>
      </c>
      <c r="D3336" s="2" t="s">
        <v>9</v>
      </c>
      <c r="E3336" s="2">
        <v>99</v>
      </c>
      <c r="F3336" s="2">
        <v>2043.4</v>
      </c>
      <c r="G3336" s="1">
        <v>46197</v>
      </c>
    </row>
    <row r="3337" spans="3:6" x14ac:dyDescent="0.25">
      <c r="C3337" s="2" t="s">
        <v>6781</v>
      </c>
      <c r="D3337" s="2" t="s">
        <v>9</v>
      </c>
      <c r="E3337" s="2">
        <v>99</v>
      </c>
      <c r="F3337" s="2">
        <v>2034.3</v>
      </c>
    </row>
    <row r="3339" spans="1:7" x14ac:dyDescent="0.25">
      <c r="A3339" s="1">
        <v>46198</v>
      </c>
      <c r="B3339" s="2" t="s">
        <v>6782</v>
      </c>
      <c r="C3339" s="2" t="s">
        <v>6783</v>
      </c>
      <c r="D3339" s="2" t="s">
        <v>59</v>
      </c>
      <c r="E3339" s="2">
        <v>163</v>
      </c>
      <c r="F3339" s="2">
        <v>3091.52</v>
      </c>
      <c r="G3339" s="1">
        <v>46197</v>
      </c>
    </row>
    <row r="3340" spans="3:6" x14ac:dyDescent="0.25">
      <c r="C3340" s="2" t="s">
        <v>6784</v>
      </c>
      <c r="D3340" s="2" t="s">
        <v>59</v>
      </c>
      <c r="E3340" s="2">
        <v>77</v>
      </c>
      <c r="F3340" s="2">
        <v>1419.547</v>
      </c>
    </row>
    <row r="3341" spans="3:6" x14ac:dyDescent="0.25">
      <c r="C3341" s="2" t="s">
        <v>6785</v>
      </c>
      <c r="D3341" s="2" t="s">
        <v>59</v>
      </c>
      <c r="E3341" s="2">
        <v>105</v>
      </c>
      <c r="F3341" s="2">
        <v>2077.97</v>
      </c>
    </row>
    <row r="3342" spans="3:6" x14ac:dyDescent="0.25">
      <c r="C3342" s="2" t="s">
        <v>6786</v>
      </c>
      <c r="D3342" s="2" t="s">
        <v>59</v>
      </c>
      <c r="E3342" s="2">
        <v>105</v>
      </c>
      <c r="F3342" s="2">
        <v>2052.9</v>
      </c>
    </row>
    <row r="3343" spans="3:6" x14ac:dyDescent="0.25">
      <c r="C3343" s="2" t="s">
        <v>6787</v>
      </c>
      <c r="D3343" s="2" t="s">
        <v>59</v>
      </c>
      <c r="E3343" s="2">
        <v>163</v>
      </c>
      <c r="F3343" s="2">
        <v>3119.669</v>
      </c>
    </row>
    <row r="3344" spans="3:6" x14ac:dyDescent="0.25">
      <c r="C3344" s="2" t="s">
        <v>6788</v>
      </c>
      <c r="D3344" s="2" t="s">
        <v>59</v>
      </c>
      <c r="E3344" s="2">
        <v>105</v>
      </c>
      <c r="F3344" s="2">
        <v>2076.32</v>
      </c>
    </row>
    <row r="3345" spans="3:6" x14ac:dyDescent="0.25">
      <c r="C3345" s="2" t="s">
        <v>6789</v>
      </c>
      <c r="D3345" s="2" t="s">
        <v>59</v>
      </c>
      <c r="E3345" s="2">
        <v>163</v>
      </c>
      <c r="F3345" s="2">
        <v>3241.11</v>
      </c>
    </row>
    <row r="3346" spans="3:6" x14ac:dyDescent="0.25">
      <c r="C3346" s="2" t="s">
        <v>6790</v>
      </c>
      <c r="D3346" s="2" t="s">
        <v>59</v>
      </c>
      <c r="E3346" s="2">
        <v>163</v>
      </c>
      <c r="F3346" s="2">
        <v>3115.43</v>
      </c>
    </row>
    <row r="3348" spans="1:7" x14ac:dyDescent="0.25">
      <c r="A3348" s="1">
        <v>46199</v>
      </c>
      <c r="B3348" s="2" t="s">
        <v>71</v>
      </c>
      <c r="C3348" s="2" t="s">
        <v>6791</v>
      </c>
      <c r="D3348" s="2" t="s">
        <v>73</v>
      </c>
      <c r="E3348" s="2">
        <v>93</v>
      </c>
      <c r="F3348" s="2">
        <v>1764.279</v>
      </c>
      <c r="G3348" s="1">
        <v>46199</v>
      </c>
    </row>
    <row r="3349" spans="3:6" x14ac:dyDescent="0.25">
      <c r="C3349" s="2" t="s">
        <v>6792</v>
      </c>
      <c r="D3349" s="2" t="s">
        <v>73</v>
      </c>
      <c r="E3349" s="2">
        <v>43</v>
      </c>
      <c r="F3349" s="2">
        <v>753.51</v>
      </c>
    </row>
    <row r="3350" spans="3:6" x14ac:dyDescent="0.25">
      <c r="C3350" s="2" t="s">
        <v>6793</v>
      </c>
      <c r="D3350" s="2" t="s">
        <v>73</v>
      </c>
      <c r="E3350" s="2">
        <v>44</v>
      </c>
      <c r="F3350" s="2">
        <v>921.14</v>
      </c>
    </row>
    <row r="3351" spans="3:6" x14ac:dyDescent="0.25">
      <c r="C3351" s="2" t="s">
        <v>6794</v>
      </c>
      <c r="D3351" s="2" t="s">
        <v>73</v>
      </c>
      <c r="E3351" s="2">
        <v>11</v>
      </c>
      <c r="F3351" s="2">
        <v>227.35</v>
      </c>
    </row>
    <row r="3352" spans="3:6" x14ac:dyDescent="0.25">
      <c r="C3352" s="2" t="s">
        <v>6795</v>
      </c>
      <c r="D3352" s="2" t="s">
        <v>73</v>
      </c>
      <c r="E3352" s="2">
        <v>36</v>
      </c>
      <c r="F3352" s="2">
        <v>680.469</v>
      </c>
    </row>
    <row r="3353" spans="3:6" x14ac:dyDescent="0.25">
      <c r="C3353" s="2" t="s">
        <v>6796</v>
      </c>
      <c r="D3353" s="2" t="s">
        <v>73</v>
      </c>
      <c r="E3353" s="2">
        <v>48</v>
      </c>
      <c r="F3353" s="2">
        <v>907.05</v>
      </c>
    </row>
    <row r="3355" spans="1:7" x14ac:dyDescent="0.25">
      <c r="A3355" s="1">
        <v>46199</v>
      </c>
      <c r="B3355" s="2" t="s">
        <v>229</v>
      </c>
      <c r="C3355" s="2" t="s">
        <v>6797</v>
      </c>
      <c r="D3355" s="2" t="s">
        <v>82</v>
      </c>
      <c r="E3355" s="2">
        <v>11</v>
      </c>
      <c r="F3355" s="2">
        <v>123.029</v>
      </c>
      <c r="G3355" s="1">
        <v>46199</v>
      </c>
    </row>
    <row r="3356" spans="3:6" x14ac:dyDescent="0.25">
      <c r="C3356" s="2" t="s">
        <v>6798</v>
      </c>
      <c r="D3356" s="2" t="s">
        <v>82</v>
      </c>
      <c r="E3356" s="2">
        <v>111</v>
      </c>
      <c r="F3356" s="2">
        <v>2256.589</v>
      </c>
    </row>
    <row r="3357" spans="3:6" x14ac:dyDescent="0.25">
      <c r="C3357" s="2" t="s">
        <v>6799</v>
      </c>
      <c r="D3357" s="2" t="s">
        <v>82</v>
      </c>
      <c r="E3357" s="2">
        <v>86</v>
      </c>
      <c r="F3357" s="2">
        <v>1792.24</v>
      </c>
    </row>
    <row r="3358" spans="3:6" x14ac:dyDescent="0.25">
      <c r="C3358" s="2" t="s">
        <v>6800</v>
      </c>
      <c r="D3358" s="2" t="s">
        <v>82</v>
      </c>
      <c r="E3358" s="2">
        <v>35</v>
      </c>
      <c r="F3358" s="2">
        <v>696.14</v>
      </c>
    </row>
    <row r="3359" spans="3:6" x14ac:dyDescent="0.25">
      <c r="C3359" s="2" t="s">
        <v>6801</v>
      </c>
      <c r="D3359" s="2" t="s">
        <v>82</v>
      </c>
      <c r="E3359" s="2">
        <v>115</v>
      </c>
      <c r="F3359" s="2">
        <v>2337.33</v>
      </c>
    </row>
    <row r="3360" spans="3:6" x14ac:dyDescent="0.25">
      <c r="C3360" s="2" t="s">
        <v>6802</v>
      </c>
      <c r="D3360" s="2" t="s">
        <v>82</v>
      </c>
      <c r="E3360" s="2">
        <v>7</v>
      </c>
      <c r="F3360" s="2">
        <v>110.95</v>
      </c>
    </row>
    <row r="3361" spans="3:6" x14ac:dyDescent="0.25">
      <c r="C3361" s="2" t="s">
        <v>6803</v>
      </c>
      <c r="D3361" s="2" t="s">
        <v>82</v>
      </c>
      <c r="E3361" s="2">
        <v>79</v>
      </c>
      <c r="F3361" s="2">
        <v>1590.14</v>
      </c>
    </row>
    <row r="3362" spans="3:6" x14ac:dyDescent="0.25">
      <c r="C3362" s="2" t="s">
        <v>6804</v>
      </c>
      <c r="D3362" s="2" t="s">
        <v>82</v>
      </c>
      <c r="E3362" s="2">
        <v>42</v>
      </c>
      <c r="F3362" s="2">
        <v>804.468</v>
      </c>
    </row>
    <row r="3363" spans="3:6" x14ac:dyDescent="0.25">
      <c r="C3363" s="2" t="s">
        <v>6805</v>
      </c>
      <c r="D3363" s="2" t="s">
        <v>82</v>
      </c>
      <c r="E3363" s="2">
        <v>75</v>
      </c>
      <c r="F3363" s="2">
        <v>1438.67</v>
      </c>
    </row>
    <row r="3364" spans="3:6" x14ac:dyDescent="0.25">
      <c r="C3364" s="2" t="s">
        <v>6806</v>
      </c>
      <c r="D3364" s="2" t="s">
        <v>82</v>
      </c>
      <c r="E3364" s="2">
        <v>141</v>
      </c>
      <c r="F3364" s="2">
        <v>2896.54</v>
      </c>
    </row>
    <row r="3365" spans="3:6" x14ac:dyDescent="0.25">
      <c r="C3365" s="2" t="s">
        <v>6807</v>
      </c>
      <c r="D3365" s="2" t="s">
        <v>82</v>
      </c>
      <c r="E3365" s="2">
        <v>141</v>
      </c>
      <c r="F3365" s="2">
        <v>2857.42</v>
      </c>
    </row>
    <row r="3366" spans="3:6" x14ac:dyDescent="0.25">
      <c r="C3366" s="2" t="s">
        <v>6808</v>
      </c>
      <c r="D3366" s="2" t="s">
        <v>82</v>
      </c>
      <c r="E3366" s="2">
        <v>141</v>
      </c>
      <c r="F3366" s="2">
        <v>2890.26</v>
      </c>
    </row>
    <row r="3367" spans="3:6" x14ac:dyDescent="0.25">
      <c r="C3367" s="2" t="s">
        <v>6809</v>
      </c>
      <c r="D3367" s="2" t="s">
        <v>82</v>
      </c>
      <c r="E3367" s="2">
        <v>141</v>
      </c>
      <c r="F3367" s="2">
        <v>2710.67</v>
      </c>
    </row>
    <row r="3368" spans="3:6" x14ac:dyDescent="0.25">
      <c r="C3368" s="2" t="s">
        <v>6810</v>
      </c>
      <c r="D3368" s="2" t="s">
        <v>82</v>
      </c>
      <c r="E3368" s="2">
        <v>141</v>
      </c>
      <c r="F3368" s="2">
        <v>2784.33</v>
      </c>
    </row>
    <row r="3369" spans="3:6" x14ac:dyDescent="0.25">
      <c r="C3369" s="2" t="s">
        <v>6811</v>
      </c>
      <c r="D3369" s="2" t="s">
        <v>82</v>
      </c>
      <c r="E3369" s="2">
        <v>141</v>
      </c>
      <c r="F3369" s="2">
        <v>2887.82</v>
      </c>
    </row>
    <row r="3370" spans="3:6" x14ac:dyDescent="0.25">
      <c r="C3370" s="2" t="s">
        <v>6812</v>
      </c>
      <c r="D3370" s="2" t="s">
        <v>82</v>
      </c>
      <c r="E3370" s="2">
        <v>108</v>
      </c>
      <c r="F3370" s="2">
        <f>33.3+1632.3</f>
        <v>1665.6</v>
      </c>
    </row>
    <row r="3371" spans="3:6" x14ac:dyDescent="0.25">
      <c r="C3371" s="2" t="s">
        <v>6813</v>
      </c>
      <c r="D3371" s="2" t="s">
        <v>82</v>
      </c>
      <c r="E3371" s="2">
        <v>134</v>
      </c>
      <c r="F3371" s="2">
        <v>2733.3</v>
      </c>
    </row>
    <row r="3372" spans="3:6" x14ac:dyDescent="0.25">
      <c r="C3372" s="2" t="s">
        <v>6814</v>
      </c>
      <c r="D3372" s="2" t="s">
        <v>82</v>
      </c>
      <c r="E3372" s="2">
        <v>102</v>
      </c>
      <c r="F3372" s="2">
        <v>2067.59</v>
      </c>
    </row>
    <row r="3373" spans="3:6" x14ac:dyDescent="0.25">
      <c r="C3373" s="2" t="s">
        <v>6815</v>
      </c>
      <c r="D3373" s="2" t="s">
        <v>82</v>
      </c>
      <c r="E3373" s="2">
        <v>47</v>
      </c>
      <c r="F3373" s="2">
        <v>862.479</v>
      </c>
    </row>
    <row r="3374" spans="3:6" x14ac:dyDescent="0.25">
      <c r="C3374" s="2" t="s">
        <v>6816</v>
      </c>
      <c r="D3374" s="2" t="s">
        <v>82</v>
      </c>
      <c r="E3374" s="2">
        <v>94</v>
      </c>
      <c r="F3374" s="2">
        <v>1869.47</v>
      </c>
    </row>
    <row r="3375" spans="3:6" x14ac:dyDescent="0.25">
      <c r="C3375" s="2" t="s">
        <v>6817</v>
      </c>
      <c r="D3375" s="2" t="s">
        <v>82</v>
      </c>
      <c r="E3375" s="2">
        <f>30+26+7+3</f>
        <v>66</v>
      </c>
      <c r="F3375" s="2">
        <f>411.601+282.938+78.2+48.9</f>
        <v>821.639</v>
      </c>
    </row>
    <row r="3376" spans="3:6" x14ac:dyDescent="0.25">
      <c r="C3376" s="2" t="s">
        <v>6818</v>
      </c>
      <c r="D3376" s="2" t="s">
        <v>82</v>
      </c>
      <c r="E3376" s="2">
        <v>36</v>
      </c>
      <c r="F3376" s="2">
        <v>748.79</v>
      </c>
    </row>
    <row r="3377" spans="3:6" x14ac:dyDescent="0.25">
      <c r="C3377" s="2" t="s">
        <v>6819</v>
      </c>
      <c r="D3377" s="2" t="s">
        <v>82</v>
      </c>
      <c r="E3377" s="2">
        <v>47</v>
      </c>
      <c r="F3377" s="2">
        <v>887.23</v>
      </c>
    </row>
    <row r="3378" spans="3:6" x14ac:dyDescent="0.25">
      <c r="C3378" s="2" t="s">
        <v>6820</v>
      </c>
      <c r="D3378" s="2" t="s">
        <v>82</v>
      </c>
      <c r="E3378" s="2">
        <v>60</v>
      </c>
      <c r="F3378" s="2">
        <v>1119.56</v>
      </c>
    </row>
    <row r="3379" spans="3:6" x14ac:dyDescent="0.25">
      <c r="C3379" s="2" t="s">
        <v>6821</v>
      </c>
      <c r="D3379" s="2" t="s">
        <v>82</v>
      </c>
      <c r="E3379" s="2">
        <v>38</v>
      </c>
      <c r="F3379" s="2">
        <v>576.47</v>
      </c>
    </row>
    <row r="3380" spans="3:6" x14ac:dyDescent="0.25">
      <c r="C3380" s="2" t="s">
        <v>6822</v>
      </c>
      <c r="D3380" s="2" t="s">
        <v>82</v>
      </c>
      <c r="E3380" s="2">
        <v>142</v>
      </c>
      <c r="F3380" s="2">
        <v>2591.798</v>
      </c>
    </row>
    <row r="3381" spans="3:6" x14ac:dyDescent="0.25">
      <c r="C3381" s="2" t="s">
        <v>6823</v>
      </c>
      <c r="D3381" s="2" t="s">
        <v>82</v>
      </c>
      <c r="E3381" s="2">
        <v>118</v>
      </c>
      <c r="F3381" s="2">
        <v>2228.01</v>
      </c>
    </row>
    <row r="3382" spans="3:6" x14ac:dyDescent="0.25">
      <c r="C3382" s="2" t="s">
        <v>6824</v>
      </c>
      <c r="D3382" s="2" t="s">
        <v>82</v>
      </c>
      <c r="E3382" s="2">
        <v>23</v>
      </c>
      <c r="F3382" s="2">
        <v>471.38</v>
      </c>
    </row>
    <row r="3383" spans="3:6" x14ac:dyDescent="0.25">
      <c r="C3383" s="2" t="s">
        <v>6825</v>
      </c>
      <c r="D3383" s="2" t="s">
        <v>82</v>
      </c>
      <c r="E3383" s="2">
        <v>80</v>
      </c>
      <c r="F3383" s="2">
        <v>1555.98</v>
      </c>
    </row>
    <row r="3384" spans="3:6" x14ac:dyDescent="0.25">
      <c r="C3384" s="2" t="s">
        <v>6826</v>
      </c>
      <c r="D3384" s="2" t="s">
        <v>82</v>
      </c>
      <c r="E3384" s="2">
        <v>61</v>
      </c>
      <c r="F3384" s="2">
        <v>1252.18</v>
      </c>
    </row>
    <row r="3385" spans="3:6" x14ac:dyDescent="0.25">
      <c r="C3385" s="2" t="s">
        <v>6827</v>
      </c>
      <c r="D3385" s="2" t="s">
        <v>82</v>
      </c>
      <c r="E3385" s="2">
        <v>32</v>
      </c>
      <c r="F3385" s="2">
        <v>629.13</v>
      </c>
    </row>
    <row r="3386" spans="3:6" x14ac:dyDescent="0.25">
      <c r="C3386" s="2" t="s">
        <v>6828</v>
      </c>
      <c r="D3386" s="2" t="s">
        <v>82</v>
      </c>
      <c r="E3386" s="2">
        <v>68</v>
      </c>
      <c r="F3386" s="2">
        <v>1383.18</v>
      </c>
    </row>
    <row r="3387" spans="3:6" x14ac:dyDescent="0.25">
      <c r="C3387" s="2" t="s">
        <v>6829</v>
      </c>
      <c r="D3387" s="2" t="s">
        <v>82</v>
      </c>
      <c r="E3387" s="2">
        <v>41</v>
      </c>
      <c r="F3387" s="2">
        <v>841.56</v>
      </c>
    </row>
    <row r="3388" spans="3:6" x14ac:dyDescent="0.25">
      <c r="C3388" s="2" t="s">
        <v>6830</v>
      </c>
      <c r="D3388" s="2" t="s">
        <v>82</v>
      </c>
      <c r="E3388" s="2">
        <v>60</v>
      </c>
      <c r="F3388" s="2">
        <v>260.8</v>
      </c>
    </row>
    <row r="3389" spans="3:6" x14ac:dyDescent="0.25">
      <c r="C3389" s="2" t="s">
        <v>6831</v>
      </c>
      <c r="D3389" s="2" t="s">
        <v>82</v>
      </c>
      <c r="E3389" s="2">
        <v>51</v>
      </c>
      <c r="F3389" s="2">
        <v>217.529</v>
      </c>
    </row>
    <row r="3390" spans="3:6" x14ac:dyDescent="0.25">
      <c r="C3390" s="2" t="s">
        <v>6832</v>
      </c>
      <c r="D3390" s="2" t="s">
        <v>82</v>
      </c>
      <c r="E3390" s="2">
        <v>9</v>
      </c>
      <c r="F3390" s="2">
        <v>186.27</v>
      </c>
    </row>
    <row r="3391" spans="3:6" x14ac:dyDescent="0.25">
      <c r="C3391" s="2" t="s">
        <v>6833</v>
      </c>
      <c r="D3391" s="2" t="s">
        <v>82</v>
      </c>
      <c r="E3391" s="2">
        <v>93</v>
      </c>
      <c r="F3391" s="2">
        <v>1770.978</v>
      </c>
    </row>
    <row r="3393" spans="1:7" x14ac:dyDescent="0.25">
      <c r="A3393" s="1">
        <v>46199</v>
      </c>
      <c r="B3393" s="2" t="s">
        <v>290</v>
      </c>
      <c r="C3393" s="2" t="s">
        <v>6834</v>
      </c>
      <c r="D3393" s="2" t="s">
        <v>178</v>
      </c>
      <c r="E3393" s="2">
        <v>123</v>
      </c>
      <c r="F3393" s="2">
        <v>2561.059</v>
      </c>
      <c r="G3393" s="1">
        <v>46199</v>
      </c>
    </row>
    <row r="3394" spans="3:6" x14ac:dyDescent="0.25">
      <c r="C3394" s="2" t="s">
        <v>6835</v>
      </c>
      <c r="D3394" s="2" t="s">
        <v>178</v>
      </c>
      <c r="E3394" s="2">
        <v>123</v>
      </c>
      <c r="F3394" s="2">
        <v>2515.309</v>
      </c>
    </row>
    <row r="3395" spans="3:6" x14ac:dyDescent="0.25">
      <c r="C3395" s="2" t="s">
        <v>6836</v>
      </c>
      <c r="D3395" s="2" t="s">
        <v>178</v>
      </c>
      <c r="E3395" s="2">
        <v>123</v>
      </c>
      <c r="F3395" s="2">
        <v>2576.86</v>
      </c>
    </row>
    <row r="3396" spans="3:6" x14ac:dyDescent="0.25">
      <c r="C3396" s="2" t="s">
        <v>6837</v>
      </c>
      <c r="D3396" s="2" t="s">
        <v>178</v>
      </c>
      <c r="E3396" s="2">
        <v>134</v>
      </c>
      <c r="F3396" s="2">
        <v>2690.87</v>
      </c>
    </row>
    <row r="3397" spans="3:6" x14ac:dyDescent="0.25">
      <c r="C3397" s="2" t="s">
        <v>6838</v>
      </c>
      <c r="D3397" s="2" t="s">
        <v>178</v>
      </c>
      <c r="E3397" s="2">
        <v>45</v>
      </c>
      <c r="F3397" s="2">
        <v>197.799</v>
      </c>
    </row>
    <row r="3398" spans="3:6" x14ac:dyDescent="0.25">
      <c r="C3398" s="2" t="s">
        <v>6839</v>
      </c>
      <c r="D3398" s="2" t="s">
        <v>178</v>
      </c>
      <c r="E3398" s="2">
        <v>141</v>
      </c>
      <c r="F3398" s="2">
        <v>2850.45</v>
      </c>
    </row>
    <row r="3399" spans="3:6" x14ac:dyDescent="0.25">
      <c r="C3399" s="2" t="s">
        <v>6840</v>
      </c>
      <c r="D3399" s="2" t="s">
        <v>178</v>
      </c>
      <c r="E3399" s="2">
        <v>141</v>
      </c>
      <c r="F3399" s="2">
        <v>2866.33</v>
      </c>
    </row>
    <row r="3400" spans="3:6" x14ac:dyDescent="0.25">
      <c r="C3400" s="2" t="s">
        <v>6841</v>
      </c>
      <c r="D3400" s="2" t="s">
        <v>178</v>
      </c>
      <c r="E3400" s="2">
        <v>123</v>
      </c>
      <c r="F3400" s="2">
        <v>2567.5</v>
      </c>
    </row>
    <row r="3401" spans="3:6" x14ac:dyDescent="0.25">
      <c r="C3401" s="2" t="s">
        <v>6842</v>
      </c>
      <c r="D3401" s="2" t="s">
        <v>178</v>
      </c>
      <c r="E3401" s="2">
        <v>102</v>
      </c>
      <c r="F3401" s="2">
        <v>2081.9</v>
      </c>
    </row>
    <row r="3402" spans="3:6" x14ac:dyDescent="0.25">
      <c r="C3402" s="2" t="s">
        <v>6843</v>
      </c>
      <c r="D3402" s="2" t="s">
        <v>178</v>
      </c>
      <c r="E3402" s="2">
        <v>141</v>
      </c>
      <c r="F3402" s="2">
        <v>2896.58</v>
      </c>
    </row>
    <row r="3403" spans="3:6" x14ac:dyDescent="0.25">
      <c r="C3403" s="2" t="s">
        <v>6844</v>
      </c>
      <c r="D3403" s="2" t="s">
        <v>178</v>
      </c>
      <c r="E3403" s="2">
        <v>141</v>
      </c>
      <c r="F3403" s="2">
        <v>2946.36</v>
      </c>
    </row>
    <row r="3404" spans="3:6" x14ac:dyDescent="0.25">
      <c r="C3404" s="2" t="s">
        <v>6845</v>
      </c>
      <c r="D3404" s="2" t="s">
        <v>178</v>
      </c>
      <c r="E3404" s="2">
        <v>141</v>
      </c>
      <c r="F3404" s="2">
        <v>2963.63</v>
      </c>
    </row>
    <row r="3405" spans="3:6" x14ac:dyDescent="0.25">
      <c r="C3405" s="2" t="s">
        <v>6846</v>
      </c>
      <c r="D3405" s="2" t="s">
        <v>178</v>
      </c>
      <c r="E3405" s="2">
        <v>102</v>
      </c>
      <c r="F3405" s="2">
        <v>2159.809</v>
      </c>
    </row>
    <row r="3406" spans="3:6" x14ac:dyDescent="0.25">
      <c r="C3406" s="2" t="s">
        <v>6847</v>
      </c>
      <c r="D3406" s="2" t="s">
        <v>178</v>
      </c>
      <c r="E3406" s="2">
        <v>60</v>
      </c>
      <c r="F3406" s="2">
        <v>269.45</v>
      </c>
    </row>
    <row r="3407" spans="3:6" x14ac:dyDescent="0.25">
      <c r="C3407" s="2" t="s">
        <v>6848</v>
      </c>
      <c r="D3407" s="2" t="s">
        <v>178</v>
      </c>
      <c r="E3407" s="2">
        <v>141</v>
      </c>
      <c r="F3407" s="2">
        <v>2894.97</v>
      </c>
    </row>
    <row r="3408" spans="3:6" x14ac:dyDescent="0.25">
      <c r="C3408" s="2" t="s">
        <v>6849</v>
      </c>
      <c r="D3408" s="2" t="s">
        <v>178</v>
      </c>
      <c r="E3408" s="2">
        <v>142</v>
      </c>
      <c r="F3408" s="2">
        <v>2796.95</v>
      </c>
    </row>
    <row r="3409" spans="3:6" x14ac:dyDescent="0.25">
      <c r="C3409" s="2" t="s">
        <v>6850</v>
      </c>
      <c r="D3409" s="2" t="s">
        <v>178</v>
      </c>
      <c r="E3409" s="2">
        <v>60</v>
      </c>
      <c r="F3409" s="2">
        <v>261.329</v>
      </c>
    </row>
    <row r="3410" spans="3:6" x14ac:dyDescent="0.25">
      <c r="C3410" s="2" t="s">
        <v>6851</v>
      </c>
      <c r="D3410" s="2" t="s">
        <v>178</v>
      </c>
      <c r="E3410" s="2">
        <v>1</v>
      </c>
      <c r="F3410" s="2">
        <v>2.8</v>
      </c>
    </row>
    <row r="3411" spans="3:6" x14ac:dyDescent="0.25">
      <c r="C3411" s="2" t="s">
        <v>6852</v>
      </c>
      <c r="D3411" s="2" t="s">
        <v>178</v>
      </c>
      <c r="E3411" s="2">
        <v>57</v>
      </c>
      <c r="F3411" s="2">
        <v>1160.41</v>
      </c>
    </row>
    <row r="3412" spans="3:6" x14ac:dyDescent="0.25">
      <c r="C3412" s="2" t="s">
        <v>6853</v>
      </c>
      <c r="D3412" s="2" t="s">
        <v>178</v>
      </c>
      <c r="E3412" s="2">
        <v>84</v>
      </c>
      <c r="F3412" s="2">
        <v>1624.77</v>
      </c>
    </row>
    <row r="3413" spans="3:6" x14ac:dyDescent="0.25">
      <c r="C3413" s="2" t="s">
        <v>6854</v>
      </c>
      <c r="D3413" s="2" t="s">
        <v>178</v>
      </c>
      <c r="E3413" s="2">
        <v>141</v>
      </c>
      <c r="F3413" s="2">
        <v>2870.7</v>
      </c>
    </row>
    <row r="3414" spans="3:6" x14ac:dyDescent="0.25">
      <c r="C3414" s="2" t="s">
        <v>6855</v>
      </c>
      <c r="D3414" s="2" t="s">
        <v>178</v>
      </c>
      <c r="E3414" s="2">
        <v>141</v>
      </c>
      <c r="F3414" s="2">
        <v>2821.82</v>
      </c>
    </row>
    <row r="3415" spans="3:6" x14ac:dyDescent="0.25">
      <c r="C3415" s="2" t="s">
        <v>6856</v>
      </c>
      <c r="D3415" s="2" t="s">
        <v>178</v>
      </c>
      <c r="E3415" s="2">
        <v>141</v>
      </c>
      <c r="F3415" s="2">
        <v>2962.119</v>
      </c>
    </row>
    <row r="3416" spans="3:6" x14ac:dyDescent="0.25">
      <c r="C3416" s="2" t="s">
        <v>6857</v>
      </c>
      <c r="D3416" s="2" t="s">
        <v>178</v>
      </c>
      <c r="E3416" s="2">
        <v>141</v>
      </c>
      <c r="F3416" s="2">
        <v>2902.57</v>
      </c>
    </row>
    <row r="3417" spans="3:6" x14ac:dyDescent="0.25">
      <c r="C3417" s="2" t="s">
        <v>6858</v>
      </c>
      <c r="D3417" s="2" t="s">
        <v>178</v>
      </c>
      <c r="E3417" s="2">
        <v>102</v>
      </c>
      <c r="F3417" s="2">
        <v>2115.349</v>
      </c>
    </row>
    <row r="3418" spans="3:6" x14ac:dyDescent="0.25">
      <c r="C3418" s="2" t="s">
        <v>6859</v>
      </c>
      <c r="D3418" s="2" t="s">
        <v>178</v>
      </c>
      <c r="E3418" s="2">
        <v>85</v>
      </c>
      <c r="F3418" s="2">
        <v>1728.22</v>
      </c>
    </row>
    <row r="3419" spans="3:6" x14ac:dyDescent="0.25">
      <c r="C3419" s="2" t="s">
        <v>6860</v>
      </c>
      <c r="D3419" s="2" t="s">
        <v>178</v>
      </c>
      <c r="E3419" s="2">
        <v>23</v>
      </c>
      <c r="F3419" s="2">
        <v>483.419</v>
      </c>
    </row>
    <row r="3420" spans="3:6" x14ac:dyDescent="0.25">
      <c r="C3420" s="2" t="s">
        <v>6861</v>
      </c>
      <c r="D3420" s="2" t="s">
        <v>178</v>
      </c>
      <c r="E3420" s="2">
        <v>34</v>
      </c>
      <c r="F3420" s="2">
        <v>658.77</v>
      </c>
    </row>
    <row r="3421" spans="3:6" x14ac:dyDescent="0.25">
      <c r="C3421" s="2" t="s">
        <v>6862</v>
      </c>
      <c r="D3421" s="2" t="s">
        <v>178</v>
      </c>
      <c r="E3421" s="2">
        <v>102</v>
      </c>
      <c r="F3421" s="2">
        <v>2110.04</v>
      </c>
    </row>
    <row r="3422" spans="3:6" x14ac:dyDescent="0.25">
      <c r="C3422" s="2" t="s">
        <v>6863</v>
      </c>
      <c r="D3422" s="2" t="s">
        <v>178</v>
      </c>
      <c r="E3422" s="2">
        <v>75</v>
      </c>
      <c r="F3422" s="2">
        <v>1529.97</v>
      </c>
    </row>
    <row r="3423" spans="3:6" x14ac:dyDescent="0.25">
      <c r="C3423" s="2" t="s">
        <v>6864</v>
      </c>
      <c r="D3423" s="2" t="s">
        <v>178</v>
      </c>
      <c r="E3423" s="2">
        <v>51</v>
      </c>
      <c r="F3423" s="2">
        <v>1007.819</v>
      </c>
    </row>
    <row r="3424" spans="3:6" x14ac:dyDescent="0.25">
      <c r="C3424" s="2" t="s">
        <v>6865</v>
      </c>
      <c r="D3424" s="2" t="s">
        <v>178</v>
      </c>
      <c r="E3424" s="2">
        <v>22</v>
      </c>
      <c r="F3424" s="2">
        <v>425.01</v>
      </c>
    </row>
    <row r="3425" spans="3:6" x14ac:dyDescent="0.25">
      <c r="C3425" s="2" t="s">
        <v>6866</v>
      </c>
      <c r="D3425" s="2" t="s">
        <v>178</v>
      </c>
      <c r="E3425" s="2">
        <v>7</v>
      </c>
      <c r="F3425" s="2">
        <v>132.68</v>
      </c>
    </row>
    <row r="3426" spans="3:6" x14ac:dyDescent="0.25">
      <c r="C3426" s="2" t="s">
        <v>6867</v>
      </c>
      <c r="D3426" s="2" t="s">
        <v>178</v>
      </c>
      <c r="E3426" s="2">
        <v>22</v>
      </c>
      <c r="F3426" s="2">
        <v>459.43</v>
      </c>
    </row>
    <row r="3427" spans="3:6" x14ac:dyDescent="0.25">
      <c r="C3427" s="2" t="s">
        <v>6868</v>
      </c>
      <c r="D3427" s="2" t="s">
        <v>178</v>
      </c>
      <c r="E3427" s="2">
        <v>69</v>
      </c>
      <c r="F3427" s="2">
        <v>1395.579</v>
      </c>
    </row>
    <row r="3428" spans="3:6" x14ac:dyDescent="0.25">
      <c r="C3428" s="2" t="s">
        <v>6869</v>
      </c>
      <c r="D3428" s="2" t="s">
        <v>178</v>
      </c>
      <c r="E3428" s="2">
        <v>33</v>
      </c>
      <c r="F3428" s="2">
        <v>691.33</v>
      </c>
    </row>
    <row r="3429" spans="3:6" x14ac:dyDescent="0.25">
      <c r="C3429" s="2" t="s">
        <v>6870</v>
      </c>
      <c r="D3429" s="2" t="s">
        <v>178</v>
      </c>
      <c r="E3429" s="2">
        <v>102</v>
      </c>
      <c r="F3429" s="2">
        <v>2068.04</v>
      </c>
    </row>
    <row r="3431" spans="1:7" x14ac:dyDescent="0.25">
      <c r="A3431" s="1">
        <v>46199</v>
      </c>
      <c r="B3431" s="2" t="s">
        <v>989</v>
      </c>
      <c r="C3431" s="2" t="s">
        <v>6871</v>
      </c>
      <c r="D3431" s="2" t="s">
        <v>9</v>
      </c>
      <c r="E3431" s="2">
        <v>156</v>
      </c>
      <c r="F3431" s="2">
        <v>3103.239</v>
      </c>
      <c r="G3431" s="1">
        <v>46199</v>
      </c>
    </row>
    <row r="3432" spans="3:6" x14ac:dyDescent="0.25">
      <c r="C3432" s="2" t="s">
        <v>6872</v>
      </c>
      <c r="D3432" s="2" t="s">
        <v>9</v>
      </c>
      <c r="E3432" s="2">
        <v>156</v>
      </c>
      <c r="F3432" s="2">
        <v>3195.59</v>
      </c>
    </row>
    <row r="3433" spans="3:6" x14ac:dyDescent="0.25">
      <c r="C3433" s="2" t="s">
        <v>6873</v>
      </c>
      <c r="D3433" s="2" t="s">
        <v>9</v>
      </c>
      <c r="E3433" s="2">
        <v>68</v>
      </c>
      <c r="F3433" s="2">
        <v>1405.12</v>
      </c>
    </row>
    <row r="3435" spans="1:7" x14ac:dyDescent="0.25">
      <c r="A3435" s="1">
        <v>46199</v>
      </c>
      <c r="B3435" s="2" t="s">
        <v>7</v>
      </c>
      <c r="C3435" s="2" t="s">
        <v>6874</v>
      </c>
      <c r="D3435" s="2" t="s">
        <v>9</v>
      </c>
      <c r="E3435" s="2">
        <v>99</v>
      </c>
      <c r="F3435" s="2">
        <v>2036.999</v>
      </c>
      <c r="G3435" s="1">
        <v>46199</v>
      </c>
    </row>
    <row r="3436" spans="3:6" x14ac:dyDescent="0.25">
      <c r="C3436" s="2" t="s">
        <v>6875</v>
      </c>
      <c r="D3436" s="2" t="s">
        <v>9</v>
      </c>
      <c r="E3436" s="2">
        <v>99</v>
      </c>
      <c r="F3436" s="2">
        <v>2016.76</v>
      </c>
    </row>
    <row r="3438" spans="1:7" x14ac:dyDescent="0.25">
      <c r="A3438" s="1">
        <v>46199</v>
      </c>
      <c r="B3438" s="2" t="s">
        <v>420</v>
      </c>
      <c r="C3438" s="2" t="s">
        <v>6876</v>
      </c>
      <c r="D3438" s="2" t="s">
        <v>59</v>
      </c>
      <c r="E3438" s="2">
        <v>163</v>
      </c>
      <c r="F3438" s="2">
        <v>3142.169</v>
      </c>
      <c r="G3438" s="1">
        <v>46197</v>
      </c>
    </row>
    <row r="3439" spans="3:6" x14ac:dyDescent="0.25">
      <c r="C3439" s="2" t="s">
        <v>6877</v>
      </c>
      <c r="D3439" s="2" t="s">
        <v>59</v>
      </c>
      <c r="E3439" s="2">
        <v>120</v>
      </c>
      <c r="F3439" s="2">
        <v>2278.571</v>
      </c>
    </row>
    <row r="3440" spans="3:6" x14ac:dyDescent="0.25">
      <c r="C3440" s="2" t="s">
        <v>6878</v>
      </c>
      <c r="D3440" s="2" t="s">
        <v>59</v>
      </c>
      <c r="E3440" s="2">
        <v>268</v>
      </c>
      <c r="F3440" s="2">
        <v>5184.799</v>
      </c>
    </row>
    <row r="3441" spans="3:6" x14ac:dyDescent="0.25">
      <c r="C3441" s="2" t="s">
        <v>6879</v>
      </c>
      <c r="D3441" s="2" t="s">
        <v>59</v>
      </c>
      <c r="E3441" s="2">
        <v>163</v>
      </c>
      <c r="F3441" s="2">
        <v>3038.197</v>
      </c>
    </row>
    <row r="3442" spans="3:6" x14ac:dyDescent="0.25">
      <c r="C3442" s="2" t="s">
        <v>6880</v>
      </c>
      <c r="D3442" s="2" t="s">
        <v>59</v>
      </c>
      <c r="E3442" s="2">
        <v>268</v>
      </c>
      <c r="F3442" s="2">
        <v>4939.508</v>
      </c>
    </row>
    <row r="3443" spans="3:6" x14ac:dyDescent="0.25">
      <c r="C3443" s="2" t="s">
        <v>6881</v>
      </c>
      <c r="D3443" s="2" t="s">
        <v>59</v>
      </c>
      <c r="E3443" s="2">
        <v>105</v>
      </c>
      <c r="F3443" s="2">
        <v>2176.11</v>
      </c>
    </row>
    <row r="3444" spans="3:6" x14ac:dyDescent="0.25">
      <c r="C3444" s="2" t="s">
        <v>6882</v>
      </c>
      <c r="D3444" s="2" t="s">
        <v>59</v>
      </c>
      <c r="E3444" s="2">
        <v>210</v>
      </c>
      <c r="F3444" s="2">
        <v>4314.88</v>
      </c>
    </row>
    <row r="3445" spans="3:6" x14ac:dyDescent="0.25">
      <c r="C3445" s="2" t="s">
        <v>6883</v>
      </c>
      <c r="D3445" s="2" t="s">
        <v>59</v>
      </c>
      <c r="E3445" s="2">
        <v>163</v>
      </c>
      <c r="F3445" s="2">
        <v>3075.009</v>
      </c>
    </row>
    <row r="3447" spans="1:7" x14ac:dyDescent="0.25">
      <c r="A3447" s="1">
        <v>46199</v>
      </c>
      <c r="B3447" s="2" t="s">
        <v>1626</v>
      </c>
      <c r="C3447" s="2" t="s">
        <v>6884</v>
      </c>
      <c r="D3447" s="2" t="s">
        <v>59</v>
      </c>
      <c r="E3447" s="2">
        <v>149</v>
      </c>
      <c r="F3447" s="2">
        <v>2820.009</v>
      </c>
      <c r="G3447" s="1">
        <v>46199</v>
      </c>
    </row>
    <row r="3448" spans="3:6" x14ac:dyDescent="0.25">
      <c r="C3448" s="2" t="s">
        <v>6885</v>
      </c>
      <c r="D3448" s="2" t="s">
        <v>59</v>
      </c>
      <c r="E3448" s="2">
        <v>102</v>
      </c>
      <c r="F3448" s="2">
        <v>1934.63</v>
      </c>
    </row>
    <row r="3449" spans="3:6" x14ac:dyDescent="0.25">
      <c r="C3449" s="2" t="s">
        <v>6886</v>
      </c>
      <c r="D3449" s="2" t="s">
        <v>59</v>
      </c>
      <c r="E3449" s="2">
        <v>102</v>
      </c>
      <c r="F3449" s="2">
        <v>1928.82</v>
      </c>
    </row>
    <row r="3450" spans="3:6" x14ac:dyDescent="0.25">
      <c r="C3450" s="2" t="s">
        <v>6887</v>
      </c>
      <c r="D3450" s="2" t="s">
        <v>59</v>
      </c>
      <c r="E3450" s="2">
        <v>149</v>
      </c>
      <c r="F3450" s="2">
        <v>2815.339</v>
      </c>
    </row>
    <row r="3451" spans="3:6" x14ac:dyDescent="0.25">
      <c r="C3451" s="2" t="s">
        <v>6888</v>
      </c>
      <c r="D3451" s="2" t="s">
        <v>59</v>
      </c>
      <c r="E3451" s="2">
        <v>149</v>
      </c>
      <c r="F3451" s="2">
        <v>2925.848</v>
      </c>
    </row>
    <row r="3453" spans="1:7" x14ac:dyDescent="0.25">
      <c r="A3453" s="1">
        <v>46199</v>
      </c>
      <c r="B3453" s="2" t="s">
        <v>666</v>
      </c>
      <c r="C3453" s="2" t="s">
        <v>6889</v>
      </c>
      <c r="D3453" s="2" t="s">
        <v>59</v>
      </c>
      <c r="E3453" s="2">
        <v>142</v>
      </c>
      <c r="F3453" s="2">
        <v>3003.68</v>
      </c>
      <c r="G3453" s="1">
        <v>46197</v>
      </c>
    </row>
    <row r="3454" spans="3:6" x14ac:dyDescent="0.25">
      <c r="C3454" s="2" t="s">
        <v>6890</v>
      </c>
      <c r="D3454" s="2" t="s">
        <v>59</v>
      </c>
      <c r="E3454" s="2">
        <v>142</v>
      </c>
      <c r="F3454" s="2">
        <v>2899.45</v>
      </c>
    </row>
    <row r="3456" spans="1:7" x14ac:dyDescent="0.25">
      <c r="A3456" s="1">
        <v>46200</v>
      </c>
      <c r="B3456" s="2" t="s">
        <v>1012</v>
      </c>
      <c r="C3456" s="2" t="s">
        <v>6891</v>
      </c>
      <c r="D3456" s="2" t="s">
        <v>73</v>
      </c>
      <c r="E3456" s="2">
        <v>30</v>
      </c>
      <c r="F3456" s="2">
        <v>533.75</v>
      </c>
      <c r="G3456" s="1">
        <v>46199</v>
      </c>
    </row>
    <row r="3457" spans="3:6" x14ac:dyDescent="0.25">
      <c r="C3457" s="2" t="s">
        <v>6892</v>
      </c>
      <c r="D3457" s="2" t="s">
        <v>73</v>
      </c>
      <c r="E3457" s="2">
        <v>82</v>
      </c>
      <c r="F3457" s="2">
        <v>1635.16</v>
      </c>
    </row>
    <row r="3458" spans="3:6" x14ac:dyDescent="0.25">
      <c r="C3458" s="2" t="s">
        <v>6893</v>
      </c>
      <c r="D3458" s="2" t="s">
        <v>73</v>
      </c>
      <c r="E3458" s="2">
        <v>97</v>
      </c>
      <c r="F3458" s="2">
        <v>1848.279</v>
      </c>
    </row>
    <row r="3459" spans="3:6" x14ac:dyDescent="0.25">
      <c r="C3459" s="2" t="s">
        <v>6894</v>
      </c>
      <c r="D3459" s="2" t="s">
        <v>73</v>
      </c>
      <c r="E3459" s="2">
        <v>46</v>
      </c>
      <c r="F3459" s="2">
        <v>858.86</v>
      </c>
    </row>
    <row r="3460" spans="3:6" x14ac:dyDescent="0.25">
      <c r="C3460" s="2" t="s">
        <v>6895</v>
      </c>
      <c r="D3460" s="2" t="s">
        <v>73</v>
      </c>
      <c r="E3460" s="2">
        <v>21</v>
      </c>
      <c r="F3460" s="2">
        <v>399.01</v>
      </c>
    </row>
    <row r="3462" spans="1:7" x14ac:dyDescent="0.25">
      <c r="A3462" s="1">
        <v>46201</v>
      </c>
      <c r="B3462" s="2" t="s">
        <v>897</v>
      </c>
      <c r="C3462" s="2" t="s">
        <v>6896</v>
      </c>
      <c r="D3462" s="2" t="s">
        <v>292</v>
      </c>
      <c r="E3462" s="2">
        <v>123</v>
      </c>
      <c r="F3462" s="2">
        <v>2573.18</v>
      </c>
      <c r="G3462" s="1">
        <v>46202</v>
      </c>
    </row>
    <row r="3463" spans="3:6" x14ac:dyDescent="0.25">
      <c r="C3463" s="2" t="s">
        <v>6897</v>
      </c>
      <c r="D3463" s="2" t="s">
        <v>292</v>
      </c>
      <c r="E3463" s="2">
        <v>123</v>
      </c>
      <c r="F3463" s="2">
        <v>2439.339</v>
      </c>
    </row>
    <row r="3464" spans="3:6" x14ac:dyDescent="0.25">
      <c r="C3464" s="2" t="s">
        <v>6898</v>
      </c>
      <c r="D3464" s="2" t="s">
        <v>292</v>
      </c>
      <c r="E3464" s="2">
        <v>118</v>
      </c>
      <c r="F3464" s="2">
        <v>1948.535</v>
      </c>
    </row>
    <row r="3465" spans="3:6" x14ac:dyDescent="0.25">
      <c r="C3465" s="2" t="s">
        <v>6899</v>
      </c>
      <c r="D3465" s="2" t="s">
        <v>292</v>
      </c>
      <c r="E3465" s="2">
        <v>141</v>
      </c>
      <c r="F3465" s="2">
        <v>2883.62</v>
      </c>
    </row>
    <row r="3466" spans="3:6" x14ac:dyDescent="0.25">
      <c r="C3466" s="2" t="s">
        <v>6900</v>
      </c>
      <c r="D3466" s="2" t="s">
        <v>292</v>
      </c>
      <c r="E3466" s="2">
        <v>141</v>
      </c>
      <c r="F3466" s="2">
        <v>2871.81</v>
      </c>
    </row>
    <row r="3467" spans="3:6" x14ac:dyDescent="0.25">
      <c r="C3467" s="2" t="s">
        <v>6901</v>
      </c>
      <c r="D3467" s="2" t="s">
        <v>292</v>
      </c>
      <c r="E3467" s="2">
        <v>141</v>
      </c>
      <c r="F3467" s="2">
        <v>2938.819</v>
      </c>
    </row>
    <row r="3468" spans="3:6" x14ac:dyDescent="0.25">
      <c r="C3468" s="2" t="s">
        <v>6902</v>
      </c>
      <c r="D3468" s="2" t="s">
        <v>292</v>
      </c>
      <c r="E3468" s="2">
        <v>103</v>
      </c>
      <c r="F3468" s="2">
        <v>2055.11</v>
      </c>
    </row>
    <row r="3469" spans="3:6" x14ac:dyDescent="0.25">
      <c r="C3469" s="2" t="s">
        <v>6903</v>
      </c>
      <c r="D3469" s="2" t="s">
        <v>292</v>
      </c>
      <c r="E3469" s="2">
        <v>102</v>
      </c>
      <c r="F3469" s="2">
        <v>2089.4</v>
      </c>
    </row>
    <row r="3470" spans="3:6" x14ac:dyDescent="0.25">
      <c r="C3470" s="2" t="s">
        <v>6904</v>
      </c>
      <c r="D3470" s="2" t="s">
        <v>292</v>
      </c>
      <c r="E3470" s="2">
        <v>102</v>
      </c>
      <c r="F3470" s="2">
        <v>2044.13</v>
      </c>
    </row>
    <row r="3471" spans="3:6" x14ac:dyDescent="0.25">
      <c r="C3471" s="2" t="s">
        <v>6905</v>
      </c>
      <c r="D3471" s="2" t="s">
        <v>292</v>
      </c>
      <c r="E3471" s="2">
        <v>53</v>
      </c>
      <c r="F3471" s="2">
        <v>1059.27</v>
      </c>
    </row>
    <row r="3472" spans="3:6" x14ac:dyDescent="0.25">
      <c r="C3472" s="2" t="s">
        <v>6906</v>
      </c>
      <c r="D3472" s="2" t="s">
        <v>292</v>
      </c>
      <c r="E3472" s="2">
        <v>42</v>
      </c>
      <c r="F3472" s="2">
        <v>1112.4</v>
      </c>
    </row>
    <row r="3473" spans="3:6" x14ac:dyDescent="0.25">
      <c r="C3473" s="2" t="s">
        <v>6907</v>
      </c>
      <c r="D3473" s="2" t="s">
        <v>292</v>
      </c>
      <c r="E3473" s="2">
        <v>20</v>
      </c>
      <c r="F3473" s="2">
        <v>394.01</v>
      </c>
    </row>
    <row r="3474" spans="3:6" x14ac:dyDescent="0.25">
      <c r="C3474" s="2" t="s">
        <v>6908</v>
      </c>
      <c r="D3474" s="2" t="s">
        <v>292</v>
      </c>
      <c r="E3474" s="2">
        <v>65</v>
      </c>
      <c r="F3474" s="2">
        <v>1349.72</v>
      </c>
    </row>
    <row r="3475" spans="3:6" x14ac:dyDescent="0.25">
      <c r="C3475" s="2" t="s">
        <v>6909</v>
      </c>
      <c r="D3475" s="2" t="s">
        <v>292</v>
      </c>
      <c r="E3475" s="2">
        <v>128</v>
      </c>
      <c r="F3475" s="2">
        <v>2663.55</v>
      </c>
    </row>
    <row r="3476" spans="3:6" x14ac:dyDescent="0.25">
      <c r="C3476" s="2" t="s">
        <v>6910</v>
      </c>
      <c r="D3476" s="2" t="s">
        <v>292</v>
      </c>
      <c r="E3476" s="2">
        <v>13</v>
      </c>
      <c r="F3476" s="2">
        <v>223.19</v>
      </c>
    </row>
    <row r="3477" spans="3:6" x14ac:dyDescent="0.25">
      <c r="C3477" s="2" t="s">
        <v>6911</v>
      </c>
      <c r="D3477" s="2" t="s">
        <v>292</v>
      </c>
      <c r="E3477" s="2">
        <v>42</v>
      </c>
      <c r="F3477" s="2">
        <v>828.22</v>
      </c>
    </row>
    <row r="3478" spans="3:6" x14ac:dyDescent="0.25">
      <c r="C3478" s="2" t="s">
        <v>6912</v>
      </c>
      <c r="D3478" s="2" t="s">
        <v>292</v>
      </c>
      <c r="E3478" s="2">
        <v>99</v>
      </c>
      <c r="F3478" s="2">
        <v>2058.869</v>
      </c>
    </row>
    <row r="3479" spans="3:6" x14ac:dyDescent="0.25">
      <c r="C3479" s="2" t="s">
        <v>6913</v>
      </c>
      <c r="D3479" s="2" t="s">
        <v>292</v>
      </c>
      <c r="E3479" s="2">
        <v>50</v>
      </c>
      <c r="F3479" s="2">
        <v>271.45</v>
      </c>
    </row>
    <row r="3480" spans="3:6" x14ac:dyDescent="0.25">
      <c r="C3480" s="2" t="s">
        <v>6914</v>
      </c>
      <c r="D3480" s="2" t="s">
        <v>292</v>
      </c>
      <c r="E3480" s="2">
        <v>60</v>
      </c>
      <c r="F3480" s="2">
        <v>294.819</v>
      </c>
    </row>
    <row r="3481" spans="3:6" x14ac:dyDescent="0.25">
      <c r="C3481" s="2" t="s">
        <v>6915</v>
      </c>
      <c r="D3481" s="2" t="s">
        <v>292</v>
      </c>
      <c r="E3481" s="2">
        <v>10</v>
      </c>
      <c r="F3481" s="2">
        <v>171.36</v>
      </c>
    </row>
    <row r="3482" spans="3:6" x14ac:dyDescent="0.25">
      <c r="C3482" s="2" t="s">
        <v>6916</v>
      </c>
      <c r="D3482" s="2" t="s">
        <v>292</v>
      </c>
      <c r="E3482" s="2">
        <v>6</v>
      </c>
      <c r="F3482" s="2">
        <v>85.27</v>
      </c>
    </row>
    <row r="3483" spans="3:6" x14ac:dyDescent="0.25">
      <c r="C3483" s="2" t="s">
        <v>6917</v>
      </c>
      <c r="D3483" s="2" t="s">
        <v>292</v>
      </c>
      <c r="E3483" s="2">
        <v>51</v>
      </c>
      <c r="F3483" s="2">
        <v>872.385</v>
      </c>
    </row>
    <row r="3484" spans="3:6" x14ac:dyDescent="0.25">
      <c r="C3484" s="2" t="s">
        <v>6918</v>
      </c>
      <c r="D3484" s="2" t="s">
        <v>292</v>
      </c>
      <c r="E3484" s="2">
        <v>60</v>
      </c>
      <c r="F3484" s="2">
        <v>1232.1</v>
      </c>
    </row>
    <row r="3485" spans="3:6" x14ac:dyDescent="0.25">
      <c r="C3485" s="2" t="s">
        <v>6919</v>
      </c>
      <c r="D3485" s="2" t="s">
        <v>292</v>
      </c>
      <c r="E3485" s="2">
        <v>56</v>
      </c>
      <c r="F3485" s="2">
        <v>1104.45</v>
      </c>
    </row>
    <row r="3486" spans="3:6" x14ac:dyDescent="0.25">
      <c r="C3486" s="2" t="s">
        <v>6920</v>
      </c>
      <c r="D3486" s="2" t="s">
        <v>292</v>
      </c>
      <c r="E3486" s="2">
        <v>32</v>
      </c>
      <c r="F3486" s="2">
        <v>606.38</v>
      </c>
    </row>
    <row r="3487" spans="3:6" x14ac:dyDescent="0.25">
      <c r="C3487" s="2" t="s">
        <v>6921</v>
      </c>
      <c r="D3487" s="2" t="s">
        <v>292</v>
      </c>
      <c r="E3487" s="2">
        <v>91</v>
      </c>
      <c r="F3487" s="2">
        <v>1852.099</v>
      </c>
    </row>
    <row r="3488" spans="3:6" x14ac:dyDescent="0.25">
      <c r="C3488" s="2" t="s">
        <v>6922</v>
      </c>
      <c r="D3488" s="2" t="s">
        <v>292</v>
      </c>
      <c r="E3488" s="2">
        <v>50</v>
      </c>
      <c r="F3488" s="2">
        <v>1040.68</v>
      </c>
    </row>
    <row r="3489" spans="3:6" x14ac:dyDescent="0.25">
      <c r="C3489" s="2" t="s">
        <v>6923</v>
      </c>
      <c r="D3489" s="2" t="s">
        <v>292</v>
      </c>
      <c r="E3489" s="2">
        <v>135</v>
      </c>
      <c r="F3489" s="2">
        <v>1531.666</v>
      </c>
    </row>
    <row r="3490" spans="3:6" x14ac:dyDescent="0.25">
      <c r="C3490" s="2" t="s">
        <v>6924</v>
      </c>
      <c r="D3490" s="2" t="s">
        <v>292</v>
      </c>
      <c r="E3490" s="2">
        <v>45</v>
      </c>
      <c r="F3490" s="2">
        <v>235.26</v>
      </c>
    </row>
    <row r="3491" spans="3:6" x14ac:dyDescent="0.25">
      <c r="C3491" s="2" t="s">
        <v>6925</v>
      </c>
      <c r="D3491" s="2" t="s">
        <v>292</v>
      </c>
      <c r="E3491" s="2">
        <v>102</v>
      </c>
      <c r="F3491" s="2">
        <v>2024.61</v>
      </c>
    </row>
    <row r="3492" spans="3:6" x14ac:dyDescent="0.25">
      <c r="C3492" s="2" t="s">
        <v>6926</v>
      </c>
      <c r="D3492" s="2" t="s">
        <v>292</v>
      </c>
      <c r="E3492" s="2">
        <v>102</v>
      </c>
      <c r="F3492" s="2">
        <v>2080.35</v>
      </c>
    </row>
    <row r="3493" spans="3:6" x14ac:dyDescent="0.25">
      <c r="C3493" s="2" t="s">
        <v>6927</v>
      </c>
      <c r="D3493" s="2" t="s">
        <v>292</v>
      </c>
      <c r="E3493" s="2">
        <v>53</v>
      </c>
      <c r="F3493" s="2">
        <v>1083.84</v>
      </c>
    </row>
    <row r="3494" spans="3:6" x14ac:dyDescent="0.25">
      <c r="C3494" s="2" t="s">
        <v>6928</v>
      </c>
      <c r="D3494" s="2" t="s">
        <v>292</v>
      </c>
      <c r="E3494" s="2">
        <v>115</v>
      </c>
      <c r="F3494" s="2">
        <v>2344.59</v>
      </c>
    </row>
    <row r="3495" spans="3:6" x14ac:dyDescent="0.25">
      <c r="C3495" s="2" t="s">
        <v>6929</v>
      </c>
      <c r="D3495" s="2" t="s">
        <v>292</v>
      </c>
      <c r="E3495" s="2">
        <v>107</v>
      </c>
      <c r="F3495" s="2">
        <v>2240.352</v>
      </c>
    </row>
    <row r="3496" spans="3:6" x14ac:dyDescent="0.25">
      <c r="C3496" s="2" t="s">
        <v>6930</v>
      </c>
      <c r="D3496" s="2" t="s">
        <v>292</v>
      </c>
      <c r="E3496" s="2">
        <v>88</v>
      </c>
      <c r="F3496" s="2">
        <v>1794.31</v>
      </c>
    </row>
    <row r="3497" spans="3:6" x14ac:dyDescent="0.25">
      <c r="C3497" s="2" t="s">
        <v>6931</v>
      </c>
      <c r="D3497" s="2" t="s">
        <v>292</v>
      </c>
      <c r="E3497" s="2">
        <v>26</v>
      </c>
      <c r="F3497" s="2">
        <v>451.188</v>
      </c>
    </row>
    <row r="3498" spans="3:6" x14ac:dyDescent="0.25">
      <c r="C3498" s="2" t="s">
        <v>6932</v>
      </c>
      <c r="D3498" s="2" t="s">
        <v>292</v>
      </c>
      <c r="E3498" s="2">
        <v>109</v>
      </c>
      <c r="F3498" s="2">
        <v>2190.93</v>
      </c>
    </row>
    <row r="3499" spans="3:6" x14ac:dyDescent="0.25">
      <c r="C3499" s="2" t="s">
        <v>6933</v>
      </c>
      <c r="D3499" s="2" t="s">
        <v>292</v>
      </c>
      <c r="E3499" s="2">
        <v>25</v>
      </c>
      <c r="F3499" s="2">
        <v>525.5</v>
      </c>
    </row>
    <row r="3500" spans="3:6" x14ac:dyDescent="0.25">
      <c r="C3500" s="2" t="s">
        <v>6916</v>
      </c>
      <c r="D3500" s="2" t="s">
        <v>292</v>
      </c>
      <c r="E3500" s="2">
        <v>6</v>
      </c>
      <c r="F3500" s="2">
        <v>100</v>
      </c>
    </row>
    <row r="3501" spans="3:6" x14ac:dyDescent="0.25">
      <c r="C3501" s="2" t="s">
        <v>6926</v>
      </c>
      <c r="D3501" s="2" t="s">
        <v>292</v>
      </c>
      <c r="E3501" s="2">
        <v>102</v>
      </c>
      <c r="F3501" s="2">
        <v>2080.35</v>
      </c>
    </row>
    <row r="3502" spans="3:6" x14ac:dyDescent="0.25">
      <c r="C3502" s="2" t="s">
        <v>6925</v>
      </c>
      <c r="D3502" s="2" t="s">
        <v>292</v>
      </c>
      <c r="E3502" s="2">
        <v>102</v>
      </c>
      <c r="F3502" s="2">
        <v>2024.61</v>
      </c>
    </row>
    <row r="3503" spans="3:6" x14ac:dyDescent="0.25">
      <c r="C3503" s="2" t="s">
        <v>6900</v>
      </c>
      <c r="D3503" s="2" t="s">
        <v>292</v>
      </c>
      <c r="E3503" s="2">
        <v>141</v>
      </c>
      <c r="F3503" s="2">
        <v>2871.81</v>
      </c>
    </row>
    <row r="3504" spans="3:6" x14ac:dyDescent="0.25">
      <c r="C3504" s="2" t="s">
        <v>6901</v>
      </c>
      <c r="D3504" s="2" t="s">
        <v>292</v>
      </c>
      <c r="E3504" s="2">
        <v>141</v>
      </c>
      <c r="F3504" s="2">
        <v>2938.819</v>
      </c>
    </row>
    <row r="3505" spans="3:6" x14ac:dyDescent="0.25">
      <c r="C3505" s="2" t="s">
        <v>6902</v>
      </c>
      <c r="D3505" s="2" t="s">
        <v>292</v>
      </c>
      <c r="E3505" s="2">
        <v>103</v>
      </c>
      <c r="F3505" s="2">
        <v>2055.11</v>
      </c>
    </row>
    <row r="3506" spans="3:6" x14ac:dyDescent="0.25">
      <c r="C3506" s="2" t="s">
        <v>6903</v>
      </c>
      <c r="D3506" s="2" t="s">
        <v>292</v>
      </c>
      <c r="E3506" s="2">
        <v>102</v>
      </c>
      <c r="F3506" s="2">
        <v>2089.4</v>
      </c>
    </row>
    <row r="3507" spans="3:6" x14ac:dyDescent="0.25">
      <c r="C3507" s="2" t="s">
        <v>6904</v>
      </c>
      <c r="D3507" s="2" t="s">
        <v>292</v>
      </c>
      <c r="E3507" s="2">
        <v>102</v>
      </c>
      <c r="F3507" s="2">
        <v>2044.13</v>
      </c>
    </row>
    <row r="3509" spans="1:7" x14ac:dyDescent="0.25">
      <c r="A3509" s="1">
        <v>46200</v>
      </c>
      <c r="B3509" s="2" t="s">
        <v>4335</v>
      </c>
      <c r="C3509" s="2" t="s">
        <v>6934</v>
      </c>
      <c r="D3509" s="2" t="s">
        <v>82</v>
      </c>
      <c r="E3509" s="2">
        <v>141</v>
      </c>
      <c r="F3509" s="2">
        <v>2808.13</v>
      </c>
      <c r="G3509" s="1">
        <v>46202</v>
      </c>
    </row>
    <row r="3510" spans="3:6" x14ac:dyDescent="0.25">
      <c r="C3510" s="2" t="s">
        <v>6935</v>
      </c>
      <c r="D3510" s="2" t="s">
        <v>82</v>
      </c>
      <c r="E3510" s="2">
        <v>89</v>
      </c>
      <c r="F3510" s="2">
        <v>1814.679</v>
      </c>
    </row>
    <row r="3511" spans="3:6" x14ac:dyDescent="0.25">
      <c r="C3511" s="2" t="s">
        <v>6936</v>
      </c>
      <c r="D3511" s="2" t="s">
        <v>82</v>
      </c>
      <c r="E3511" s="2">
        <v>52</v>
      </c>
      <c r="F3511" s="2">
        <v>1039.29</v>
      </c>
    </row>
    <row r="3512" spans="3:6" x14ac:dyDescent="0.25">
      <c r="C3512" s="2" t="s">
        <v>6937</v>
      </c>
      <c r="D3512" s="2" t="s">
        <v>82</v>
      </c>
      <c r="E3512" s="2">
        <v>141</v>
      </c>
      <c r="F3512" s="2">
        <v>2946.69</v>
      </c>
    </row>
    <row r="3513" spans="3:6" x14ac:dyDescent="0.25">
      <c r="C3513" s="2" t="s">
        <v>6938</v>
      </c>
      <c r="D3513" s="2" t="s">
        <v>82</v>
      </c>
      <c r="E3513" s="2">
        <v>141</v>
      </c>
      <c r="F3513" s="2">
        <v>2820.02</v>
      </c>
    </row>
    <row r="3514" spans="3:6" x14ac:dyDescent="0.25">
      <c r="C3514" s="2" t="s">
        <v>6939</v>
      </c>
      <c r="D3514" s="2" t="s">
        <v>82</v>
      </c>
      <c r="E3514" s="2">
        <v>81</v>
      </c>
      <c r="F3514" s="2">
        <v>1675.709</v>
      </c>
    </row>
    <row r="3515" spans="3:6" x14ac:dyDescent="0.25">
      <c r="C3515" s="2" t="s">
        <v>6940</v>
      </c>
      <c r="D3515" s="2" t="s">
        <v>82</v>
      </c>
      <c r="E3515" s="2">
        <v>33</v>
      </c>
      <c r="F3515" s="2">
        <v>591.41</v>
      </c>
    </row>
    <row r="3516" spans="3:6" x14ac:dyDescent="0.25">
      <c r="C3516" s="2" t="s">
        <v>6941</v>
      </c>
      <c r="D3516" s="2" t="s">
        <v>82</v>
      </c>
      <c r="E3516" s="2">
        <v>28</v>
      </c>
      <c r="F3516" s="2">
        <v>536.7</v>
      </c>
    </row>
    <row r="3517" spans="3:6" x14ac:dyDescent="0.25">
      <c r="C3517" s="2" t="s">
        <v>6942</v>
      </c>
      <c r="D3517" s="2" t="s">
        <v>82</v>
      </c>
      <c r="E3517" s="2">
        <v>141</v>
      </c>
      <c r="F3517" s="2">
        <v>3002.08</v>
      </c>
    </row>
    <row r="3518" spans="3:6" x14ac:dyDescent="0.25">
      <c r="C3518" s="2" t="s">
        <v>6943</v>
      </c>
      <c r="D3518" s="2" t="s">
        <v>82</v>
      </c>
      <c r="E3518" s="2">
        <v>121</v>
      </c>
      <c r="F3518" s="2">
        <v>2471.17</v>
      </c>
    </row>
    <row r="3519" spans="3:6" x14ac:dyDescent="0.25">
      <c r="C3519" s="2" t="s">
        <v>6944</v>
      </c>
      <c r="D3519" s="2" t="s">
        <v>82</v>
      </c>
      <c r="E3519" s="2">
        <v>121</v>
      </c>
      <c r="F3519" s="2">
        <v>2528.96</v>
      </c>
    </row>
    <row r="3520" spans="3:6" x14ac:dyDescent="0.25">
      <c r="C3520" s="2" t="s">
        <v>6945</v>
      </c>
      <c r="D3520" s="2" t="s">
        <v>82</v>
      </c>
      <c r="E3520" s="2">
        <v>141</v>
      </c>
      <c r="F3520" s="2">
        <v>2755.8</v>
      </c>
    </row>
    <row r="3521" spans="3:6" x14ac:dyDescent="0.25">
      <c r="C3521" s="2" t="s">
        <v>6946</v>
      </c>
      <c r="D3521" s="2" t="s">
        <v>82</v>
      </c>
      <c r="E3521" s="2">
        <v>121</v>
      </c>
      <c r="F3521" s="2">
        <v>2520.58</v>
      </c>
    </row>
    <row r="3522" spans="3:6" x14ac:dyDescent="0.25">
      <c r="C3522" s="2" t="s">
        <v>6947</v>
      </c>
      <c r="D3522" s="2" t="s">
        <v>82</v>
      </c>
      <c r="E3522" s="2">
        <v>102</v>
      </c>
      <c r="F3522" s="2">
        <v>2108.79</v>
      </c>
    </row>
    <row r="3523" spans="3:6" x14ac:dyDescent="0.25">
      <c r="C3523" s="2" t="s">
        <v>6948</v>
      </c>
      <c r="D3523" s="2" t="s">
        <v>82</v>
      </c>
      <c r="E3523" s="2">
        <v>70</v>
      </c>
      <c r="F3523" s="2">
        <v>1402.22</v>
      </c>
    </row>
    <row r="3524" spans="3:6" x14ac:dyDescent="0.25">
      <c r="C3524" s="2" t="s">
        <v>6949</v>
      </c>
      <c r="D3524" s="2" t="s">
        <v>82</v>
      </c>
      <c r="E3524" s="2">
        <v>32</v>
      </c>
      <c r="F3524" s="2">
        <v>666.75</v>
      </c>
    </row>
    <row r="3525" spans="3:6" x14ac:dyDescent="0.25">
      <c r="C3525" s="2" t="s">
        <v>6950</v>
      </c>
      <c r="D3525" s="2" t="s">
        <v>82</v>
      </c>
      <c r="E3525" s="2">
        <v>52</v>
      </c>
      <c r="F3525" s="2">
        <v>231.5</v>
      </c>
    </row>
    <row r="3526" spans="3:6" x14ac:dyDescent="0.25">
      <c r="C3526" s="2" t="s">
        <v>6951</v>
      </c>
      <c r="D3526" s="2" t="s">
        <v>82</v>
      </c>
      <c r="E3526" s="2">
        <v>71</v>
      </c>
      <c r="F3526" s="2">
        <v>1270.41</v>
      </c>
    </row>
    <row r="3527" spans="3:6" x14ac:dyDescent="0.25">
      <c r="C3527" s="2" t="s">
        <v>6952</v>
      </c>
      <c r="D3527" s="2" t="s">
        <v>82</v>
      </c>
      <c r="E3527" s="2">
        <v>98</v>
      </c>
      <c r="F3527" s="2">
        <v>1792.26</v>
      </c>
    </row>
    <row r="3528" spans="3:6" x14ac:dyDescent="0.25">
      <c r="C3528" s="2" t="s">
        <v>6953</v>
      </c>
      <c r="D3528" s="2" t="s">
        <v>82</v>
      </c>
      <c r="E3528" s="2">
        <v>34</v>
      </c>
      <c r="F3528" s="2">
        <v>688.78</v>
      </c>
    </row>
    <row r="3529" spans="3:6" x14ac:dyDescent="0.25">
      <c r="C3529" s="2" t="s">
        <v>6954</v>
      </c>
      <c r="D3529" s="2" t="s">
        <v>82</v>
      </c>
      <c r="E3529" s="2">
        <v>18</v>
      </c>
      <c r="F3529" s="2">
        <v>330.64</v>
      </c>
    </row>
    <row r="3530" spans="3:6" x14ac:dyDescent="0.25">
      <c r="C3530" s="2" t="s">
        <v>6955</v>
      </c>
      <c r="D3530" s="2" t="s">
        <v>82</v>
      </c>
      <c r="E3530" s="2">
        <v>26</v>
      </c>
      <c r="F3530" s="2">
        <v>513.92</v>
      </c>
    </row>
    <row r="3531" spans="3:6" x14ac:dyDescent="0.25">
      <c r="C3531" s="2" t="s">
        <v>6956</v>
      </c>
      <c r="D3531" s="2" t="s">
        <v>82</v>
      </c>
      <c r="E3531" s="2">
        <v>67</v>
      </c>
      <c r="F3531" s="2">
        <v>1200.199</v>
      </c>
    </row>
    <row r="3532" spans="3:6" x14ac:dyDescent="0.25">
      <c r="C3532" s="2" t="s">
        <v>6957</v>
      </c>
      <c r="D3532" s="2" t="s">
        <v>82</v>
      </c>
      <c r="E3532" s="2">
        <v>81</v>
      </c>
      <c r="F3532" s="2">
        <v>1569.43</v>
      </c>
    </row>
    <row r="3533" spans="3:6" x14ac:dyDescent="0.25">
      <c r="C3533" s="2" t="s">
        <v>6958</v>
      </c>
      <c r="D3533" s="2" t="s">
        <v>82</v>
      </c>
      <c r="E3533" s="2">
        <v>36</v>
      </c>
      <c r="F3533" s="2">
        <v>714.46</v>
      </c>
    </row>
    <row r="3534" spans="3:6" x14ac:dyDescent="0.25">
      <c r="C3534" s="2" t="s">
        <v>6959</v>
      </c>
      <c r="D3534" s="2" t="s">
        <v>82</v>
      </c>
      <c r="E3534" s="2">
        <v>35</v>
      </c>
      <c r="F3534" s="2">
        <v>660.52</v>
      </c>
    </row>
    <row r="3535" spans="3:6" x14ac:dyDescent="0.25">
      <c r="C3535" s="2" t="s">
        <v>6960</v>
      </c>
      <c r="D3535" s="2" t="s">
        <v>82</v>
      </c>
      <c r="E3535" s="2">
        <v>23</v>
      </c>
      <c r="F3535" s="2">
        <v>755.189</v>
      </c>
    </row>
    <row r="3536" spans="3:6" x14ac:dyDescent="0.25">
      <c r="C3536" s="2" t="s">
        <v>6961</v>
      </c>
      <c r="D3536" s="2" t="s">
        <v>82</v>
      </c>
      <c r="E3536" s="2">
        <v>32</v>
      </c>
      <c r="F3536" s="2">
        <v>630.69</v>
      </c>
    </row>
    <row r="3537" spans="3:6" x14ac:dyDescent="0.25">
      <c r="C3537" s="2" t="s">
        <v>6962</v>
      </c>
      <c r="D3537" s="2" t="s">
        <v>82</v>
      </c>
      <c r="E3537" s="2">
        <v>9</v>
      </c>
      <c r="F3537" s="2">
        <v>166.67</v>
      </c>
    </row>
    <row r="3538" spans="3:6" x14ac:dyDescent="0.25">
      <c r="C3538" s="2" t="s">
        <v>6963</v>
      </c>
      <c r="D3538" s="2" t="s">
        <v>82</v>
      </c>
      <c r="E3538" s="2">
        <v>44</v>
      </c>
      <c r="F3538" s="2">
        <v>1130.27</v>
      </c>
    </row>
    <row r="3539" spans="3:6" x14ac:dyDescent="0.25">
      <c r="C3539" s="2" t="s">
        <v>6964</v>
      </c>
      <c r="D3539" s="2" t="s">
        <v>82</v>
      </c>
      <c r="E3539" s="2">
        <v>60</v>
      </c>
      <c r="F3539" s="2">
        <v>1243.34</v>
      </c>
    </row>
    <row r="3540" spans="3:6" x14ac:dyDescent="0.25">
      <c r="C3540" s="2" t="s">
        <v>6965</v>
      </c>
      <c r="D3540" s="2" t="s">
        <v>82</v>
      </c>
      <c r="E3540" s="2">
        <v>29</v>
      </c>
      <c r="F3540" s="2">
        <v>583.17</v>
      </c>
    </row>
    <row r="3541" spans="3:6" x14ac:dyDescent="0.25">
      <c r="C3541" s="2" t="s">
        <v>6966</v>
      </c>
      <c r="D3541" s="2" t="s">
        <v>82</v>
      </c>
      <c r="E3541" s="2">
        <v>75</v>
      </c>
      <c r="F3541" s="2">
        <v>1476.55</v>
      </c>
    </row>
    <row r="3542" spans="3:6" x14ac:dyDescent="0.25">
      <c r="C3542" s="2" t="s">
        <v>6967</v>
      </c>
      <c r="D3542" s="2" t="s">
        <v>82</v>
      </c>
      <c r="E3542" s="2">
        <v>103</v>
      </c>
      <c r="F3542" s="2">
        <v>2066.99</v>
      </c>
    </row>
    <row r="3543" spans="3:6" x14ac:dyDescent="0.25">
      <c r="C3543" s="2" t="s">
        <v>6968</v>
      </c>
      <c r="D3543" s="2" t="s">
        <v>82</v>
      </c>
      <c r="E3543" s="2">
        <v>25</v>
      </c>
      <c r="F3543" s="2">
        <v>449.26</v>
      </c>
    </row>
    <row r="3544" spans="3:6" x14ac:dyDescent="0.25">
      <c r="C3544" s="2" t="s">
        <v>6969</v>
      </c>
      <c r="D3544" s="2" t="s">
        <v>82</v>
      </c>
      <c r="E3544" s="2">
        <v>13</v>
      </c>
      <c r="F3544" s="2">
        <v>259.67</v>
      </c>
    </row>
    <row r="3545" spans="3:6" x14ac:dyDescent="0.25">
      <c r="C3545" s="2" t="s">
        <v>6970</v>
      </c>
      <c r="D3545" s="2" t="s">
        <v>82</v>
      </c>
      <c r="E3545" s="2">
        <v>81</v>
      </c>
      <c r="F3545" s="2">
        <v>1664.289</v>
      </c>
    </row>
    <row r="3546" spans="3:6" x14ac:dyDescent="0.25">
      <c r="C3546" s="2" t="s">
        <v>6971</v>
      </c>
      <c r="D3546" s="2" t="s">
        <v>82</v>
      </c>
      <c r="E3546" s="2">
        <v>60</v>
      </c>
      <c r="F3546" s="2">
        <v>1203.57</v>
      </c>
    </row>
    <row r="3547" spans="3:6" x14ac:dyDescent="0.25">
      <c r="C3547" s="2" t="s">
        <v>6972</v>
      </c>
      <c r="D3547" s="2" t="s">
        <v>82</v>
      </c>
      <c r="E3547" s="2">
        <v>141</v>
      </c>
      <c r="F3547" s="2">
        <v>2824.84</v>
      </c>
    </row>
    <row r="3548" spans="3:6" x14ac:dyDescent="0.25">
      <c r="C3548" s="2" t="s">
        <v>6973</v>
      </c>
      <c r="D3548" s="2" t="s">
        <v>82</v>
      </c>
      <c r="E3548" s="2">
        <v>141</v>
      </c>
      <c r="F3548" s="2">
        <v>2752.999</v>
      </c>
    </row>
    <row r="3550" spans="1:7" x14ac:dyDescent="0.25">
      <c r="A3550" s="1">
        <v>46200</v>
      </c>
      <c r="B3550" s="2" t="s">
        <v>7</v>
      </c>
      <c r="C3550" s="2" t="s">
        <v>6974</v>
      </c>
      <c r="D3550" s="2" t="s">
        <v>9</v>
      </c>
      <c r="E3550" s="2">
        <v>88</v>
      </c>
      <c r="F3550" s="2">
        <v>1831.4</v>
      </c>
      <c r="G3550" s="1">
        <v>46199</v>
      </c>
    </row>
    <row r="3551" spans="3:6" x14ac:dyDescent="0.25">
      <c r="C3551" s="2" t="s">
        <v>6975</v>
      </c>
      <c r="D3551" s="2" t="s">
        <v>9</v>
      </c>
      <c r="E3551" s="2">
        <v>88</v>
      </c>
      <c r="F3551" s="2">
        <v>1819.06</v>
      </c>
    </row>
    <row r="3553" spans="1:7" x14ac:dyDescent="0.25">
      <c r="A3553" s="1">
        <v>46200</v>
      </c>
      <c r="B3553" s="2" t="s">
        <v>2368</v>
      </c>
      <c r="C3553" s="2" t="s">
        <v>6976</v>
      </c>
      <c r="D3553" s="2" t="s">
        <v>292</v>
      </c>
      <c r="E3553" s="2">
        <v>96</v>
      </c>
      <c r="F3553" s="2">
        <v>1503.552</v>
      </c>
      <c r="G3553" s="1">
        <v>46199</v>
      </c>
    </row>
    <row r="3555" spans="1:7" x14ac:dyDescent="0.25">
      <c r="A3555" s="1">
        <v>46200</v>
      </c>
      <c r="B3555" s="2" t="s">
        <v>12</v>
      </c>
      <c r="C3555" s="2" t="s">
        <v>6977</v>
      </c>
      <c r="D3555" s="2" t="s">
        <v>15</v>
      </c>
      <c r="E3555" s="2">
        <v>156</v>
      </c>
      <c r="F3555" s="2">
        <v>3038.57</v>
      </c>
      <c r="G3555" s="1">
        <v>46200</v>
      </c>
    </row>
    <row r="3556" spans="3:6" x14ac:dyDescent="0.25">
      <c r="C3556" s="2" t="s">
        <v>6978</v>
      </c>
      <c r="D3556" s="2" t="s">
        <v>15</v>
      </c>
      <c r="E3556" s="2">
        <v>163</v>
      </c>
      <c r="F3556" s="2">
        <v>3169.03</v>
      </c>
    </row>
    <row r="3557" spans="3:6" x14ac:dyDescent="0.25">
      <c r="C3557" s="2" t="s">
        <v>6979</v>
      </c>
      <c r="D3557" s="2" t="s">
        <v>15</v>
      </c>
      <c r="E3557" s="2">
        <v>163</v>
      </c>
      <c r="F3557" s="2">
        <v>3007.379</v>
      </c>
    </row>
    <row r="3558" spans="3:6" x14ac:dyDescent="0.25">
      <c r="C3558" s="2" t="s">
        <v>6980</v>
      </c>
      <c r="D3558" s="2" t="s">
        <v>15</v>
      </c>
      <c r="E3558" s="2">
        <v>295</v>
      </c>
      <c r="F3558" s="2">
        <v>770.843</v>
      </c>
    </row>
    <row r="3559" spans="3:5" x14ac:dyDescent="0.25">
      <c r="C3559" s="2" t="s">
        <v>6981</v>
      </c>
      <c r="D3559" s="2" t="s">
        <v>15</v>
      </c>
      <c r="E3559" s="2">
        <v>71</v>
      </c>
    </row>
    <row r="3560" spans="3:6" x14ac:dyDescent="0.25">
      <c r="C3560" s="2" t="s">
        <v>6982</v>
      </c>
      <c r="D3560" s="2" t="s">
        <v>15</v>
      </c>
      <c r="E3560" s="2">
        <v>92</v>
      </c>
      <c r="F3560" s="2">
        <v>1738.57</v>
      </c>
    </row>
    <row r="3561" spans="3:6" x14ac:dyDescent="0.25">
      <c r="C3561" s="2" t="s">
        <v>6983</v>
      </c>
      <c r="D3561" s="2" t="s">
        <v>15</v>
      </c>
      <c r="E3561" s="2">
        <v>105</v>
      </c>
      <c r="F3561" s="2">
        <v>2076.18</v>
      </c>
    </row>
    <row r="3562" spans="3:6" x14ac:dyDescent="0.25">
      <c r="C3562" s="2" t="s">
        <v>6984</v>
      </c>
      <c r="D3562" s="2" t="s">
        <v>15</v>
      </c>
      <c r="E3562" s="2">
        <v>134</v>
      </c>
      <c r="F3562" s="2">
        <v>0</v>
      </c>
    </row>
    <row r="3563" spans="3:6" x14ac:dyDescent="0.25">
      <c r="C3563" s="2" t="s">
        <v>6985</v>
      </c>
      <c r="D3563" s="2" t="s">
        <v>15</v>
      </c>
      <c r="E3563" s="2">
        <v>105</v>
      </c>
      <c r="F3563" s="2">
        <v>0</v>
      </c>
    </row>
    <row r="3564" spans="3:6" x14ac:dyDescent="0.25">
      <c r="C3564" s="2" t="s">
        <v>6986</v>
      </c>
      <c r="D3564" s="2" t="s">
        <v>26</v>
      </c>
      <c r="E3564" s="2">
        <v>100</v>
      </c>
      <c r="F3564" s="2">
        <v>1986.51</v>
      </c>
    </row>
    <row r="3565" spans="3:6" x14ac:dyDescent="0.25">
      <c r="C3565" s="2" t="s">
        <v>6987</v>
      </c>
      <c r="D3565" s="2" t="s">
        <v>26</v>
      </c>
      <c r="E3565" s="2">
        <v>56</v>
      </c>
      <c r="F3565" s="2">
        <v>1122.73</v>
      </c>
    </row>
    <row r="3566" spans="3:6" x14ac:dyDescent="0.25">
      <c r="C3566" s="2" t="s">
        <v>6988</v>
      </c>
      <c r="D3566" s="2" t="s">
        <v>26</v>
      </c>
      <c r="E3566" s="2">
        <v>100</v>
      </c>
      <c r="F3566" s="2">
        <v>1935.899</v>
      </c>
    </row>
    <row r="3567" spans="3:6" x14ac:dyDescent="0.25">
      <c r="C3567" s="2" t="s">
        <v>6989</v>
      </c>
      <c r="D3567" s="2" t="s">
        <v>26</v>
      </c>
      <c r="E3567" s="2">
        <v>56</v>
      </c>
      <c r="F3567" s="2">
        <v>1074.65</v>
      </c>
    </row>
    <row r="3568" spans="3:6" x14ac:dyDescent="0.25">
      <c r="C3568" s="2" t="s">
        <v>6990</v>
      </c>
      <c r="D3568" s="2" t="s">
        <v>26</v>
      </c>
      <c r="E3568" s="2">
        <v>56</v>
      </c>
      <c r="F3568" s="2">
        <v>0</v>
      </c>
    </row>
    <row r="3569" spans="3:6" x14ac:dyDescent="0.25">
      <c r="C3569" s="2" t="s">
        <v>6991</v>
      </c>
      <c r="D3569" s="2" t="s">
        <v>26</v>
      </c>
      <c r="E3569" s="2">
        <v>100</v>
      </c>
      <c r="F3569" s="2">
        <v>1936.47</v>
      </c>
    </row>
    <row r="3570" spans="3:6" x14ac:dyDescent="0.25">
      <c r="C3570" s="2" t="s">
        <v>6992</v>
      </c>
      <c r="D3570" s="2" t="s">
        <v>30</v>
      </c>
      <c r="E3570" s="2">
        <v>134</v>
      </c>
      <c r="F3570" s="2">
        <v>2730.32</v>
      </c>
    </row>
    <row r="3571" spans="3:6" x14ac:dyDescent="0.25">
      <c r="C3571" s="2" t="s">
        <v>6993</v>
      </c>
      <c r="D3571" s="2" t="s">
        <v>30</v>
      </c>
      <c r="E3571" s="2">
        <v>134</v>
      </c>
      <c r="F3571" s="2">
        <v>2760.46</v>
      </c>
    </row>
    <row r="3572" spans="3:6" x14ac:dyDescent="0.25">
      <c r="C3572" s="2" t="s">
        <v>6994</v>
      </c>
      <c r="D3572" s="2" t="s">
        <v>30</v>
      </c>
      <c r="E3572" s="2">
        <v>134</v>
      </c>
      <c r="F3572" s="2">
        <v>2753.86</v>
      </c>
    </row>
    <row r="3573" spans="3:6" x14ac:dyDescent="0.25">
      <c r="C3573" s="2" t="s">
        <v>6995</v>
      </c>
      <c r="D3573" s="2" t="s">
        <v>30</v>
      </c>
      <c r="E3573" s="2">
        <v>134</v>
      </c>
      <c r="F3573" s="2">
        <v>2533.09</v>
      </c>
    </row>
    <row r="3574" spans="3:6" x14ac:dyDescent="0.25">
      <c r="C3574" s="2" t="s">
        <v>6996</v>
      </c>
      <c r="D3574" s="2" t="s">
        <v>30</v>
      </c>
      <c r="E3574" s="2">
        <v>95</v>
      </c>
      <c r="F3574" s="2">
        <v>1947.189</v>
      </c>
    </row>
    <row r="3575" spans="3:6" x14ac:dyDescent="0.25">
      <c r="C3575" s="2" t="s">
        <v>6997</v>
      </c>
      <c r="D3575" s="2" t="s">
        <v>36</v>
      </c>
      <c r="E3575" s="2">
        <v>60</v>
      </c>
      <c r="F3575" s="2">
        <v>1083.04</v>
      </c>
    </row>
    <row r="3576" spans="3:6" x14ac:dyDescent="0.25">
      <c r="C3576" s="2" t="s">
        <v>6998</v>
      </c>
      <c r="D3576" s="2" t="s">
        <v>36</v>
      </c>
      <c r="E3576" s="2">
        <v>45</v>
      </c>
      <c r="F3576" s="2">
        <v>820.209</v>
      </c>
    </row>
    <row r="3577" spans="3:6" x14ac:dyDescent="0.25">
      <c r="C3577" s="2" t="s">
        <v>6999</v>
      </c>
      <c r="D3577" s="2" t="s">
        <v>36</v>
      </c>
      <c r="E3577" s="2">
        <v>60</v>
      </c>
      <c r="F3577" s="2">
        <v>1061</v>
      </c>
    </row>
    <row r="3578" spans="3:6" x14ac:dyDescent="0.25">
      <c r="C3578" s="2" t="s">
        <v>7000</v>
      </c>
      <c r="D3578" s="2" t="s">
        <v>36</v>
      </c>
      <c r="E3578" s="2">
        <v>45</v>
      </c>
      <c r="F3578" s="2">
        <v>850.628</v>
      </c>
    </row>
    <row r="3579" spans="3:6" x14ac:dyDescent="0.25">
      <c r="C3579" s="2" t="s">
        <v>7001</v>
      </c>
      <c r="D3579" s="2" t="s">
        <v>36</v>
      </c>
      <c r="E3579" s="2">
        <v>80</v>
      </c>
      <c r="F3579" s="2">
        <v>1656.12</v>
      </c>
    </row>
    <row r="3580" spans="3:5" x14ac:dyDescent="0.25">
      <c r="C3580" s="2" t="s">
        <v>7002</v>
      </c>
      <c r="D3580" s="2" t="s">
        <v>36</v>
      </c>
      <c r="E3580" s="2">
        <v>9</v>
      </c>
    </row>
    <row r="3581" spans="3:6" x14ac:dyDescent="0.25">
      <c r="C3581" s="2" t="s">
        <v>7003</v>
      </c>
      <c r="D3581" s="2" t="s">
        <v>36</v>
      </c>
      <c r="E3581" s="2">
        <v>16</v>
      </c>
      <c r="F3581" s="2">
        <v>326.26</v>
      </c>
    </row>
    <row r="3582" spans="3:6" x14ac:dyDescent="0.25">
      <c r="C3582" s="2" t="s">
        <v>7004</v>
      </c>
      <c r="D3582" s="2" t="s">
        <v>36</v>
      </c>
      <c r="E3582" s="2">
        <v>25</v>
      </c>
      <c r="F3582" s="2">
        <v>505.78</v>
      </c>
    </row>
    <row r="3583" spans="3:6" x14ac:dyDescent="0.25">
      <c r="C3583" s="2" t="s">
        <v>7005</v>
      </c>
      <c r="D3583" s="2" t="s">
        <v>36</v>
      </c>
      <c r="E3583" s="2">
        <v>80</v>
      </c>
      <c r="F3583" s="2">
        <v>1630.669</v>
      </c>
    </row>
    <row r="3584" spans="3:6" x14ac:dyDescent="0.25">
      <c r="C3584" s="2" t="s">
        <v>6765</v>
      </c>
      <c r="D3584" s="2" t="s">
        <v>136</v>
      </c>
      <c r="E3584" s="2">
        <v>104</v>
      </c>
      <c r="F3584" s="2">
        <v>1882.369</v>
      </c>
    </row>
    <row r="3585" spans="3:6" x14ac:dyDescent="0.25">
      <c r="C3585" s="2" t="s">
        <v>6766</v>
      </c>
      <c r="D3585" s="2" t="s">
        <v>136</v>
      </c>
      <c r="E3585" s="2">
        <v>52</v>
      </c>
      <c r="F3585" s="2">
        <v>882.84</v>
      </c>
    </row>
    <row r="3586" spans="3:6" x14ac:dyDescent="0.25">
      <c r="C3586" s="2" t="s">
        <v>7006</v>
      </c>
      <c r="D3586" s="2" t="s">
        <v>42</v>
      </c>
      <c r="E3586" s="2">
        <v>30</v>
      </c>
      <c r="F3586" s="2">
        <v>539.82</v>
      </c>
    </row>
    <row r="3587" spans="3:6" x14ac:dyDescent="0.25">
      <c r="C3587" s="2" t="s">
        <v>7007</v>
      </c>
      <c r="D3587" s="2" t="s">
        <v>42</v>
      </c>
      <c r="E3587" s="2">
        <v>100</v>
      </c>
      <c r="F3587" s="2">
        <v>1927.49</v>
      </c>
    </row>
    <row r="3588" spans="3:6" x14ac:dyDescent="0.25">
      <c r="C3588" s="2" t="s">
        <v>7008</v>
      </c>
      <c r="D3588" s="2" t="s">
        <v>42</v>
      </c>
      <c r="E3588" s="2">
        <v>27</v>
      </c>
      <c r="F3588" s="2">
        <v>494.55</v>
      </c>
    </row>
    <row r="3590" spans="2:6" x14ac:dyDescent="0.25">
      <c r="B3590" s="2" t="s">
        <v>48</v>
      </c>
      <c r="C3590" s="2" t="s">
        <v>7009</v>
      </c>
      <c r="D3590" s="2" t="s">
        <v>30</v>
      </c>
      <c r="E3590" s="2">
        <v>150</v>
      </c>
      <c r="F3590" s="2">
        <v>2791.12</v>
      </c>
    </row>
    <row r="3591" spans="3:6" x14ac:dyDescent="0.25">
      <c r="C3591" s="2" t="s">
        <v>7010</v>
      </c>
      <c r="D3591" s="2" t="s">
        <v>26</v>
      </c>
      <c r="E3591" s="2">
        <v>106</v>
      </c>
      <c r="F3591" s="2">
        <v>1701.309</v>
      </c>
    </row>
    <row r="3592" spans="3:6" x14ac:dyDescent="0.25">
      <c r="C3592" s="2" t="s">
        <v>7011</v>
      </c>
      <c r="D3592" s="2" t="s">
        <v>15</v>
      </c>
      <c r="E3592" s="2">
        <v>106</v>
      </c>
      <c r="F3592" s="2">
        <v>1892.52</v>
      </c>
    </row>
    <row r="3593" spans="3:6" x14ac:dyDescent="0.25">
      <c r="C3593" s="2" t="s">
        <v>7012</v>
      </c>
      <c r="D3593" s="2" t="s">
        <v>15</v>
      </c>
      <c r="E3593" s="2">
        <v>156</v>
      </c>
      <c r="F3593" s="2">
        <v>2854.527</v>
      </c>
    </row>
    <row r="3594" spans="3:6" x14ac:dyDescent="0.25">
      <c r="C3594" s="2" t="s">
        <v>7013</v>
      </c>
      <c r="D3594" s="2" t="s">
        <v>30</v>
      </c>
      <c r="E3594" s="2">
        <v>19</v>
      </c>
      <c r="F3594" s="2">
        <v>274.4</v>
      </c>
    </row>
    <row r="3595" spans="3:6" x14ac:dyDescent="0.25">
      <c r="C3595" s="2" t="s">
        <v>7014</v>
      </c>
      <c r="D3595" s="2" t="s">
        <v>30</v>
      </c>
      <c r="E3595" s="2">
        <v>137</v>
      </c>
      <c r="F3595" s="2">
        <v>2473.399</v>
      </c>
    </row>
    <row r="3597" spans="1:7" x14ac:dyDescent="0.25">
      <c r="A3597" s="1">
        <v>46200</v>
      </c>
      <c r="B3597" s="2" t="s">
        <v>57</v>
      </c>
      <c r="C3597" s="2" t="s">
        <v>7015</v>
      </c>
      <c r="D3597" s="2" t="s">
        <v>59</v>
      </c>
      <c r="E3597" s="2">
        <v>105</v>
      </c>
      <c r="F3597" s="2">
        <v>2059.079</v>
      </c>
      <c r="G3597" s="1">
        <v>46199</v>
      </c>
    </row>
    <row r="3598" spans="3:6" x14ac:dyDescent="0.25">
      <c r="C3598" s="2" t="s">
        <v>7016</v>
      </c>
      <c r="D3598" s="2" t="s">
        <v>59</v>
      </c>
      <c r="E3598" s="2">
        <v>105</v>
      </c>
      <c r="F3598" s="2">
        <v>2036.68</v>
      </c>
    </row>
    <row r="3599" spans="3:6" x14ac:dyDescent="0.25">
      <c r="C3599" s="2" t="s">
        <v>7017</v>
      </c>
      <c r="D3599" s="2" t="s">
        <v>59</v>
      </c>
      <c r="E3599" s="2">
        <v>210</v>
      </c>
      <c r="F3599" s="2">
        <v>4024.019</v>
      </c>
    </row>
    <row r="3600" spans="3:6" x14ac:dyDescent="0.25">
      <c r="C3600" s="2" t="s">
        <v>7018</v>
      </c>
      <c r="D3600" s="2" t="s">
        <v>59</v>
      </c>
      <c r="E3600" s="2">
        <v>163</v>
      </c>
      <c r="F3600" s="2">
        <v>3053.5</v>
      </c>
    </row>
    <row r="3601" spans="3:6" x14ac:dyDescent="0.25">
      <c r="C3601" s="2" t="s">
        <v>7019</v>
      </c>
      <c r="D3601" s="2" t="s">
        <v>59</v>
      </c>
      <c r="E3601" s="2">
        <v>256</v>
      </c>
      <c r="F3601" s="2">
        <v>4012.297</v>
      </c>
    </row>
    <row r="3602" spans="3:6" x14ac:dyDescent="0.25">
      <c r="C3602" s="2" t="s">
        <v>7020</v>
      </c>
      <c r="D3602" s="2" t="s">
        <v>59</v>
      </c>
      <c r="E3602" s="2">
        <v>163</v>
      </c>
      <c r="F3602" s="2">
        <v>3041.319</v>
      </c>
    </row>
    <row r="3603" spans="3:6" x14ac:dyDescent="0.25">
      <c r="C3603" s="2" t="s">
        <v>7021</v>
      </c>
      <c r="D3603" s="2" t="s">
        <v>59</v>
      </c>
      <c r="E3603" s="2">
        <v>163</v>
      </c>
      <c r="F3603" s="2">
        <v>3145.517</v>
      </c>
    </row>
    <row r="3604" spans="3:6" x14ac:dyDescent="0.25">
      <c r="C3604" s="2" t="s">
        <v>7022</v>
      </c>
      <c r="D3604" s="2" t="s">
        <v>59</v>
      </c>
      <c r="E3604" s="2">
        <v>268</v>
      </c>
      <c r="F3604" s="2">
        <v>5423.6</v>
      </c>
    </row>
    <row r="3606" spans="1:7" x14ac:dyDescent="0.25">
      <c r="A3606" s="1">
        <v>46200</v>
      </c>
      <c r="B3606" s="2" t="s">
        <v>7023</v>
      </c>
      <c r="C3606" s="2" t="s">
        <v>7024</v>
      </c>
      <c r="D3606" s="2" t="s">
        <v>59</v>
      </c>
      <c r="E3606" s="2">
        <v>90</v>
      </c>
      <c r="F3606" s="2">
        <v>1812.36</v>
      </c>
      <c r="G3606" s="1">
        <v>46200</v>
      </c>
    </row>
    <row r="3607" spans="3:6" x14ac:dyDescent="0.25">
      <c r="C3607" s="2" t="s">
        <v>7025</v>
      </c>
      <c r="D3607" s="2" t="s">
        <v>59</v>
      </c>
      <c r="E3607" s="2">
        <v>89</v>
      </c>
      <c r="F3607" s="2">
        <v>1843.05</v>
      </c>
    </row>
    <row r="3608" spans="3:6" x14ac:dyDescent="0.25">
      <c r="C3608" s="2" t="s">
        <v>7026</v>
      </c>
      <c r="D3608" s="2" t="s">
        <v>59</v>
      </c>
      <c r="E3608" s="2">
        <v>163</v>
      </c>
      <c r="F3608" s="2">
        <v>3180.059</v>
      </c>
    </row>
    <row r="3609" spans="3:6" x14ac:dyDescent="0.25">
      <c r="C3609" s="2" t="s">
        <v>7027</v>
      </c>
      <c r="D3609" s="2" t="s">
        <v>59</v>
      </c>
      <c r="E3609" s="2">
        <v>163</v>
      </c>
      <c r="F3609" s="2">
        <v>3059.768</v>
      </c>
    </row>
    <row r="3610" spans="3:6" x14ac:dyDescent="0.25">
      <c r="C3610" s="2" t="s">
        <v>7028</v>
      </c>
      <c r="D3610" s="2" t="s">
        <v>59</v>
      </c>
      <c r="E3610" s="2">
        <v>268</v>
      </c>
      <c r="F3610" s="2">
        <v>5194.079</v>
      </c>
    </row>
    <row r="3611" spans="3:6" x14ac:dyDescent="0.25">
      <c r="C3611" s="2" t="s">
        <v>7029</v>
      </c>
      <c r="D3611" s="2" t="s">
        <v>59</v>
      </c>
      <c r="E3611" s="2">
        <v>158</v>
      </c>
      <c r="F3611" s="2">
        <v>2966.51</v>
      </c>
    </row>
    <row r="3612" spans="3:6" x14ac:dyDescent="0.25">
      <c r="C3612" s="2" t="s">
        <v>7030</v>
      </c>
      <c r="D3612" s="2" t="s">
        <v>59</v>
      </c>
      <c r="E3612" s="2">
        <v>268</v>
      </c>
      <c r="F3612" s="2">
        <v>5175.718</v>
      </c>
    </row>
    <row r="3613" spans="3:6" x14ac:dyDescent="0.25">
      <c r="C3613" s="2" t="s">
        <v>7031</v>
      </c>
      <c r="D3613" s="2" t="s">
        <v>59</v>
      </c>
      <c r="E3613" s="2">
        <v>73</v>
      </c>
      <c r="F3613" s="2">
        <v>1342.7</v>
      </c>
    </row>
    <row r="3614" spans="3:6" x14ac:dyDescent="0.25">
      <c r="C3614" s="2" t="s">
        <v>7032</v>
      </c>
      <c r="D3614" s="2" t="s">
        <v>59</v>
      </c>
      <c r="E3614" s="2">
        <v>163</v>
      </c>
      <c r="F3614" s="2">
        <v>3015.689</v>
      </c>
    </row>
    <row r="3615" spans="3:6" x14ac:dyDescent="0.25">
      <c r="C3615" s="2" t="s">
        <v>7033</v>
      </c>
      <c r="D3615" s="2" t="s">
        <v>59</v>
      </c>
      <c r="E3615" s="2">
        <v>95</v>
      </c>
      <c r="F3615" s="2">
        <v>1577.199</v>
      </c>
    </row>
    <row r="3617" spans="1:7" x14ac:dyDescent="0.25">
      <c r="A3617" s="1">
        <v>46201</v>
      </c>
      <c r="B3617" s="2" t="s">
        <v>71</v>
      </c>
      <c r="C3617" s="2" t="s">
        <v>7034</v>
      </c>
      <c r="D3617" s="2" t="s">
        <v>73</v>
      </c>
      <c r="E3617" s="2">
        <v>94</v>
      </c>
      <c r="F3617" s="2">
        <v>1852.218</v>
      </c>
      <c r="G3617" s="1">
        <v>46200</v>
      </c>
    </row>
    <row r="3618" spans="3:6" x14ac:dyDescent="0.25">
      <c r="C3618" s="2" t="s">
        <v>7035</v>
      </c>
      <c r="D3618" s="2" t="s">
        <v>73</v>
      </c>
      <c r="E3618" s="2">
        <v>53</v>
      </c>
      <c r="F3618" s="2">
        <v>957.66</v>
      </c>
    </row>
    <row r="3619" spans="3:6" x14ac:dyDescent="0.25">
      <c r="C3619" s="2" t="s">
        <v>7036</v>
      </c>
      <c r="D3619" s="2" t="s">
        <v>73</v>
      </c>
      <c r="E3619" s="2">
        <v>47</v>
      </c>
      <c r="F3619" s="2">
        <v>903.6</v>
      </c>
    </row>
    <row r="3620" spans="3:6" x14ac:dyDescent="0.25">
      <c r="C3620" s="2" t="s">
        <v>7037</v>
      </c>
      <c r="D3620" s="2" t="s">
        <v>73</v>
      </c>
      <c r="E3620" s="2">
        <v>47</v>
      </c>
      <c r="F3620" s="2">
        <v>863.38</v>
      </c>
    </row>
    <row r="3621" spans="3:6" x14ac:dyDescent="0.25">
      <c r="C3621" s="2" t="s">
        <v>7038</v>
      </c>
      <c r="D3621" s="2" t="s">
        <v>73</v>
      </c>
      <c r="E3621" s="2">
        <v>13</v>
      </c>
      <c r="F3621" s="2">
        <v>276.05</v>
      </c>
    </row>
    <row r="3622" spans="3:6" x14ac:dyDescent="0.25">
      <c r="C3622" s="2" t="s">
        <v>7039</v>
      </c>
      <c r="D3622" s="2" t="s">
        <v>73</v>
      </c>
      <c r="E3622" s="2">
        <v>28</v>
      </c>
      <c r="F3622" s="2">
        <v>580.82</v>
      </c>
    </row>
    <row r="3624" spans="1:7" x14ac:dyDescent="0.25">
      <c r="A3624" s="1">
        <v>46201</v>
      </c>
      <c r="B3624" s="2" t="s">
        <v>1032</v>
      </c>
      <c r="C3624" s="2" t="s">
        <v>7040</v>
      </c>
      <c r="D3624" s="2" t="s">
        <v>73</v>
      </c>
      <c r="E3624" s="2">
        <v>96</v>
      </c>
      <c r="F3624" s="2">
        <v>1846.13</v>
      </c>
      <c r="G3624" s="1">
        <v>46202</v>
      </c>
    </row>
    <row r="3625" spans="3:6" x14ac:dyDescent="0.25">
      <c r="C3625" s="2" t="s">
        <v>7041</v>
      </c>
      <c r="D3625" s="2" t="s">
        <v>73</v>
      </c>
      <c r="E3625" s="2">
        <v>87</v>
      </c>
      <c r="F3625" s="2">
        <v>1744.22</v>
      </c>
    </row>
    <row r="3626" spans="3:6" x14ac:dyDescent="0.25">
      <c r="C3626" s="2" t="s">
        <v>7042</v>
      </c>
      <c r="D3626" s="2" t="s">
        <v>73</v>
      </c>
      <c r="E3626" s="2">
        <v>7</v>
      </c>
      <c r="F3626" s="2">
        <v>160.93</v>
      </c>
    </row>
    <row r="3627" spans="3:6" x14ac:dyDescent="0.25">
      <c r="C3627" s="2" t="s">
        <v>7043</v>
      </c>
      <c r="D3627" s="2" t="s">
        <v>73</v>
      </c>
      <c r="E3627" s="2">
        <v>53</v>
      </c>
      <c r="F3627" s="2">
        <v>957.27</v>
      </c>
    </row>
    <row r="3628" spans="3:6" x14ac:dyDescent="0.25">
      <c r="C3628" s="2" t="s">
        <v>7044</v>
      </c>
      <c r="D3628" s="2" t="s">
        <v>73</v>
      </c>
      <c r="E3628" s="2">
        <v>38</v>
      </c>
      <c r="F3628" s="2">
        <v>647.507</v>
      </c>
    </row>
    <row r="3630" spans="1:7" x14ac:dyDescent="0.25">
      <c r="A3630" s="1">
        <v>46201</v>
      </c>
      <c r="B3630" s="2" t="s">
        <v>495</v>
      </c>
      <c r="C3630" s="2" t="s">
        <v>7045</v>
      </c>
      <c r="D3630" s="2" t="s">
        <v>178</v>
      </c>
      <c r="E3630" s="2">
        <v>123</v>
      </c>
      <c r="F3630" s="2">
        <v>2419.86</v>
      </c>
      <c r="G3630" s="1">
        <v>46200</v>
      </c>
    </row>
    <row r="3631" spans="3:6" x14ac:dyDescent="0.25">
      <c r="C3631" s="2" t="s">
        <v>7046</v>
      </c>
      <c r="D3631" s="2" t="s">
        <v>178</v>
      </c>
      <c r="E3631" s="2">
        <v>124</v>
      </c>
      <c r="F3631" s="2">
        <v>2155.48</v>
      </c>
    </row>
    <row r="3632" spans="3:6" x14ac:dyDescent="0.25">
      <c r="C3632" s="2" t="s">
        <v>7047</v>
      </c>
      <c r="D3632" s="2" t="s">
        <v>178</v>
      </c>
      <c r="E3632" s="2">
        <v>134</v>
      </c>
      <c r="F3632" s="2">
        <v>2155.519</v>
      </c>
    </row>
    <row r="3633" spans="3:6" x14ac:dyDescent="0.25">
      <c r="C3633" s="2" t="s">
        <v>7048</v>
      </c>
      <c r="D3633" s="2" t="s">
        <v>178</v>
      </c>
      <c r="E3633" s="2">
        <v>57</v>
      </c>
      <c r="F3633" s="2">
        <v>1099.74</v>
      </c>
    </row>
    <row r="3634" spans="3:6" x14ac:dyDescent="0.25">
      <c r="C3634" s="2" t="s">
        <v>7049</v>
      </c>
      <c r="D3634" s="2" t="s">
        <v>178</v>
      </c>
      <c r="E3634" s="2">
        <v>66</v>
      </c>
      <c r="F3634" s="2">
        <v>1200.9</v>
      </c>
    </row>
    <row r="3635" spans="3:6" x14ac:dyDescent="0.25">
      <c r="C3635" s="2" t="s">
        <v>7050</v>
      </c>
      <c r="D3635" s="2" t="s">
        <v>178</v>
      </c>
      <c r="E3635" s="2">
        <v>141</v>
      </c>
      <c r="F3635" s="2">
        <v>2979.17</v>
      </c>
    </row>
    <row r="3636" spans="3:6" x14ac:dyDescent="0.25">
      <c r="C3636" s="2" t="s">
        <v>7051</v>
      </c>
      <c r="D3636" s="2" t="s">
        <v>178</v>
      </c>
      <c r="E3636" s="2">
        <v>141</v>
      </c>
      <c r="F3636" s="2">
        <v>2945.409</v>
      </c>
    </row>
    <row r="3637" spans="3:6" x14ac:dyDescent="0.25">
      <c r="C3637" s="2" t="s">
        <v>7052</v>
      </c>
      <c r="D3637" s="2" t="s">
        <v>178</v>
      </c>
      <c r="E3637" s="2">
        <v>143</v>
      </c>
      <c r="F3637" s="2">
        <v>2413.027</v>
      </c>
    </row>
    <row r="3638" spans="3:6" x14ac:dyDescent="0.25">
      <c r="C3638" s="2" t="s">
        <v>7053</v>
      </c>
      <c r="D3638" s="2" t="s">
        <v>178</v>
      </c>
      <c r="E3638" s="2">
        <v>141</v>
      </c>
      <c r="F3638" s="2">
        <v>2866.07</v>
      </c>
    </row>
    <row r="3639" spans="3:6" x14ac:dyDescent="0.25">
      <c r="C3639" s="2" t="s">
        <v>7054</v>
      </c>
      <c r="D3639" s="2" t="s">
        <v>178</v>
      </c>
      <c r="E3639" s="2">
        <v>102</v>
      </c>
      <c r="F3639" s="2">
        <v>2048.938</v>
      </c>
    </row>
    <row r="3640" spans="3:6" x14ac:dyDescent="0.25">
      <c r="C3640" s="2" t="s">
        <v>7055</v>
      </c>
      <c r="D3640" s="2" t="s">
        <v>178</v>
      </c>
      <c r="E3640" s="2">
        <v>45</v>
      </c>
      <c r="F3640" s="2">
        <v>190.44</v>
      </c>
    </row>
    <row r="3641" spans="3:6" x14ac:dyDescent="0.25">
      <c r="C3641" s="2" t="s">
        <v>7056</v>
      </c>
      <c r="D3641" s="2" t="s">
        <v>178</v>
      </c>
      <c r="E3641" s="2">
        <v>123</v>
      </c>
      <c r="F3641" s="2">
        <v>2465.31</v>
      </c>
    </row>
    <row r="3642" spans="3:6" x14ac:dyDescent="0.25">
      <c r="C3642" s="2" t="s">
        <v>7057</v>
      </c>
      <c r="D3642" s="2" t="s">
        <v>178</v>
      </c>
      <c r="E3642" s="2">
        <v>62</v>
      </c>
      <c r="F3642" s="2">
        <v>1115.37</v>
      </c>
    </row>
    <row r="3643" spans="3:6" x14ac:dyDescent="0.25">
      <c r="C3643" s="2" t="s">
        <v>7058</v>
      </c>
      <c r="D3643" s="2" t="s">
        <v>178</v>
      </c>
      <c r="E3643" s="2">
        <v>81</v>
      </c>
      <c r="F3643" s="2">
        <v>1420.229</v>
      </c>
    </row>
    <row r="3644" spans="3:6" x14ac:dyDescent="0.25">
      <c r="C3644" s="2" t="s">
        <v>7059</v>
      </c>
      <c r="D3644" s="2" t="s">
        <v>178</v>
      </c>
      <c r="E3644" s="2">
        <v>48</v>
      </c>
      <c r="F3644" s="2">
        <v>808.91</v>
      </c>
    </row>
    <row r="3645" spans="3:6" x14ac:dyDescent="0.25">
      <c r="C3645" s="2" t="s">
        <v>7060</v>
      </c>
      <c r="D3645" s="2" t="s">
        <v>178</v>
      </c>
      <c r="E3645" s="2">
        <v>93</v>
      </c>
      <c r="F3645" s="2">
        <v>1587.199</v>
      </c>
    </row>
    <row r="3646" spans="3:6" x14ac:dyDescent="0.25">
      <c r="C3646" s="2" t="s">
        <v>7061</v>
      </c>
      <c r="D3646" s="2" t="s">
        <v>178</v>
      </c>
      <c r="E3646" s="2">
        <v>141</v>
      </c>
      <c r="F3646" s="2">
        <v>2684.78</v>
      </c>
    </row>
    <row r="3647" spans="3:6" x14ac:dyDescent="0.25">
      <c r="C3647" s="2" t="s">
        <v>7062</v>
      </c>
      <c r="D3647" s="2" t="s">
        <v>178</v>
      </c>
      <c r="E3647" s="2">
        <v>45</v>
      </c>
      <c r="F3647" s="2">
        <v>188.45</v>
      </c>
    </row>
    <row r="3648" spans="3:6" x14ac:dyDescent="0.25">
      <c r="C3648" s="2" t="s">
        <v>7063</v>
      </c>
      <c r="D3648" s="2" t="s">
        <v>178</v>
      </c>
      <c r="E3648" s="2">
        <v>30</v>
      </c>
      <c r="F3648" s="2">
        <v>132.739</v>
      </c>
    </row>
    <row r="3649" spans="3:6" x14ac:dyDescent="0.25">
      <c r="C3649" s="2" t="s">
        <v>7064</v>
      </c>
      <c r="D3649" s="2" t="s">
        <v>178</v>
      </c>
      <c r="E3649" s="2">
        <v>141</v>
      </c>
      <c r="F3649" s="2">
        <v>2908.49</v>
      </c>
    </row>
    <row r="3650" spans="3:6" x14ac:dyDescent="0.25">
      <c r="C3650" s="2" t="s">
        <v>7065</v>
      </c>
      <c r="D3650" s="2" t="s">
        <v>178</v>
      </c>
      <c r="E3650" s="2">
        <v>141</v>
      </c>
      <c r="F3650" s="2">
        <v>2837.87</v>
      </c>
    </row>
    <row r="3651" spans="3:6" x14ac:dyDescent="0.25">
      <c r="C3651" s="2" t="s">
        <v>7066</v>
      </c>
      <c r="D3651" s="2" t="s">
        <v>178</v>
      </c>
      <c r="E3651" s="2">
        <v>102</v>
      </c>
      <c r="F3651" s="2">
        <v>2060.51</v>
      </c>
    </row>
    <row r="3652" spans="3:6" x14ac:dyDescent="0.25">
      <c r="C3652" s="2" t="s">
        <v>7067</v>
      </c>
      <c r="D3652" s="2" t="s">
        <v>178</v>
      </c>
      <c r="E3652" s="2">
        <v>141</v>
      </c>
      <c r="F3652" s="2">
        <v>2877.02</v>
      </c>
    </row>
    <row r="3653" spans="3:6" x14ac:dyDescent="0.25">
      <c r="C3653" s="2" t="s">
        <v>7068</v>
      </c>
      <c r="D3653" s="2" t="s">
        <v>178</v>
      </c>
      <c r="E3653" s="2">
        <v>102</v>
      </c>
      <c r="F3653" s="2">
        <v>1868.76</v>
      </c>
    </row>
    <row r="3654" spans="3:6" x14ac:dyDescent="0.25">
      <c r="C3654" s="2" t="s">
        <v>7069</v>
      </c>
      <c r="D3654" s="2" t="s">
        <v>178</v>
      </c>
      <c r="E3654" s="2">
        <v>71</v>
      </c>
      <c r="F3654" s="2">
        <v>1258.96</v>
      </c>
    </row>
    <row r="3655" spans="3:6" x14ac:dyDescent="0.25">
      <c r="C3655" s="2" t="s">
        <v>7070</v>
      </c>
      <c r="D3655" s="2" t="s">
        <v>178</v>
      </c>
      <c r="E3655" s="2">
        <v>31</v>
      </c>
      <c r="F3655" s="2">
        <v>542.349</v>
      </c>
    </row>
    <row r="3656" spans="3:6" x14ac:dyDescent="0.25">
      <c r="C3656" s="2" t="s">
        <v>7071</v>
      </c>
      <c r="D3656" s="2" t="s">
        <v>178</v>
      </c>
      <c r="E3656" s="2">
        <v>66</v>
      </c>
      <c r="F3656" s="2">
        <v>1223.68</v>
      </c>
    </row>
    <row r="3657" spans="3:6" x14ac:dyDescent="0.25">
      <c r="C3657" s="2" t="s">
        <v>7072</v>
      </c>
      <c r="D3657" s="2" t="s">
        <v>178</v>
      </c>
      <c r="E3657" s="2">
        <v>36</v>
      </c>
      <c r="F3657" s="2">
        <v>594.27</v>
      </c>
    </row>
    <row r="3658" spans="3:6" x14ac:dyDescent="0.25">
      <c r="C3658" s="2" t="s">
        <v>7073</v>
      </c>
      <c r="D3658" s="2" t="s">
        <v>178</v>
      </c>
      <c r="E3658" s="2">
        <v>72</v>
      </c>
      <c r="F3658" s="2">
        <v>1450.06</v>
      </c>
    </row>
    <row r="3659" spans="3:6" x14ac:dyDescent="0.25">
      <c r="C3659" s="2" t="s">
        <v>7074</v>
      </c>
      <c r="D3659" s="2" t="s">
        <v>178</v>
      </c>
      <c r="E3659" s="2">
        <v>42</v>
      </c>
      <c r="F3659" s="2">
        <v>816.13</v>
      </c>
    </row>
    <row r="3660" spans="3:6" x14ac:dyDescent="0.25">
      <c r="C3660" s="2" t="s">
        <v>7075</v>
      </c>
      <c r="D3660" s="2" t="s">
        <v>178</v>
      </c>
      <c r="E3660" s="2">
        <v>27</v>
      </c>
      <c r="F3660" s="2">
        <v>593.69</v>
      </c>
    </row>
    <row r="3661" spans="3:6" x14ac:dyDescent="0.25">
      <c r="C3661" s="2" t="s">
        <v>7076</v>
      </c>
      <c r="D3661" s="2" t="s">
        <v>178</v>
      </c>
      <c r="E3661" s="2">
        <v>52</v>
      </c>
      <c r="F3661" s="2">
        <v>930.879</v>
      </c>
    </row>
    <row r="3662" spans="3:6" x14ac:dyDescent="0.25">
      <c r="C3662" s="2" t="s">
        <v>7077</v>
      </c>
      <c r="D3662" s="2" t="s">
        <v>178</v>
      </c>
      <c r="E3662" s="2">
        <v>50</v>
      </c>
      <c r="F3662" s="2">
        <v>859.989</v>
      </c>
    </row>
    <row r="3663" spans="3:6" x14ac:dyDescent="0.25">
      <c r="C3663" s="2" t="s">
        <v>7078</v>
      </c>
      <c r="D3663" s="2" t="s">
        <v>178</v>
      </c>
      <c r="E3663" s="2">
        <v>100</v>
      </c>
      <c r="F3663" s="2">
        <v>1688.655</v>
      </c>
    </row>
    <row r="3664" spans="3:6" x14ac:dyDescent="0.25">
      <c r="C3664" s="2" t="s">
        <v>7079</v>
      </c>
      <c r="D3664" s="2" t="s">
        <v>178</v>
      </c>
      <c r="E3664" s="2">
        <v>41</v>
      </c>
      <c r="F3664" s="2">
        <v>839.57</v>
      </c>
    </row>
    <row r="3665" spans="3:6" x14ac:dyDescent="0.25">
      <c r="C3665" s="2" t="s">
        <v>7080</v>
      </c>
      <c r="D3665" s="2" t="s">
        <v>178</v>
      </c>
      <c r="E3665" s="2">
        <v>83</v>
      </c>
      <c r="F3665" s="2">
        <v>1551.019</v>
      </c>
    </row>
    <row r="3666" spans="3:6" x14ac:dyDescent="0.25">
      <c r="C3666" s="2" t="s">
        <v>7081</v>
      </c>
      <c r="D3666" s="2" t="s">
        <v>178</v>
      </c>
      <c r="E3666" s="2">
        <v>21</v>
      </c>
      <c r="F3666" s="2">
        <v>398.82</v>
      </c>
    </row>
    <row r="3667" spans="3:6" x14ac:dyDescent="0.25">
      <c r="C3667" s="2" t="s">
        <v>7082</v>
      </c>
      <c r="D3667" s="2" t="s">
        <v>178</v>
      </c>
      <c r="E3667" s="2">
        <v>6</v>
      </c>
      <c r="F3667" s="2">
        <v>124.72</v>
      </c>
    </row>
    <row r="3668" spans="3:6" x14ac:dyDescent="0.25">
      <c r="C3668" s="2" t="s">
        <v>7083</v>
      </c>
      <c r="D3668" s="2" t="s">
        <v>178</v>
      </c>
      <c r="E3668" s="2">
        <v>31</v>
      </c>
      <c r="F3668" s="2">
        <v>607.3</v>
      </c>
    </row>
    <row r="3669" spans="3:6" x14ac:dyDescent="0.25">
      <c r="C3669" s="2" t="s">
        <v>7084</v>
      </c>
      <c r="D3669" s="2" t="s">
        <v>178</v>
      </c>
      <c r="E3669" s="2">
        <v>75</v>
      </c>
      <c r="F3669" s="2">
        <v>1487.97</v>
      </c>
    </row>
    <row r="3670" spans="3:6" x14ac:dyDescent="0.25">
      <c r="C3670" s="2" t="s">
        <v>7085</v>
      </c>
      <c r="D3670" s="2" t="s">
        <v>178</v>
      </c>
      <c r="E3670" s="2">
        <v>102</v>
      </c>
      <c r="F3670" s="2">
        <v>2079.1</v>
      </c>
    </row>
    <row r="3672" spans="1:7" x14ac:dyDescent="0.25">
      <c r="A3672" s="1">
        <v>46201</v>
      </c>
      <c r="B3672" s="2" t="s">
        <v>80</v>
      </c>
      <c r="C3672" s="2" t="s">
        <v>7086</v>
      </c>
      <c r="D3672" s="2" t="s">
        <v>82</v>
      </c>
      <c r="E3672" s="2">
        <v>141</v>
      </c>
      <c r="F3672" s="2">
        <v>2931.27</v>
      </c>
      <c r="G3672" s="1">
        <v>46202</v>
      </c>
    </row>
    <row r="3673" spans="3:6" x14ac:dyDescent="0.25">
      <c r="C3673" s="2" t="s">
        <v>7087</v>
      </c>
      <c r="D3673" s="2" t="s">
        <v>82</v>
      </c>
      <c r="E3673" s="2">
        <v>141</v>
      </c>
      <c r="F3673" s="2">
        <v>2797.649</v>
      </c>
    </row>
    <row r="3674" spans="3:6" x14ac:dyDescent="0.25">
      <c r="C3674" s="2" t="s">
        <v>7088</v>
      </c>
      <c r="D3674" s="2" t="s">
        <v>82</v>
      </c>
      <c r="E3674" s="2">
        <v>141</v>
      </c>
      <c r="F3674" s="2">
        <v>2794.339</v>
      </c>
    </row>
    <row r="3675" spans="3:6" x14ac:dyDescent="0.25">
      <c r="C3675" s="2" t="s">
        <v>7089</v>
      </c>
      <c r="D3675" s="2" t="s">
        <v>82</v>
      </c>
      <c r="E3675" s="2">
        <v>102</v>
      </c>
      <c r="F3675" s="2">
        <v>2037.83</v>
      </c>
    </row>
    <row r="3676" spans="3:6" x14ac:dyDescent="0.25">
      <c r="C3676" s="2" t="s">
        <v>7090</v>
      </c>
      <c r="D3676" s="2" t="s">
        <v>82</v>
      </c>
      <c r="E3676" s="2">
        <v>102</v>
      </c>
      <c r="F3676" s="2">
        <v>2117.01</v>
      </c>
    </row>
    <row r="3677" spans="3:6" x14ac:dyDescent="0.25">
      <c r="C3677" s="2" t="s">
        <v>7091</v>
      </c>
      <c r="D3677" s="2" t="s">
        <v>82</v>
      </c>
      <c r="E3677" s="2">
        <v>95</v>
      </c>
      <c r="F3677" s="2">
        <v>1922.85</v>
      </c>
    </row>
    <row r="3678" spans="3:6" x14ac:dyDescent="0.25">
      <c r="C3678" s="2" t="s">
        <v>7092</v>
      </c>
      <c r="D3678" s="2" t="s">
        <v>82</v>
      </c>
      <c r="E3678" s="2">
        <v>40</v>
      </c>
      <c r="F3678" s="2">
        <v>801.79</v>
      </c>
    </row>
    <row r="3679" spans="3:6" x14ac:dyDescent="0.25">
      <c r="C3679" s="2" t="s">
        <v>7093</v>
      </c>
      <c r="D3679" s="2" t="s">
        <v>82</v>
      </c>
      <c r="E3679" s="2">
        <v>6</v>
      </c>
      <c r="F3679" s="2">
        <v>115.69</v>
      </c>
    </row>
    <row r="3680" spans="3:6" x14ac:dyDescent="0.25">
      <c r="C3680" s="2" t="s">
        <v>7094</v>
      </c>
      <c r="D3680" s="2" t="s">
        <v>82</v>
      </c>
      <c r="E3680" s="2">
        <v>75</v>
      </c>
      <c r="F3680" s="2">
        <v>1457.959</v>
      </c>
    </row>
    <row r="3681" spans="3:6" x14ac:dyDescent="0.25">
      <c r="C3681" s="2" t="s">
        <v>7095</v>
      </c>
      <c r="D3681" s="2" t="s">
        <v>82</v>
      </c>
      <c r="E3681" s="2">
        <v>49</v>
      </c>
      <c r="F3681" s="2">
        <v>937.64</v>
      </c>
    </row>
    <row r="3682" spans="3:6" x14ac:dyDescent="0.25">
      <c r="C3682" s="2" t="s">
        <v>7096</v>
      </c>
      <c r="D3682" s="2" t="s">
        <v>82</v>
      </c>
      <c r="E3682" s="2">
        <v>53</v>
      </c>
      <c r="F3682" s="2">
        <v>1008.649</v>
      </c>
    </row>
    <row r="3683" spans="3:6" x14ac:dyDescent="0.25">
      <c r="C3683" s="2" t="s">
        <v>7097</v>
      </c>
      <c r="D3683" s="2" t="s">
        <v>82</v>
      </c>
      <c r="E3683" s="2">
        <v>60</v>
      </c>
      <c r="F3683" s="2">
        <v>1038.03</v>
      </c>
    </row>
    <row r="3684" spans="3:6" x14ac:dyDescent="0.25">
      <c r="C3684" s="2" t="s">
        <v>7098</v>
      </c>
      <c r="D3684" s="2" t="s">
        <v>82</v>
      </c>
      <c r="E3684" s="2">
        <v>20</v>
      </c>
      <c r="F3684" s="2">
        <v>313.139</v>
      </c>
    </row>
    <row r="3685" spans="3:6" x14ac:dyDescent="0.25">
      <c r="C3685" s="2" t="s">
        <v>7099</v>
      </c>
      <c r="D3685" s="2" t="s">
        <v>82</v>
      </c>
      <c r="E3685" s="2">
        <v>20</v>
      </c>
      <c r="F3685" s="2">
        <v>411.14</v>
      </c>
    </row>
    <row r="3686" spans="3:6" x14ac:dyDescent="0.25">
      <c r="C3686" s="2" t="s">
        <v>7100</v>
      </c>
      <c r="D3686" s="2" t="s">
        <v>82</v>
      </c>
      <c r="E3686" s="2">
        <v>143</v>
      </c>
      <c r="F3686" s="2">
        <v>2174.134</v>
      </c>
    </row>
    <row r="3687" spans="3:6" x14ac:dyDescent="0.25">
      <c r="C3687" s="2" t="s">
        <v>7101</v>
      </c>
      <c r="D3687" s="2" t="s">
        <v>82</v>
      </c>
      <c r="E3687" s="2">
        <v>28</v>
      </c>
      <c r="F3687" s="2">
        <v>279.9</v>
      </c>
    </row>
    <row r="3688" spans="3:6" x14ac:dyDescent="0.25">
      <c r="C3688" s="2" t="s">
        <v>7102</v>
      </c>
      <c r="D3688" s="2" t="s">
        <v>82</v>
      </c>
      <c r="E3688" s="2">
        <v>13</v>
      </c>
      <c r="F3688" s="2">
        <v>222.5</v>
      </c>
    </row>
    <row r="3689" spans="3:6" x14ac:dyDescent="0.25">
      <c r="C3689" s="2" t="s">
        <v>7103</v>
      </c>
      <c r="D3689" s="2" t="s">
        <v>82</v>
      </c>
      <c r="E3689" s="2">
        <v>100</v>
      </c>
      <c r="F3689" s="2">
        <v>806.25</v>
      </c>
    </row>
    <row r="3690" spans="3:6" x14ac:dyDescent="0.25">
      <c r="C3690" s="2" t="s">
        <v>7104</v>
      </c>
      <c r="D3690" s="2" t="s">
        <v>82</v>
      </c>
      <c r="E3690" s="2">
        <v>121</v>
      </c>
      <c r="F3690" s="2">
        <v>2528.53</v>
      </c>
    </row>
    <row r="3691" spans="3:6" x14ac:dyDescent="0.25">
      <c r="C3691" s="2" t="s">
        <v>7105</v>
      </c>
      <c r="D3691" s="2" t="s">
        <v>82</v>
      </c>
      <c r="E3691" s="2">
        <v>121</v>
      </c>
      <c r="F3691" s="2">
        <v>2352.639</v>
      </c>
    </row>
    <row r="3692" spans="3:6" x14ac:dyDescent="0.25">
      <c r="C3692" s="2" t="s">
        <v>7106</v>
      </c>
      <c r="D3692" s="2" t="s">
        <v>82</v>
      </c>
      <c r="E3692" s="2">
        <v>121</v>
      </c>
      <c r="F3692" s="2">
        <v>2485.729</v>
      </c>
    </row>
    <row r="3693" spans="3:6" x14ac:dyDescent="0.25">
      <c r="C3693" s="2" t="s">
        <v>7107</v>
      </c>
      <c r="D3693" s="2" t="s">
        <v>82</v>
      </c>
      <c r="E3693" s="2">
        <v>61</v>
      </c>
      <c r="F3693" s="2">
        <v>1244.2</v>
      </c>
    </row>
    <row r="3694" spans="3:6" x14ac:dyDescent="0.25">
      <c r="C3694" s="2" t="s">
        <v>7108</v>
      </c>
      <c r="D3694" s="2" t="s">
        <v>82</v>
      </c>
      <c r="E3694" s="2">
        <v>80</v>
      </c>
      <c r="F3694" s="2">
        <v>1660.4</v>
      </c>
    </row>
    <row r="3695" spans="3:6" x14ac:dyDescent="0.25">
      <c r="C3695" s="2" t="s">
        <v>7109</v>
      </c>
      <c r="D3695" s="2" t="s">
        <v>82</v>
      </c>
      <c r="E3695" s="2">
        <v>121</v>
      </c>
      <c r="F3695" s="2">
        <v>2403.13</v>
      </c>
    </row>
    <row r="3696" spans="3:6" x14ac:dyDescent="0.25">
      <c r="C3696" s="2" t="s">
        <v>7110</v>
      </c>
      <c r="D3696" s="2" t="s">
        <v>82</v>
      </c>
      <c r="E3696" s="2">
        <v>100</v>
      </c>
      <c r="F3696" s="2">
        <v>1894.66</v>
      </c>
    </row>
    <row r="3697" spans="3:6" x14ac:dyDescent="0.25">
      <c r="C3697" s="2" t="s">
        <v>7111</v>
      </c>
      <c r="D3697" s="2" t="s">
        <v>82</v>
      </c>
      <c r="E3697" s="2">
        <v>34</v>
      </c>
      <c r="F3697" s="2">
        <v>683.249</v>
      </c>
    </row>
    <row r="3698" spans="3:6" x14ac:dyDescent="0.25">
      <c r="C3698" s="2" t="s">
        <v>7112</v>
      </c>
      <c r="D3698" s="2" t="s">
        <v>82</v>
      </c>
      <c r="E3698" s="2">
        <f>51+60+9</f>
        <v>120</v>
      </c>
      <c r="F3698" s="2">
        <f>217.529+260.8+36.68</f>
        <v>515.009</v>
      </c>
    </row>
    <row r="3699" spans="3:6" x14ac:dyDescent="0.25">
      <c r="C3699" s="2" t="s">
        <v>7113</v>
      </c>
      <c r="D3699" s="2" t="s">
        <v>82</v>
      </c>
      <c r="E3699" s="2">
        <v>38</v>
      </c>
      <c r="F3699" s="2">
        <v>175.03</v>
      </c>
    </row>
    <row r="3700" spans="3:6" x14ac:dyDescent="0.25">
      <c r="C3700" s="2" t="s">
        <v>7114</v>
      </c>
      <c r="D3700" s="2" t="s">
        <v>82</v>
      </c>
      <c r="E3700" s="2">
        <v>141</v>
      </c>
      <c r="F3700" s="2">
        <v>2868.92</v>
      </c>
    </row>
    <row r="3701" spans="3:6" x14ac:dyDescent="0.25">
      <c r="C3701" s="2" t="s">
        <v>7115</v>
      </c>
      <c r="D3701" s="2" t="s">
        <v>82</v>
      </c>
      <c r="E3701" s="2">
        <v>92</v>
      </c>
      <c r="F3701" s="2">
        <v>1848.46</v>
      </c>
    </row>
    <row r="3702" spans="3:6" x14ac:dyDescent="0.25">
      <c r="C3702" s="2" t="s">
        <v>7116</v>
      </c>
      <c r="D3702" s="2" t="s">
        <v>82</v>
      </c>
      <c r="E3702" s="2">
        <v>49</v>
      </c>
      <c r="F3702" s="2">
        <v>1015.89</v>
      </c>
    </row>
    <row r="3703" spans="3:6" x14ac:dyDescent="0.25">
      <c r="C3703" s="2" t="s">
        <v>7117</v>
      </c>
      <c r="D3703" s="2" t="s">
        <v>82</v>
      </c>
      <c r="E3703" s="2">
        <v>141</v>
      </c>
      <c r="F3703" s="2">
        <v>2879.46</v>
      </c>
    </row>
    <row r="3704" spans="3:6" x14ac:dyDescent="0.25">
      <c r="C3704" s="2" t="s">
        <v>7118</v>
      </c>
      <c r="D3704" s="2" t="s">
        <v>82</v>
      </c>
      <c r="E3704" s="2">
        <v>108</v>
      </c>
      <c r="F3704" s="2">
        <v>2141.929</v>
      </c>
    </row>
    <row r="3705" spans="3:6" x14ac:dyDescent="0.25">
      <c r="C3705" s="2" t="s">
        <v>7119</v>
      </c>
      <c r="D3705" s="2" t="s">
        <v>82</v>
      </c>
      <c r="E3705" s="2">
        <v>33</v>
      </c>
      <c r="F3705" s="2">
        <v>650.47</v>
      </c>
    </row>
    <row r="3706" spans="3:6" x14ac:dyDescent="0.25">
      <c r="C3706" s="2" t="s">
        <v>7120</v>
      </c>
      <c r="D3706" s="2" t="s">
        <v>82</v>
      </c>
      <c r="E3706" s="2">
        <v>64</v>
      </c>
      <c r="F3706" s="2">
        <v>1244.909</v>
      </c>
    </row>
    <row r="3707" spans="3:6" x14ac:dyDescent="0.25">
      <c r="C3707" s="2" t="s">
        <v>7121</v>
      </c>
      <c r="D3707" s="2" t="s">
        <v>82</v>
      </c>
      <c r="E3707" s="2">
        <v>77</v>
      </c>
      <c r="F3707" s="2">
        <v>1592.83</v>
      </c>
    </row>
    <row r="3708" spans="3:6" x14ac:dyDescent="0.25">
      <c r="C3708" s="2" t="s">
        <v>7122</v>
      </c>
      <c r="D3708" s="2" t="s">
        <v>82</v>
      </c>
      <c r="E3708" s="2">
        <v>20</v>
      </c>
      <c r="F3708" s="2">
        <v>411.26</v>
      </c>
    </row>
    <row r="3709" spans="3:6" x14ac:dyDescent="0.25">
      <c r="C3709" s="2" t="s">
        <v>7123</v>
      </c>
      <c r="D3709" s="2" t="s">
        <v>82</v>
      </c>
      <c r="E3709" s="2">
        <v>37</v>
      </c>
      <c r="F3709" s="2">
        <v>794.4</v>
      </c>
    </row>
    <row r="3710" spans="3:6" x14ac:dyDescent="0.25">
      <c r="C3710" s="2" t="s">
        <v>7124</v>
      </c>
      <c r="D3710" s="2" t="s">
        <v>82</v>
      </c>
      <c r="E3710" s="2">
        <v>84</v>
      </c>
      <c r="F3710" s="2">
        <v>1696.579</v>
      </c>
    </row>
    <row r="3712" spans="1:7" x14ac:dyDescent="0.25">
      <c r="A3712" s="1">
        <v>46201</v>
      </c>
      <c r="B3712" s="2" t="s">
        <v>122</v>
      </c>
      <c r="C3712" s="2" t="s">
        <v>7125</v>
      </c>
      <c r="D3712" s="2" t="s">
        <v>9</v>
      </c>
      <c r="E3712" s="2">
        <v>156</v>
      </c>
      <c r="F3712" s="2">
        <v>3156.719</v>
      </c>
      <c r="G3712" s="1">
        <v>46200</v>
      </c>
    </row>
    <row r="3713" spans="3:6" x14ac:dyDescent="0.25">
      <c r="C3713" s="2" t="s">
        <v>7126</v>
      </c>
      <c r="D3713" s="2" t="s">
        <v>9</v>
      </c>
      <c r="E3713" s="2">
        <v>156</v>
      </c>
      <c r="F3713" s="2">
        <v>3174.72</v>
      </c>
    </row>
    <row r="3714" spans="3:6" x14ac:dyDescent="0.25">
      <c r="C3714" s="2" t="s">
        <v>7127</v>
      </c>
      <c r="D3714" s="2" t="s">
        <v>9</v>
      </c>
      <c r="E3714" s="2">
        <v>61</v>
      </c>
      <c r="F3714" s="2">
        <v>1256.49</v>
      </c>
    </row>
    <row r="3716" spans="1:7" x14ac:dyDescent="0.25">
      <c r="A3716" s="1">
        <v>46201</v>
      </c>
      <c r="B3716" s="2" t="s">
        <v>7</v>
      </c>
      <c r="C3716" s="2" t="s">
        <v>7128</v>
      </c>
      <c r="D3716" s="2" t="s">
        <v>9</v>
      </c>
      <c r="E3716" s="2">
        <v>97</v>
      </c>
      <c r="F3716" s="2">
        <v>1984.45</v>
      </c>
      <c r="G3716" s="1">
        <v>46200</v>
      </c>
    </row>
    <row r="3717" spans="3:6" x14ac:dyDescent="0.25">
      <c r="C3717" s="2" t="s">
        <v>7129</v>
      </c>
      <c r="D3717" s="2" t="s">
        <v>9</v>
      </c>
      <c r="E3717" s="2">
        <v>99</v>
      </c>
      <c r="F3717" s="2">
        <v>2031.15</v>
      </c>
    </row>
    <row r="3719" spans="1:7" x14ac:dyDescent="0.25">
      <c r="A3719" s="1">
        <v>46201</v>
      </c>
      <c r="B3719" s="2" t="s">
        <v>4580</v>
      </c>
      <c r="C3719" s="2" t="s">
        <v>7130</v>
      </c>
      <c r="D3719" s="2" t="s">
        <v>292</v>
      </c>
      <c r="E3719" s="2">
        <v>153</v>
      </c>
      <c r="F3719" s="2">
        <v>2975.29</v>
      </c>
      <c r="G3719" s="1">
        <v>46203</v>
      </c>
    </row>
    <row r="3722" spans="1:7" x14ac:dyDescent="0.25">
      <c r="A3722" s="1">
        <v>46201</v>
      </c>
      <c r="B3722" s="2" t="s">
        <v>4257</v>
      </c>
      <c r="C3722" s="2" t="s">
        <v>7131</v>
      </c>
      <c r="D3722" s="2" t="s">
        <v>15</v>
      </c>
      <c r="E3722" s="2">
        <v>95</v>
      </c>
      <c r="F3722" s="2">
        <v>2118.95</v>
      </c>
      <c r="G3722" s="1">
        <v>46202</v>
      </c>
    </row>
    <row r="3724" spans="1:7" x14ac:dyDescent="0.25">
      <c r="A3724" s="1">
        <v>46202</v>
      </c>
      <c r="B3724" s="2" t="s">
        <v>176</v>
      </c>
      <c r="C3724" s="2" t="s">
        <v>7132</v>
      </c>
      <c r="D3724" s="2" t="s">
        <v>178</v>
      </c>
      <c r="E3724" s="2">
        <v>102</v>
      </c>
      <c r="F3724" s="2">
        <v>2068.06</v>
      </c>
      <c r="G3724" s="1">
        <v>46202</v>
      </c>
    </row>
    <row r="3725" spans="3:6" x14ac:dyDescent="0.25">
      <c r="C3725" s="2" t="s">
        <v>7133</v>
      </c>
      <c r="D3725" s="2" t="s">
        <v>178</v>
      </c>
      <c r="E3725" s="2">
        <v>102</v>
      </c>
      <c r="F3725" s="2">
        <v>2127.1</v>
      </c>
    </row>
    <row r="3726" spans="3:6" x14ac:dyDescent="0.25">
      <c r="C3726" s="2" t="s">
        <v>7134</v>
      </c>
      <c r="D3726" s="2" t="s">
        <v>178</v>
      </c>
      <c r="E3726" s="2">
        <v>141</v>
      </c>
      <c r="F3726" s="2">
        <v>2958.82</v>
      </c>
    </row>
    <row r="3727" spans="3:6" x14ac:dyDescent="0.25">
      <c r="C3727" s="2" t="s">
        <v>7135</v>
      </c>
      <c r="D3727" s="2" t="s">
        <v>178</v>
      </c>
      <c r="E3727" s="2">
        <v>102</v>
      </c>
      <c r="F3727" s="2">
        <v>2086.77</v>
      </c>
    </row>
    <row r="3728" spans="3:6" x14ac:dyDescent="0.25">
      <c r="C3728" s="2" t="s">
        <v>7136</v>
      </c>
      <c r="D3728" s="2" t="s">
        <v>178</v>
      </c>
      <c r="E3728" s="2">
        <v>45</v>
      </c>
      <c r="F3728" s="2">
        <v>188.049</v>
      </c>
    </row>
    <row r="3729" spans="3:6" x14ac:dyDescent="0.25">
      <c r="C3729" s="2" t="s">
        <v>7137</v>
      </c>
      <c r="D3729" s="2" t="s">
        <v>178</v>
      </c>
      <c r="E3729" s="2">
        <v>102</v>
      </c>
      <c r="F3729" s="2">
        <v>2015.73</v>
      </c>
    </row>
    <row r="3730" spans="3:6" x14ac:dyDescent="0.25">
      <c r="C3730" s="2" t="s">
        <v>7138</v>
      </c>
      <c r="D3730" s="2" t="s">
        <v>178</v>
      </c>
      <c r="E3730" s="2">
        <v>123</v>
      </c>
      <c r="F3730" s="2">
        <v>2340.929</v>
      </c>
    </row>
    <row r="3731" spans="3:6" x14ac:dyDescent="0.25">
      <c r="C3731" s="2" t="s">
        <v>7139</v>
      </c>
      <c r="D3731" s="2" t="s">
        <v>178</v>
      </c>
      <c r="E3731" s="2">
        <v>141</v>
      </c>
      <c r="F3731" s="2">
        <v>2798.559</v>
      </c>
    </row>
    <row r="3732" spans="3:6" x14ac:dyDescent="0.25">
      <c r="C3732" s="2" t="s">
        <v>7140</v>
      </c>
      <c r="D3732" s="2" t="s">
        <v>178</v>
      </c>
      <c r="E3732" s="2">
        <v>141</v>
      </c>
      <c r="F3732" s="2">
        <v>2763.82</v>
      </c>
    </row>
    <row r="3733" spans="3:6" x14ac:dyDescent="0.25">
      <c r="C3733" s="2" t="s">
        <v>7141</v>
      </c>
      <c r="D3733" s="2" t="s">
        <v>178</v>
      </c>
      <c r="E3733" s="2">
        <v>56</v>
      </c>
      <c r="F3733" s="2">
        <v>235.759</v>
      </c>
    </row>
    <row r="3734" spans="3:6" x14ac:dyDescent="0.25">
      <c r="C3734" s="2" t="s">
        <v>7142</v>
      </c>
      <c r="D3734" s="2" t="s">
        <v>178</v>
      </c>
      <c r="E3734" s="2">
        <v>123</v>
      </c>
      <c r="F3734" s="2">
        <v>2208.188</v>
      </c>
    </row>
    <row r="3735" spans="3:6" x14ac:dyDescent="0.25">
      <c r="C3735" s="2" t="s">
        <v>7143</v>
      </c>
      <c r="D3735" s="2" t="s">
        <v>178</v>
      </c>
      <c r="E3735" s="2">
        <v>134</v>
      </c>
      <c r="F3735" s="2">
        <v>2357.24</v>
      </c>
    </row>
    <row r="3736" spans="3:6" x14ac:dyDescent="0.25">
      <c r="C3736" s="2" t="s">
        <v>7144</v>
      </c>
      <c r="D3736" s="2" t="s">
        <v>178</v>
      </c>
      <c r="E3736" s="2">
        <v>145</v>
      </c>
      <c r="F3736" s="2">
        <v>2617.8</v>
      </c>
    </row>
    <row r="3737" spans="3:6" x14ac:dyDescent="0.25">
      <c r="C3737" s="2" t="s">
        <v>7145</v>
      </c>
      <c r="D3737" s="2" t="s">
        <v>178</v>
      </c>
      <c r="E3737" s="2">
        <v>123</v>
      </c>
      <c r="F3737" s="2">
        <v>2420.619</v>
      </c>
    </row>
    <row r="3738" spans="3:6" x14ac:dyDescent="0.25">
      <c r="C3738" s="2" t="s">
        <v>7146</v>
      </c>
      <c r="D3738" s="2" t="s">
        <v>178</v>
      </c>
      <c r="E3738" s="2">
        <v>123</v>
      </c>
      <c r="F3738" s="2">
        <v>2590.33</v>
      </c>
    </row>
    <row r="3739" spans="3:6" x14ac:dyDescent="0.25">
      <c r="C3739" s="2" t="s">
        <v>7147</v>
      </c>
      <c r="D3739" s="2" t="s">
        <v>178</v>
      </c>
      <c r="E3739" s="2">
        <v>141</v>
      </c>
      <c r="F3739" s="2">
        <v>2485.639</v>
      </c>
    </row>
    <row r="3740" spans="3:6" x14ac:dyDescent="0.25">
      <c r="C3740" s="2" t="s">
        <v>7148</v>
      </c>
      <c r="D3740" s="2" t="s">
        <v>178</v>
      </c>
      <c r="E3740" s="2">
        <v>125</v>
      </c>
      <c r="F3740" s="2">
        <v>2286.36</v>
      </c>
    </row>
    <row r="3741" spans="3:6" x14ac:dyDescent="0.25">
      <c r="C3741" s="2" t="s">
        <v>7149</v>
      </c>
      <c r="D3741" s="2" t="s">
        <v>178</v>
      </c>
      <c r="E3741" s="2">
        <v>16</v>
      </c>
      <c r="F3741" s="2">
        <v>331.09</v>
      </c>
    </row>
    <row r="3742" spans="3:6" x14ac:dyDescent="0.25">
      <c r="C3742" s="2" t="s">
        <v>7150</v>
      </c>
      <c r="D3742" s="2" t="s">
        <v>178</v>
      </c>
      <c r="E3742" s="2">
        <v>52</v>
      </c>
      <c r="F3742" s="2">
        <v>939.7</v>
      </c>
    </row>
    <row r="3743" spans="3:6" x14ac:dyDescent="0.25">
      <c r="C3743" s="2" t="s">
        <v>7151</v>
      </c>
      <c r="D3743" s="2" t="s">
        <v>178</v>
      </c>
      <c r="E3743" s="2">
        <v>50</v>
      </c>
      <c r="F3743" s="2">
        <v>827.62</v>
      </c>
    </row>
    <row r="3744" spans="3:6" x14ac:dyDescent="0.25">
      <c r="C3744" s="2" t="s">
        <v>7152</v>
      </c>
      <c r="D3744" s="2" t="s">
        <v>178</v>
      </c>
      <c r="E3744" s="2">
        <v>102</v>
      </c>
      <c r="F3744" s="2">
        <v>2067.58</v>
      </c>
    </row>
    <row r="3745" spans="3:6" x14ac:dyDescent="0.25">
      <c r="C3745" s="2" t="s">
        <v>7153</v>
      </c>
      <c r="D3745" s="2" t="s">
        <v>178</v>
      </c>
      <c r="E3745" s="2">
        <v>75</v>
      </c>
      <c r="F3745" s="2">
        <v>1515.13</v>
      </c>
    </row>
    <row r="3746" spans="3:6" x14ac:dyDescent="0.25">
      <c r="C3746" s="2" t="s">
        <v>7154</v>
      </c>
      <c r="D3746" s="2" t="s">
        <v>178</v>
      </c>
      <c r="E3746" s="2">
        <v>17</v>
      </c>
      <c r="F3746" s="2">
        <v>352.12</v>
      </c>
    </row>
    <row r="3747" spans="3:6" x14ac:dyDescent="0.25">
      <c r="C3747" s="2" t="s">
        <v>7155</v>
      </c>
      <c r="D3747" s="2" t="s">
        <v>178</v>
      </c>
      <c r="E3747" s="2">
        <v>72</v>
      </c>
      <c r="F3747" s="2">
        <v>1422.095</v>
      </c>
    </row>
    <row r="3748" spans="3:6" x14ac:dyDescent="0.25">
      <c r="C3748" s="2" t="s">
        <v>7156</v>
      </c>
      <c r="D3748" s="2" t="s">
        <v>178</v>
      </c>
      <c r="E3748" s="2">
        <v>31</v>
      </c>
      <c r="F3748" s="2">
        <v>353.93</v>
      </c>
    </row>
    <row r="3749" spans="3:6" x14ac:dyDescent="0.25">
      <c r="C3749" s="2" t="s">
        <v>7157</v>
      </c>
      <c r="D3749" s="2" t="s">
        <v>178</v>
      </c>
      <c r="E3749" s="2">
        <v>21</v>
      </c>
      <c r="F3749" s="2">
        <v>427.66</v>
      </c>
    </row>
    <row r="3750" spans="3:6" x14ac:dyDescent="0.25">
      <c r="C3750" s="2" t="s">
        <v>7158</v>
      </c>
      <c r="D3750" s="2" t="s">
        <v>178</v>
      </c>
      <c r="E3750" s="2">
        <v>141</v>
      </c>
      <c r="F3750" s="2">
        <v>2886.28</v>
      </c>
    </row>
    <row r="3751" spans="3:6" x14ac:dyDescent="0.25">
      <c r="C3751" s="2" t="s">
        <v>7159</v>
      </c>
      <c r="D3751" s="2" t="s">
        <v>178</v>
      </c>
      <c r="E3751" s="2">
        <v>61</v>
      </c>
      <c r="F3751" s="2">
        <v>1281.84</v>
      </c>
    </row>
    <row r="3752" spans="3:6" x14ac:dyDescent="0.25">
      <c r="C3752" s="2" t="s">
        <v>7160</v>
      </c>
      <c r="D3752" s="2" t="s">
        <v>178</v>
      </c>
      <c r="E3752" s="2">
        <v>23</v>
      </c>
      <c r="F3752" s="2">
        <v>480.83</v>
      </c>
    </row>
    <row r="3753" spans="3:6" x14ac:dyDescent="0.25">
      <c r="C3753" s="2" t="s">
        <v>7161</v>
      </c>
      <c r="D3753" s="2" t="s">
        <v>178</v>
      </c>
      <c r="E3753" s="2">
        <v>18</v>
      </c>
      <c r="F3753" s="2">
        <v>353.03</v>
      </c>
    </row>
    <row r="3755" spans="1:7" x14ac:dyDescent="0.25">
      <c r="A3755" s="1">
        <v>46202</v>
      </c>
      <c r="B3755" s="2" t="s">
        <v>229</v>
      </c>
      <c r="C3755" s="2" t="s">
        <v>7162</v>
      </c>
      <c r="D3755" s="2" t="s">
        <v>82</v>
      </c>
      <c r="E3755" s="2">
        <v>121</v>
      </c>
      <c r="F3755" s="2">
        <v>2452.75</v>
      </c>
      <c r="G3755" s="1">
        <v>46202</v>
      </c>
    </row>
    <row r="3756" spans="3:6" x14ac:dyDescent="0.25">
      <c r="C3756" s="2" t="s">
        <v>7163</v>
      </c>
      <c r="D3756" s="2" t="s">
        <v>82</v>
      </c>
      <c r="E3756" s="2">
        <v>121</v>
      </c>
      <c r="F3756" s="2">
        <v>2415.63</v>
      </c>
    </row>
    <row r="3757" spans="3:6" x14ac:dyDescent="0.25">
      <c r="C3757" s="2" t="s">
        <v>7164</v>
      </c>
      <c r="D3757" s="2" t="s">
        <v>82</v>
      </c>
      <c r="E3757" s="2">
        <v>121</v>
      </c>
      <c r="F3757" s="2">
        <v>2387.84</v>
      </c>
    </row>
    <row r="3758" spans="3:6" x14ac:dyDescent="0.25">
      <c r="C3758" s="2" t="s">
        <v>7165</v>
      </c>
      <c r="D3758" s="2" t="s">
        <v>82</v>
      </c>
      <c r="E3758" s="2">
        <v>121</v>
      </c>
      <c r="F3758" s="2">
        <v>2437.179</v>
      </c>
    </row>
    <row r="3759" spans="3:6" x14ac:dyDescent="0.25">
      <c r="C3759" s="2" t="s">
        <v>7166</v>
      </c>
      <c r="D3759" s="2" t="s">
        <v>82</v>
      </c>
      <c r="E3759" s="2">
        <v>18</v>
      </c>
      <c r="F3759" s="2">
        <v>340.11</v>
      </c>
    </row>
    <row r="3760" spans="3:6" x14ac:dyDescent="0.25">
      <c r="C3760" s="2" t="s">
        <v>7167</v>
      </c>
      <c r="D3760" s="2" t="s">
        <v>82</v>
      </c>
      <c r="E3760" s="2">
        <v>22</v>
      </c>
      <c r="F3760" s="2">
        <v>409.59</v>
      </c>
    </row>
    <row r="3761" spans="3:6" x14ac:dyDescent="0.25">
      <c r="C3761" s="2" t="s">
        <v>7168</v>
      </c>
      <c r="D3761" s="2" t="s">
        <v>82</v>
      </c>
      <c r="E3761" s="2">
        <v>33</v>
      </c>
      <c r="F3761" s="2">
        <v>599.58</v>
      </c>
    </row>
    <row r="3762" spans="3:6" x14ac:dyDescent="0.25">
      <c r="C3762" s="2" t="s">
        <v>7169</v>
      </c>
      <c r="D3762" s="2" t="s">
        <v>82</v>
      </c>
      <c r="E3762" s="2">
        <v>61</v>
      </c>
      <c r="F3762" s="2">
        <v>1139.12</v>
      </c>
    </row>
    <row r="3763" spans="3:6" x14ac:dyDescent="0.25">
      <c r="C3763" s="2" t="s">
        <v>7170</v>
      </c>
      <c r="D3763" s="2" t="s">
        <v>82</v>
      </c>
      <c r="E3763" s="2">
        <v>102</v>
      </c>
      <c r="F3763" s="2">
        <v>1939.54</v>
      </c>
    </row>
    <row r="3764" spans="3:6" x14ac:dyDescent="0.25">
      <c r="C3764" s="2" t="s">
        <v>7171</v>
      </c>
      <c r="D3764" s="2" t="s">
        <v>82</v>
      </c>
      <c r="E3764" s="2">
        <v>102</v>
      </c>
      <c r="F3764" s="2">
        <v>2002.68</v>
      </c>
    </row>
    <row r="3765" spans="3:6" x14ac:dyDescent="0.25">
      <c r="C3765" s="2" t="s">
        <v>7172</v>
      </c>
      <c r="D3765" s="2" t="s">
        <v>82</v>
      </c>
      <c r="E3765" s="2">
        <v>141</v>
      </c>
      <c r="F3765" s="2">
        <v>2791.649</v>
      </c>
    </row>
    <row r="3766" spans="3:6" x14ac:dyDescent="0.25">
      <c r="C3766" s="2" t="s">
        <v>7173</v>
      </c>
      <c r="D3766" s="2" t="s">
        <v>82</v>
      </c>
      <c r="E3766" s="2">
        <v>75</v>
      </c>
      <c r="F3766" s="2">
        <v>1450.069</v>
      </c>
    </row>
    <row r="3767" spans="3:6" x14ac:dyDescent="0.25">
      <c r="C3767" s="2" t="s">
        <v>7174</v>
      </c>
      <c r="D3767" s="2" t="s">
        <v>82</v>
      </c>
      <c r="E3767" s="2">
        <v>60</v>
      </c>
      <c r="F3767" s="2">
        <v>255.62</v>
      </c>
    </row>
    <row r="3768" spans="3:6" x14ac:dyDescent="0.25">
      <c r="C3768" s="2" t="s">
        <v>7175</v>
      </c>
      <c r="D3768" s="2" t="s">
        <v>82</v>
      </c>
      <c r="E3768" s="2">
        <v>79</v>
      </c>
      <c r="F3768" s="2">
        <v>1562.57</v>
      </c>
    </row>
    <row r="3769" spans="3:6" x14ac:dyDescent="0.25">
      <c r="C3769" s="2" t="s">
        <v>7176</v>
      </c>
      <c r="D3769" s="2" t="s">
        <v>82</v>
      </c>
      <c r="E3769" s="2">
        <v>23</v>
      </c>
      <c r="F3769" s="2">
        <v>475.6</v>
      </c>
    </row>
    <row r="3770" spans="3:6" x14ac:dyDescent="0.25">
      <c r="C3770" s="2" t="s">
        <v>7177</v>
      </c>
      <c r="D3770" s="2" t="s">
        <v>82</v>
      </c>
      <c r="E3770" s="2">
        <v>67</v>
      </c>
      <c r="F3770" s="2">
        <v>1241.549</v>
      </c>
    </row>
    <row r="3771" spans="3:6" x14ac:dyDescent="0.25">
      <c r="C3771" s="2" t="s">
        <v>7178</v>
      </c>
      <c r="D3771" s="2" t="s">
        <v>82</v>
      </c>
      <c r="E3771" s="2">
        <v>28</v>
      </c>
      <c r="F3771" s="2">
        <v>520.3</v>
      </c>
    </row>
    <row r="3772" spans="3:6" x14ac:dyDescent="0.25">
      <c r="C3772" s="2" t="s">
        <v>7179</v>
      </c>
      <c r="D3772" s="2" t="s">
        <v>82</v>
      </c>
      <c r="E3772" s="2">
        <v>31</v>
      </c>
      <c r="F3772" s="2">
        <v>630.93</v>
      </c>
    </row>
    <row r="3773" spans="3:6" x14ac:dyDescent="0.25">
      <c r="C3773" s="2" t="s">
        <v>7180</v>
      </c>
      <c r="D3773" s="2" t="s">
        <v>82</v>
      </c>
      <c r="E3773" s="2">
        <v>15</v>
      </c>
      <c r="F3773" s="2">
        <v>301.31</v>
      </c>
    </row>
    <row r="3774" spans="3:6" x14ac:dyDescent="0.25">
      <c r="C3774" s="2" t="s">
        <v>7181</v>
      </c>
      <c r="D3774" s="2" t="s">
        <v>82</v>
      </c>
      <c r="E3774" s="2">
        <v>47</v>
      </c>
      <c r="F3774" s="2">
        <v>864.259</v>
      </c>
    </row>
    <row r="3775" spans="3:6" x14ac:dyDescent="0.25">
      <c r="C3775" s="2" t="s">
        <v>7182</v>
      </c>
      <c r="D3775" s="2" t="s">
        <v>82</v>
      </c>
      <c r="E3775" s="2">
        <v>94</v>
      </c>
      <c r="F3775" s="2">
        <v>1891.67</v>
      </c>
    </row>
    <row r="3776" spans="3:6" x14ac:dyDescent="0.25">
      <c r="C3776" s="2" t="s">
        <v>7183</v>
      </c>
      <c r="D3776" s="2" t="s">
        <v>82</v>
      </c>
      <c r="E3776" s="2">
        <v>40</v>
      </c>
      <c r="F3776" s="2">
        <v>796.88</v>
      </c>
    </row>
    <row r="3777" spans="3:6" x14ac:dyDescent="0.25">
      <c r="C3777" s="2" t="s">
        <v>7184</v>
      </c>
      <c r="D3777" s="2" t="s">
        <v>82</v>
      </c>
      <c r="E3777" s="2">
        <v>40</v>
      </c>
      <c r="F3777" s="2">
        <v>760.55</v>
      </c>
    </row>
    <row r="3778" spans="3:6" x14ac:dyDescent="0.25">
      <c r="C3778" s="2" t="s">
        <v>7185</v>
      </c>
      <c r="D3778" s="2" t="s">
        <v>82</v>
      </c>
      <c r="E3778" s="2">
        <v>61</v>
      </c>
      <c r="F3778" s="2">
        <v>1170.27</v>
      </c>
    </row>
    <row r="3779" spans="3:6" x14ac:dyDescent="0.25">
      <c r="C3779" s="2" t="s">
        <v>7186</v>
      </c>
      <c r="D3779" s="2" t="s">
        <v>82</v>
      </c>
      <c r="E3779" s="2">
        <v>50</v>
      </c>
      <c r="F3779" s="2">
        <v>887.578</v>
      </c>
    </row>
    <row r="3780" spans="3:6" x14ac:dyDescent="0.25">
      <c r="C3780" s="2" t="s">
        <v>7187</v>
      </c>
      <c r="D3780" s="2" t="s">
        <v>82</v>
      </c>
      <c r="E3780" s="2">
        <v>50</v>
      </c>
      <c r="F3780" s="2">
        <v>918.11</v>
      </c>
    </row>
    <row r="3781" spans="3:6" x14ac:dyDescent="0.25">
      <c r="C3781" s="2" t="s">
        <v>7188</v>
      </c>
      <c r="D3781" s="2" t="s">
        <v>82</v>
      </c>
      <c r="E3781" s="2">
        <v>41</v>
      </c>
      <c r="F3781" s="2">
        <v>800.19</v>
      </c>
    </row>
    <row r="3782" spans="3:6" x14ac:dyDescent="0.25">
      <c r="C3782" s="2" t="s">
        <v>7189</v>
      </c>
      <c r="D3782" s="2" t="s">
        <v>82</v>
      </c>
      <c r="E3782" s="2">
        <v>100</v>
      </c>
      <c r="F3782" s="2">
        <v>2026.19</v>
      </c>
    </row>
    <row r="3783" spans="3:6" x14ac:dyDescent="0.25">
      <c r="C3783" s="2" t="s">
        <v>7190</v>
      </c>
      <c r="D3783" s="2" t="s">
        <v>82</v>
      </c>
      <c r="E3783" s="2">
        <v>41</v>
      </c>
      <c r="F3783" s="2">
        <v>765.169</v>
      </c>
    </row>
    <row r="3784" spans="3:6" x14ac:dyDescent="0.25">
      <c r="C3784" s="2" t="s">
        <v>7191</v>
      </c>
      <c r="D3784" s="2" t="s">
        <v>82</v>
      </c>
      <c r="E3784" s="2">
        <v>69</v>
      </c>
      <c r="F3784" s="2">
        <v>1402.26</v>
      </c>
    </row>
    <row r="3785" spans="3:6" x14ac:dyDescent="0.25">
      <c r="C3785" s="2" t="s">
        <v>7192</v>
      </c>
      <c r="D3785" s="2" t="s">
        <v>82</v>
      </c>
      <c r="E3785" s="2">
        <v>32</v>
      </c>
      <c r="F3785" s="2">
        <v>629.14</v>
      </c>
    </row>
    <row r="3786" spans="3:6" x14ac:dyDescent="0.25">
      <c r="C3786" s="2" t="s">
        <v>7193</v>
      </c>
      <c r="D3786" s="2" t="s">
        <v>82</v>
      </c>
      <c r="E3786" s="2">
        <v>40</v>
      </c>
      <c r="F3786" s="2">
        <v>805.26</v>
      </c>
    </row>
    <row r="3787" spans="3:6" x14ac:dyDescent="0.25">
      <c r="C3787" s="2" t="s">
        <v>7194</v>
      </c>
      <c r="D3787" s="2" t="s">
        <v>82</v>
      </c>
      <c r="E3787" s="2">
        <v>48</v>
      </c>
      <c r="F3787" s="2">
        <v>942.76</v>
      </c>
    </row>
    <row r="3788" spans="3:6" x14ac:dyDescent="0.25">
      <c r="C3788" s="2" t="s">
        <v>7195</v>
      </c>
      <c r="D3788" s="2" t="s">
        <v>82</v>
      </c>
      <c r="E3788" s="2">
        <v>54</v>
      </c>
      <c r="F3788" s="2">
        <v>1027.85</v>
      </c>
    </row>
    <row r="3789" spans="3:6" x14ac:dyDescent="0.25">
      <c r="C3789" s="2" t="s">
        <v>7196</v>
      </c>
      <c r="D3789" s="2" t="s">
        <v>82</v>
      </c>
      <c r="E3789" s="2">
        <v>39</v>
      </c>
      <c r="F3789" s="2">
        <v>763.03</v>
      </c>
    </row>
    <row r="3790" spans="3:6" x14ac:dyDescent="0.25">
      <c r="C3790" s="2" t="s">
        <v>7197</v>
      </c>
      <c r="D3790" s="2" t="s">
        <v>82</v>
      </c>
      <c r="E3790" s="2">
        <v>39</v>
      </c>
      <c r="F3790" s="2">
        <v>742.29</v>
      </c>
    </row>
    <row r="3791" spans="3:6" x14ac:dyDescent="0.25">
      <c r="C3791" s="2" t="s">
        <v>7198</v>
      </c>
      <c r="D3791" s="2" t="s">
        <v>82</v>
      </c>
      <c r="E3791" s="2">
        <v>29</v>
      </c>
      <c r="F3791" s="2">
        <v>556.86</v>
      </c>
    </row>
    <row r="3792" spans="3:6" x14ac:dyDescent="0.25">
      <c r="C3792" s="2" t="s">
        <v>7199</v>
      </c>
      <c r="D3792" s="2" t="s">
        <v>82</v>
      </c>
      <c r="E3792" s="2">
        <v>73</v>
      </c>
      <c r="F3792" s="2">
        <v>1448.949</v>
      </c>
    </row>
    <row r="3793" spans="3:6" x14ac:dyDescent="0.25">
      <c r="C3793" s="2" t="s">
        <v>7200</v>
      </c>
      <c r="D3793" s="2" t="s">
        <v>82</v>
      </c>
      <c r="E3793" s="2">
        <v>96</v>
      </c>
      <c r="F3793" s="2">
        <v>1897.1</v>
      </c>
    </row>
    <row r="3794" spans="3:6" x14ac:dyDescent="0.25">
      <c r="C3794" s="2" t="s">
        <v>7201</v>
      </c>
      <c r="D3794" s="2" t="s">
        <v>82</v>
      </c>
      <c r="E3794" s="2">
        <v>23</v>
      </c>
      <c r="F3794" s="2">
        <v>453.73</v>
      </c>
    </row>
    <row r="3795" spans="3:6" x14ac:dyDescent="0.25">
      <c r="C3795" s="2" t="s">
        <v>7202</v>
      </c>
      <c r="D3795" s="2" t="s">
        <v>82</v>
      </c>
      <c r="E3795" s="2">
        <v>10</v>
      </c>
      <c r="F3795" s="2">
        <v>195.51</v>
      </c>
    </row>
    <row r="3796" spans="3:6" x14ac:dyDescent="0.25">
      <c r="C3796" s="2" t="s">
        <v>7203</v>
      </c>
      <c r="D3796" s="2" t="s">
        <v>82</v>
      </c>
      <c r="E3796" s="2">
        <v>12</v>
      </c>
      <c r="F3796" s="2">
        <v>232.52</v>
      </c>
    </row>
    <row r="3797" spans="3:6" x14ac:dyDescent="0.25">
      <c r="C3797" s="2" t="s">
        <v>7204</v>
      </c>
      <c r="D3797" s="2" t="s">
        <v>82</v>
      </c>
      <c r="E3797" s="2">
        <v>115</v>
      </c>
      <c r="F3797" s="2">
        <v>2225.899</v>
      </c>
    </row>
    <row r="3798" spans="3:6" x14ac:dyDescent="0.25">
      <c r="C3798" s="2" t="s">
        <v>7205</v>
      </c>
      <c r="D3798" s="2" t="s">
        <v>82</v>
      </c>
      <c r="E3798" s="2">
        <v>26</v>
      </c>
      <c r="F3798" s="2">
        <v>513.06</v>
      </c>
    </row>
    <row r="3799" spans="3:6" x14ac:dyDescent="0.25">
      <c r="C3799" s="2" t="s">
        <v>7206</v>
      </c>
      <c r="D3799" s="2" t="s">
        <v>82</v>
      </c>
      <c r="E3799" s="2">
        <v>44</v>
      </c>
      <c r="F3799" s="2">
        <v>897.09</v>
      </c>
    </row>
    <row r="3800" spans="3:6" x14ac:dyDescent="0.25">
      <c r="C3800" s="2" t="s">
        <v>7207</v>
      </c>
      <c r="D3800" s="2" t="s">
        <v>82</v>
      </c>
      <c r="E3800" s="2">
        <v>43</v>
      </c>
      <c r="F3800" s="2">
        <v>862.619</v>
      </c>
    </row>
    <row r="3801" spans="3:6" x14ac:dyDescent="0.25">
      <c r="C3801" s="2" t="s">
        <v>7208</v>
      </c>
      <c r="D3801" s="2" t="s">
        <v>82</v>
      </c>
      <c r="E3801" s="2">
        <v>34</v>
      </c>
      <c r="F3801" s="2">
        <v>673.79</v>
      </c>
    </row>
    <row r="3802" spans="3:6" x14ac:dyDescent="0.25">
      <c r="C3802" s="2" t="s">
        <v>7209</v>
      </c>
      <c r="D3802" s="2" t="s">
        <v>82</v>
      </c>
      <c r="E3802" s="2">
        <v>20</v>
      </c>
      <c r="F3802" s="2">
        <v>370.96</v>
      </c>
    </row>
    <row r="3803" spans="3:6" x14ac:dyDescent="0.25">
      <c r="C3803" s="2" t="s">
        <v>7210</v>
      </c>
      <c r="D3803" s="2" t="s">
        <v>82</v>
      </c>
      <c r="E3803" s="2">
        <v>81</v>
      </c>
      <c r="F3803" s="2">
        <v>0</v>
      </c>
    </row>
    <row r="3805" spans="1:7" x14ac:dyDescent="0.25">
      <c r="A3805" s="1">
        <v>46202</v>
      </c>
      <c r="B3805" s="2" t="s">
        <v>290</v>
      </c>
      <c r="C3805" s="2" t="s">
        <v>7211</v>
      </c>
      <c r="D3805" s="2" t="s">
        <v>292</v>
      </c>
      <c r="E3805" s="2">
        <v>123</v>
      </c>
      <c r="F3805" s="2">
        <v>6809</v>
      </c>
      <c r="G3805" s="1">
        <v>46202</v>
      </c>
    </row>
    <row r="3806" spans="3:6" x14ac:dyDescent="0.25">
      <c r="C3806" s="2" t="s">
        <v>7212</v>
      </c>
      <c r="D3806" s="2" t="s">
        <v>292</v>
      </c>
      <c r="E3806" s="2">
        <v>123</v>
      </c>
      <c r="F3806" s="2">
        <v>5715</v>
      </c>
    </row>
    <row r="3807" spans="3:6" x14ac:dyDescent="0.25">
      <c r="C3807" s="2" t="s">
        <v>7213</v>
      </c>
      <c r="D3807" s="2" t="s">
        <v>292</v>
      </c>
      <c r="E3807" s="2">
        <v>99</v>
      </c>
      <c r="F3807" s="2">
        <v>4755</v>
      </c>
    </row>
    <row r="3808" spans="3:6" x14ac:dyDescent="0.25">
      <c r="C3808" s="2" t="s">
        <v>7214</v>
      </c>
      <c r="D3808" s="2" t="s">
        <v>292</v>
      </c>
      <c r="E3808" s="2">
        <v>24</v>
      </c>
      <c r="F3808" s="2">
        <v>841</v>
      </c>
    </row>
    <row r="3809" spans="3:6" x14ac:dyDescent="0.25">
      <c r="C3809" s="2" t="s">
        <v>7215</v>
      </c>
      <c r="D3809" s="2" t="s">
        <v>292</v>
      </c>
      <c r="E3809" s="2">
        <v>40</v>
      </c>
      <c r="F3809" s="2">
        <v>1599</v>
      </c>
    </row>
    <row r="3810" spans="3:6" x14ac:dyDescent="0.25">
      <c r="C3810" s="2" t="s">
        <v>7216</v>
      </c>
      <c r="D3810" s="2" t="s">
        <v>292</v>
      </c>
      <c r="E3810" s="2">
        <v>75</v>
      </c>
      <c r="F3810" s="2">
        <v>1623</v>
      </c>
    </row>
    <row r="3811" spans="3:6" x14ac:dyDescent="0.25">
      <c r="C3811" s="2" t="s">
        <v>7217</v>
      </c>
      <c r="D3811" s="2" t="s">
        <v>292</v>
      </c>
      <c r="E3811" s="2">
        <v>124</v>
      </c>
      <c r="F3811" s="2">
        <v>6477</v>
      </c>
    </row>
    <row r="3812" spans="3:6" x14ac:dyDescent="0.25">
      <c r="C3812" s="2" t="s">
        <v>7218</v>
      </c>
      <c r="D3812" s="2" t="s">
        <v>292</v>
      </c>
      <c r="E3812" s="2">
        <v>18</v>
      </c>
      <c r="F3812" s="2">
        <v>601</v>
      </c>
    </row>
    <row r="3813" spans="3:6" x14ac:dyDescent="0.25">
      <c r="C3813" s="2" t="s">
        <v>7219</v>
      </c>
      <c r="D3813" s="2" t="s">
        <v>292</v>
      </c>
      <c r="E3813" s="2">
        <v>119</v>
      </c>
      <c r="F3813" s="2">
        <v>3787</v>
      </c>
    </row>
    <row r="3814" spans="3:6" x14ac:dyDescent="0.25">
      <c r="C3814" s="2" t="s">
        <v>7220</v>
      </c>
      <c r="D3814" s="2" t="s">
        <v>292</v>
      </c>
      <c r="E3814" s="2">
        <v>22</v>
      </c>
      <c r="F3814" s="2">
        <v>1024</v>
      </c>
    </row>
    <row r="3815" spans="3:6" x14ac:dyDescent="0.25">
      <c r="C3815" s="2" t="s">
        <v>7221</v>
      </c>
      <c r="D3815" s="2" t="s">
        <v>292</v>
      </c>
      <c r="E3815" s="2">
        <v>50</v>
      </c>
      <c r="F3815" s="2">
        <v>813</v>
      </c>
    </row>
    <row r="3816" spans="3:6" x14ac:dyDescent="0.25">
      <c r="C3816" s="2" t="s">
        <v>7222</v>
      </c>
      <c r="D3816" s="2" t="s">
        <v>292</v>
      </c>
      <c r="E3816" s="2">
        <v>141</v>
      </c>
      <c r="F3816" s="2">
        <v>8857</v>
      </c>
    </row>
    <row r="3817" spans="3:6" x14ac:dyDescent="0.25">
      <c r="C3817" s="2" t="s">
        <v>7223</v>
      </c>
      <c r="D3817" s="2" t="s">
        <v>292</v>
      </c>
      <c r="E3817" s="2">
        <v>97</v>
      </c>
      <c r="F3817" s="2">
        <v>5486</v>
      </c>
    </row>
    <row r="3818" spans="3:6" x14ac:dyDescent="0.25">
      <c r="C3818" s="2" t="s">
        <v>7224</v>
      </c>
      <c r="D3818" s="2" t="s">
        <v>292</v>
      </c>
      <c r="E3818" s="2">
        <v>30</v>
      </c>
      <c r="F3818" s="2">
        <v>1117</v>
      </c>
    </row>
    <row r="3819" spans="3:6" x14ac:dyDescent="0.25">
      <c r="C3819" s="2" t="s">
        <v>7225</v>
      </c>
      <c r="D3819" s="2" t="s">
        <v>292</v>
      </c>
      <c r="E3819" s="2">
        <v>14</v>
      </c>
      <c r="F3819" s="2">
        <v>5712</v>
      </c>
    </row>
    <row r="3820" spans="3:6" x14ac:dyDescent="0.25">
      <c r="C3820" s="2" t="s">
        <v>7226</v>
      </c>
      <c r="D3820" s="2" t="s">
        <v>292</v>
      </c>
      <c r="E3820" s="2">
        <v>37</v>
      </c>
      <c r="F3820" s="2">
        <v>1571</v>
      </c>
    </row>
    <row r="3821" spans="3:6" x14ac:dyDescent="0.25">
      <c r="C3821" s="2" t="s">
        <v>7227</v>
      </c>
      <c r="D3821" s="2" t="s">
        <v>292</v>
      </c>
      <c r="E3821" s="2">
        <v>20</v>
      </c>
      <c r="F3821" s="2">
        <v>1598</v>
      </c>
    </row>
    <row r="3822" spans="3:6" x14ac:dyDescent="0.25">
      <c r="C3822" s="2" t="s">
        <v>7228</v>
      </c>
      <c r="D3822" s="2" t="s">
        <v>292</v>
      </c>
      <c r="E3822" s="2">
        <v>84</v>
      </c>
      <c r="F3822" s="2">
        <v>3774</v>
      </c>
    </row>
    <row r="3823" spans="3:6" x14ac:dyDescent="0.25">
      <c r="C3823" s="2" t="s">
        <v>7229</v>
      </c>
      <c r="D3823" s="2" t="s">
        <v>292</v>
      </c>
      <c r="E3823" s="2">
        <v>37</v>
      </c>
      <c r="F3823" s="2">
        <v>1841</v>
      </c>
    </row>
    <row r="3824" spans="3:6" x14ac:dyDescent="0.25">
      <c r="C3824" s="2" t="s">
        <v>7230</v>
      </c>
      <c r="D3824" s="2" t="s">
        <v>292</v>
      </c>
      <c r="E3824" s="2">
        <v>118</v>
      </c>
      <c r="F3824" s="2">
        <v>1450</v>
      </c>
    </row>
    <row r="3825" spans="3:6" x14ac:dyDescent="0.25">
      <c r="C3825" s="2" t="s">
        <v>7231</v>
      </c>
      <c r="D3825" s="2" t="s">
        <v>292</v>
      </c>
      <c r="E3825" s="2">
        <v>45</v>
      </c>
      <c r="F3825" s="2">
        <v>703</v>
      </c>
    </row>
    <row r="3826" spans="3:6" x14ac:dyDescent="0.25">
      <c r="C3826" s="2" t="s">
        <v>7232</v>
      </c>
      <c r="D3826" s="2" t="s">
        <v>292</v>
      </c>
      <c r="E3826" s="2">
        <v>141</v>
      </c>
      <c r="F3826" s="2">
        <v>4759</v>
      </c>
    </row>
    <row r="3827" spans="3:6" x14ac:dyDescent="0.25">
      <c r="C3827" s="2" t="s">
        <v>7233</v>
      </c>
      <c r="D3827" s="2" t="s">
        <v>292</v>
      </c>
      <c r="E3827" s="2">
        <v>118</v>
      </c>
      <c r="F3827" s="2">
        <v>1089</v>
      </c>
    </row>
    <row r="3828" spans="3:6" x14ac:dyDescent="0.25">
      <c r="C3828" s="2" t="s">
        <v>7234</v>
      </c>
      <c r="D3828" s="2" t="s">
        <v>292</v>
      </c>
      <c r="E3828" s="2">
        <v>141</v>
      </c>
      <c r="F3828" s="2">
        <v>6290</v>
      </c>
    </row>
    <row r="3829" spans="3:6" x14ac:dyDescent="0.25">
      <c r="C3829" s="2" t="s">
        <v>7235</v>
      </c>
      <c r="D3829" s="2" t="s">
        <v>292</v>
      </c>
      <c r="E3829" s="2">
        <v>141</v>
      </c>
      <c r="F3829" s="2">
        <v>7507</v>
      </c>
    </row>
    <row r="3830" spans="3:6" x14ac:dyDescent="0.25">
      <c r="C3830" s="2" t="s">
        <v>7236</v>
      </c>
      <c r="D3830" s="2" t="s">
        <v>292</v>
      </c>
      <c r="E3830" s="2">
        <v>60</v>
      </c>
      <c r="F3830" s="2">
        <v>748</v>
      </c>
    </row>
    <row r="3831" spans="3:6" x14ac:dyDescent="0.25">
      <c r="C3831" s="2" t="s">
        <v>7237</v>
      </c>
      <c r="D3831" s="2" t="s">
        <v>292</v>
      </c>
      <c r="E3831" s="2">
        <v>94</v>
      </c>
      <c r="F3831" s="2">
        <v>4331</v>
      </c>
    </row>
    <row r="3832" spans="3:6" x14ac:dyDescent="0.25">
      <c r="C3832" s="2" t="s">
        <v>7238</v>
      </c>
      <c r="D3832" s="2" t="s">
        <v>292</v>
      </c>
      <c r="E3832" s="2">
        <v>37</v>
      </c>
      <c r="F3832" s="2">
        <v>1574</v>
      </c>
    </row>
    <row r="3833" spans="3:6" x14ac:dyDescent="0.25">
      <c r="C3833" s="2" t="s">
        <v>7239</v>
      </c>
      <c r="D3833" s="2" t="s">
        <v>292</v>
      </c>
      <c r="E3833" s="2">
        <v>13</v>
      </c>
      <c r="F3833" s="2">
        <v>2076</v>
      </c>
    </row>
    <row r="3834" spans="3:6" x14ac:dyDescent="0.25">
      <c r="C3834" s="2" t="s">
        <v>7240</v>
      </c>
      <c r="D3834" s="2" t="s">
        <v>292</v>
      </c>
      <c r="E3834" s="2">
        <v>45</v>
      </c>
      <c r="F3834" s="2">
        <v>747</v>
      </c>
    </row>
    <row r="3835" spans="3:6" x14ac:dyDescent="0.25">
      <c r="C3835" s="2" t="s">
        <v>7241</v>
      </c>
      <c r="D3835" s="2" t="s">
        <v>292</v>
      </c>
      <c r="E3835" s="2">
        <v>141</v>
      </c>
      <c r="F3835" s="2">
        <v>9069</v>
      </c>
    </row>
    <row r="3836" spans="3:6" x14ac:dyDescent="0.25">
      <c r="C3836" s="2" t="s">
        <v>7242</v>
      </c>
      <c r="D3836" s="2" t="s">
        <v>292</v>
      </c>
      <c r="E3836" s="2">
        <v>30</v>
      </c>
      <c r="F3836" s="2">
        <v>1650</v>
      </c>
    </row>
    <row r="3837" spans="3:6" x14ac:dyDescent="0.25">
      <c r="C3837" s="2" t="s">
        <v>7243</v>
      </c>
      <c r="D3837" s="2" t="s">
        <v>292</v>
      </c>
      <c r="E3837" s="2">
        <v>111</v>
      </c>
      <c r="F3837" s="2">
        <v>12276</v>
      </c>
    </row>
    <row r="3838" spans="3:6" x14ac:dyDescent="0.25">
      <c r="C3838" s="2" t="s">
        <v>7244</v>
      </c>
      <c r="D3838" s="2" t="s">
        <v>292</v>
      </c>
      <c r="E3838" s="2">
        <v>14</v>
      </c>
      <c r="F3838" s="2">
        <v>228</v>
      </c>
    </row>
    <row r="3839" spans="3:6" x14ac:dyDescent="0.25">
      <c r="C3839" s="2" t="s">
        <v>7245</v>
      </c>
      <c r="D3839" s="2" t="s">
        <v>292</v>
      </c>
      <c r="E3839" s="2">
        <v>12</v>
      </c>
      <c r="F3839" s="2">
        <v>436</v>
      </c>
    </row>
    <row r="3840" spans="3:6" x14ac:dyDescent="0.25">
      <c r="C3840" s="2" t="s">
        <v>7246</v>
      </c>
      <c r="D3840" s="2" t="s">
        <v>292</v>
      </c>
      <c r="E3840" s="2">
        <v>36</v>
      </c>
      <c r="F3840" s="2">
        <v>1868</v>
      </c>
    </row>
    <row r="3841" spans="3:6" x14ac:dyDescent="0.25">
      <c r="C3841" s="2" t="s">
        <v>7247</v>
      </c>
      <c r="D3841" s="2" t="s">
        <v>292</v>
      </c>
      <c r="E3841" s="2">
        <v>30</v>
      </c>
      <c r="F3841" s="2">
        <v>976</v>
      </c>
    </row>
    <row r="3842" spans="3:6" x14ac:dyDescent="0.25">
      <c r="C3842" s="2" t="s">
        <v>7248</v>
      </c>
      <c r="D3842" s="2" t="s">
        <v>292</v>
      </c>
      <c r="E3842" s="2">
        <v>6</v>
      </c>
      <c r="F3842" s="2">
        <v>370</v>
      </c>
    </row>
    <row r="3843" spans="3:6" x14ac:dyDescent="0.25">
      <c r="C3843" s="2" t="s">
        <v>7249</v>
      </c>
      <c r="D3843" s="2" t="s">
        <v>292</v>
      </c>
      <c r="E3843" s="2">
        <v>5</v>
      </c>
      <c r="F3843" s="2">
        <v>238</v>
      </c>
    </row>
    <row r="3844" spans="3:6" x14ac:dyDescent="0.25">
      <c r="C3844" s="2" t="s">
        <v>7250</v>
      </c>
      <c r="D3844" s="2" t="s">
        <v>292</v>
      </c>
      <c r="E3844" s="2">
        <v>4</v>
      </c>
      <c r="F3844" s="2">
        <v>252</v>
      </c>
    </row>
    <row r="3845" spans="3:6" x14ac:dyDescent="0.25">
      <c r="C3845" s="2" t="s">
        <v>7251</v>
      </c>
      <c r="D3845" s="2" t="s">
        <v>292</v>
      </c>
      <c r="E3845" s="2">
        <v>34</v>
      </c>
      <c r="F3845" s="2">
        <v>1693</v>
      </c>
    </row>
    <row r="3846" spans="3:6" x14ac:dyDescent="0.25">
      <c r="C3846" s="2" t="s">
        <v>7252</v>
      </c>
      <c r="D3846" s="2" t="s">
        <v>292</v>
      </c>
      <c r="E3846" s="2">
        <v>100</v>
      </c>
      <c r="F3846" s="2">
        <v>2882</v>
      </c>
    </row>
    <row r="3847" spans="3:6" x14ac:dyDescent="0.25">
      <c r="C3847" s="2" t="s">
        <v>7253</v>
      </c>
      <c r="D3847" s="2" t="s">
        <v>292</v>
      </c>
      <c r="E3847" s="2">
        <v>100</v>
      </c>
      <c r="F3847" s="2">
        <v>3221</v>
      </c>
    </row>
    <row r="3848" spans="3:6" x14ac:dyDescent="0.25">
      <c r="C3848" s="2" t="s">
        <v>7254</v>
      </c>
      <c r="D3848" s="2" t="s">
        <v>292</v>
      </c>
      <c r="E3848" s="2">
        <v>100</v>
      </c>
      <c r="F3848" s="2">
        <v>4652</v>
      </c>
    </row>
    <row r="3849" spans="3:6" x14ac:dyDescent="0.25">
      <c r="C3849" s="2" t="s">
        <v>7255</v>
      </c>
      <c r="D3849" s="2" t="s">
        <v>292</v>
      </c>
      <c r="E3849" s="2">
        <v>68</v>
      </c>
      <c r="F3849" s="2">
        <v>4275</v>
      </c>
    </row>
    <row r="3850" spans="3:6" x14ac:dyDescent="0.25">
      <c r="C3850" s="2" t="s">
        <v>7256</v>
      </c>
      <c r="D3850" s="2" t="s">
        <v>292</v>
      </c>
      <c r="E3850" s="2">
        <v>16</v>
      </c>
      <c r="F3850" s="2">
        <v>196</v>
      </c>
    </row>
    <row r="3851" spans="3:6" x14ac:dyDescent="0.25">
      <c r="C3851" s="2" t="s">
        <v>7257</v>
      </c>
      <c r="D3851" s="2" t="s">
        <v>292</v>
      </c>
      <c r="E3851" s="2">
        <v>61</v>
      </c>
      <c r="F3851" s="2">
        <v>6406</v>
      </c>
    </row>
    <row r="3852" spans="3:6" x14ac:dyDescent="0.25">
      <c r="C3852" s="2" t="s">
        <v>7258</v>
      </c>
      <c r="D3852" s="2" t="s">
        <v>292</v>
      </c>
      <c r="E3852" s="2">
        <v>38</v>
      </c>
      <c r="F3852" s="2">
        <v>1875</v>
      </c>
    </row>
    <row r="3853" spans="3:6" x14ac:dyDescent="0.25">
      <c r="C3853" s="2" t="s">
        <v>7259</v>
      </c>
      <c r="D3853" s="2" t="s">
        <v>292</v>
      </c>
      <c r="E3853" s="2">
        <v>3</v>
      </c>
      <c r="F3853" s="2">
        <v>486</v>
      </c>
    </row>
    <row r="3854" spans="3:6" x14ac:dyDescent="0.25">
      <c r="C3854" s="2" t="s">
        <v>7260</v>
      </c>
      <c r="D3854" s="2" t="s">
        <v>292</v>
      </c>
      <c r="E3854" s="2">
        <v>65</v>
      </c>
      <c r="F3854" s="2">
        <v>2725</v>
      </c>
    </row>
    <row r="3855" spans="3:6" x14ac:dyDescent="0.25">
      <c r="C3855" s="2" t="s">
        <v>7261</v>
      </c>
      <c r="D3855" s="2" t="s">
        <v>292</v>
      </c>
      <c r="E3855" s="2">
        <v>35</v>
      </c>
      <c r="F3855" s="2">
        <v>1923</v>
      </c>
    </row>
    <row r="3856" spans="3:6" x14ac:dyDescent="0.25">
      <c r="C3856" s="2" t="s">
        <v>7262</v>
      </c>
      <c r="D3856" s="2" t="s">
        <v>292</v>
      </c>
      <c r="E3856" s="2">
        <v>52</v>
      </c>
      <c r="F3856" s="2">
        <v>3139</v>
      </c>
    </row>
    <row r="3857" spans="3:6" x14ac:dyDescent="0.25">
      <c r="C3857" s="2" t="s">
        <v>7263</v>
      </c>
      <c r="D3857" s="2" t="s">
        <v>292</v>
      </c>
      <c r="E3857" s="2">
        <v>62</v>
      </c>
      <c r="F3857" s="2">
        <v>2197</v>
      </c>
    </row>
    <row r="3858" spans="3:6" x14ac:dyDescent="0.25">
      <c r="C3858" s="2" t="s">
        <v>7264</v>
      </c>
      <c r="D3858" s="2" t="s">
        <v>292</v>
      </c>
      <c r="E3858" s="2">
        <v>10</v>
      </c>
      <c r="F3858" s="2">
        <v>641</v>
      </c>
    </row>
    <row r="3859" spans="3:6" x14ac:dyDescent="0.25">
      <c r="C3859" s="2" t="s">
        <v>7265</v>
      </c>
      <c r="D3859" s="2" t="s">
        <v>292</v>
      </c>
      <c r="E3859" s="2">
        <v>38</v>
      </c>
      <c r="F3859" s="2">
        <v>458</v>
      </c>
    </row>
    <row r="3860" spans="3:6" x14ac:dyDescent="0.25">
      <c r="C3860" s="2" t="s">
        <v>7266</v>
      </c>
      <c r="D3860" s="2" t="s">
        <v>292</v>
      </c>
      <c r="E3860" s="2">
        <v>5</v>
      </c>
      <c r="F3860" s="2">
        <v>54</v>
      </c>
    </row>
    <row r="3861" spans="3:5" x14ac:dyDescent="0.25">
      <c r="C3861" s="2" t="s">
        <v>7267</v>
      </c>
      <c r="D3861" s="2" t="s">
        <v>292</v>
      </c>
      <c r="E3861" s="2">
        <v>61</v>
      </c>
    </row>
    <row r="3862" spans="3:5" x14ac:dyDescent="0.25">
      <c r="C3862" s="2" t="s">
        <v>7268</v>
      </c>
      <c r="D3862" s="2" t="s">
        <v>292</v>
      </c>
      <c r="E3862" s="2">
        <v>41</v>
      </c>
    </row>
    <row r="3864" spans="1:7" x14ac:dyDescent="0.25">
      <c r="A3864" s="1">
        <v>46202</v>
      </c>
      <c r="B3864" s="2" t="s">
        <v>128</v>
      </c>
      <c r="C3864" s="2" t="s">
        <v>7269</v>
      </c>
      <c r="D3864" s="2" t="s">
        <v>15</v>
      </c>
      <c r="E3864" s="2">
        <v>163</v>
      </c>
      <c r="F3864" s="2">
        <v>3210.429</v>
      </c>
      <c r="G3864" s="1">
        <v>46202</v>
      </c>
    </row>
    <row r="3865" spans="3:6" x14ac:dyDescent="0.25">
      <c r="C3865" s="2" t="s">
        <v>7270</v>
      </c>
      <c r="D3865" s="2" t="s">
        <v>15</v>
      </c>
      <c r="E3865" s="2">
        <v>163</v>
      </c>
      <c r="F3865" s="2">
        <v>3129.68</v>
      </c>
    </row>
    <row r="3866" spans="3:6" x14ac:dyDescent="0.25">
      <c r="C3866" s="2" t="s">
        <v>7271</v>
      </c>
      <c r="D3866" s="2" t="s">
        <v>15</v>
      </c>
      <c r="E3866" s="2">
        <v>163</v>
      </c>
      <c r="F3866" s="2">
        <v>3201.97</v>
      </c>
    </row>
    <row r="3867" spans="3:6" x14ac:dyDescent="0.25">
      <c r="C3867" s="2" t="s">
        <v>7272</v>
      </c>
      <c r="D3867" s="2" t="s">
        <v>15</v>
      </c>
      <c r="E3867" s="2">
        <v>58</v>
      </c>
      <c r="F3867" s="2">
        <v>1077</v>
      </c>
    </row>
    <row r="3868" spans="3:6" x14ac:dyDescent="0.25">
      <c r="C3868" s="2" t="s">
        <v>7273</v>
      </c>
      <c r="D3868" s="2" t="s">
        <v>15</v>
      </c>
      <c r="E3868" s="2">
        <v>47</v>
      </c>
      <c r="F3868" s="2">
        <v>976.13</v>
      </c>
    </row>
    <row r="3869" spans="3:6" x14ac:dyDescent="0.25">
      <c r="C3869" s="2" t="s">
        <v>7274</v>
      </c>
      <c r="D3869" s="2" t="s">
        <v>15</v>
      </c>
      <c r="E3869" s="2">
        <v>105</v>
      </c>
      <c r="F3869" s="2">
        <v>2108.43</v>
      </c>
    </row>
    <row r="3870" spans="3:6" x14ac:dyDescent="0.25">
      <c r="C3870" s="2" t="s">
        <v>7275</v>
      </c>
      <c r="D3870" s="2" t="s">
        <v>15</v>
      </c>
      <c r="E3870" s="2">
        <v>105</v>
      </c>
      <c r="F3870" s="2">
        <v>2097.05</v>
      </c>
    </row>
    <row r="3871" spans="3:6" x14ac:dyDescent="0.25">
      <c r="C3871" s="2" t="s">
        <v>7276</v>
      </c>
      <c r="D3871" s="2" t="s">
        <v>15</v>
      </c>
      <c r="E3871" s="2">
        <v>239</v>
      </c>
      <c r="F3871" s="2">
        <v>799.56</v>
      </c>
    </row>
    <row r="3872" spans="3:6" x14ac:dyDescent="0.25">
      <c r="C3872" s="2" t="s">
        <v>7277</v>
      </c>
      <c r="D3872" s="2" t="s">
        <v>26</v>
      </c>
      <c r="E3872" s="2">
        <v>100</v>
      </c>
      <c r="F3872" s="2">
        <v>1898.32</v>
      </c>
    </row>
    <row r="3873" spans="3:6" x14ac:dyDescent="0.25">
      <c r="C3873" s="2" t="s">
        <v>7278</v>
      </c>
      <c r="D3873" s="2" t="s">
        <v>26</v>
      </c>
      <c r="E3873" s="2">
        <v>56</v>
      </c>
      <c r="F3873" s="2">
        <v>1131.618</v>
      </c>
    </row>
    <row r="3874" spans="3:6" x14ac:dyDescent="0.25">
      <c r="C3874" s="2" t="s">
        <v>7279</v>
      </c>
      <c r="D3874" s="2" t="s">
        <v>26</v>
      </c>
      <c r="E3874" s="2">
        <v>56</v>
      </c>
      <c r="F3874" s="2">
        <v>1140.019</v>
      </c>
    </row>
    <row r="3875" spans="3:6" x14ac:dyDescent="0.25">
      <c r="C3875" s="2" t="s">
        <v>7280</v>
      </c>
      <c r="D3875" s="2" t="s">
        <v>26</v>
      </c>
      <c r="E3875" s="2">
        <v>100</v>
      </c>
      <c r="F3875" s="2">
        <v>1874.229</v>
      </c>
    </row>
    <row r="3876" spans="3:6" x14ac:dyDescent="0.25">
      <c r="C3876" s="2" t="s">
        <v>7281</v>
      </c>
      <c r="D3876" s="2" t="s">
        <v>30</v>
      </c>
      <c r="E3876" s="2">
        <v>134</v>
      </c>
      <c r="F3876" s="2">
        <v>2708.65</v>
      </c>
    </row>
    <row r="3877" spans="3:6" x14ac:dyDescent="0.25">
      <c r="C3877" s="2" t="s">
        <v>7282</v>
      </c>
      <c r="D3877" s="2" t="s">
        <v>30</v>
      </c>
      <c r="E3877" s="2">
        <v>134</v>
      </c>
      <c r="F3877" s="2">
        <v>2587.97</v>
      </c>
    </row>
    <row r="3878" spans="3:6" x14ac:dyDescent="0.25">
      <c r="C3878" s="2" t="s">
        <v>7283</v>
      </c>
      <c r="D3878" s="2" t="s">
        <v>30</v>
      </c>
      <c r="E3878" s="2">
        <v>134</v>
      </c>
      <c r="F3878" s="2">
        <v>2644.289</v>
      </c>
    </row>
    <row r="3879" spans="3:6" x14ac:dyDescent="0.25">
      <c r="C3879" s="2" t="s">
        <v>7284</v>
      </c>
      <c r="D3879" s="2" t="s">
        <v>30</v>
      </c>
      <c r="E3879" s="2">
        <v>134</v>
      </c>
      <c r="F3879" s="2">
        <v>2678.889</v>
      </c>
    </row>
    <row r="3880" spans="3:6" x14ac:dyDescent="0.25">
      <c r="C3880" s="2" t="s">
        <v>7285</v>
      </c>
      <c r="D3880" s="2" t="s">
        <v>30</v>
      </c>
      <c r="E3880" s="2">
        <v>134</v>
      </c>
      <c r="F3880" s="2">
        <v>2534.679</v>
      </c>
    </row>
    <row r="3881" spans="3:6" x14ac:dyDescent="0.25">
      <c r="C3881" s="2" t="s">
        <v>7286</v>
      </c>
      <c r="D3881" s="2" t="s">
        <v>30</v>
      </c>
      <c r="E3881" s="2">
        <v>163</v>
      </c>
      <c r="F3881" s="2">
        <v>3141.44</v>
      </c>
    </row>
    <row r="3882" spans="3:6" x14ac:dyDescent="0.25">
      <c r="C3882" s="2" t="s">
        <v>7287</v>
      </c>
      <c r="D3882" s="2" t="s">
        <v>30</v>
      </c>
      <c r="E3882" s="2">
        <v>40</v>
      </c>
      <c r="F3882" s="2">
        <v>779.5</v>
      </c>
    </row>
    <row r="3883" spans="3:6" x14ac:dyDescent="0.25">
      <c r="C3883" s="2" t="s">
        <v>7288</v>
      </c>
      <c r="D3883" s="2" t="s">
        <v>36</v>
      </c>
      <c r="E3883" s="2">
        <v>56</v>
      </c>
      <c r="F3883" s="2">
        <v>1094.04</v>
      </c>
    </row>
    <row r="3884" spans="3:6" x14ac:dyDescent="0.25">
      <c r="C3884" s="2" t="s">
        <v>7289</v>
      </c>
      <c r="D3884" s="2" t="s">
        <v>36</v>
      </c>
      <c r="E3884" s="2">
        <v>49</v>
      </c>
      <c r="F3884" s="2">
        <v>926.589</v>
      </c>
    </row>
    <row r="3885" spans="3:6" x14ac:dyDescent="0.25">
      <c r="C3885" s="2" t="s">
        <v>7290</v>
      </c>
      <c r="D3885" s="2" t="s">
        <v>36</v>
      </c>
      <c r="E3885" s="2">
        <v>50</v>
      </c>
      <c r="F3885" s="2">
        <v>928.169</v>
      </c>
    </row>
    <row r="3886" spans="3:6" x14ac:dyDescent="0.25">
      <c r="C3886" s="2" t="s">
        <v>7291</v>
      </c>
      <c r="D3886" s="2" t="s">
        <v>36</v>
      </c>
      <c r="E3886" s="2">
        <v>50</v>
      </c>
      <c r="F3886" s="2">
        <v>970.58</v>
      </c>
    </row>
    <row r="3887" spans="3:6" x14ac:dyDescent="0.25">
      <c r="C3887" s="2" t="s">
        <v>7292</v>
      </c>
      <c r="D3887" s="2" t="s">
        <v>36</v>
      </c>
      <c r="E3887" s="2">
        <v>34</v>
      </c>
      <c r="F3887" s="2">
        <v>637.65</v>
      </c>
    </row>
    <row r="3888" spans="3:6" x14ac:dyDescent="0.25">
      <c r="C3888" s="2" t="s">
        <v>7293</v>
      </c>
      <c r="D3888" s="2" t="s">
        <v>42</v>
      </c>
      <c r="E3888" s="2">
        <v>56</v>
      </c>
      <c r="F3888" s="2">
        <v>1054.26</v>
      </c>
    </row>
    <row r="3889" spans="3:6" x14ac:dyDescent="0.25">
      <c r="C3889" s="2" t="s">
        <v>7294</v>
      </c>
      <c r="D3889" s="2" t="s">
        <v>42</v>
      </c>
      <c r="E3889" s="2">
        <v>50</v>
      </c>
      <c r="F3889" s="2">
        <v>972.94</v>
      </c>
    </row>
    <row r="3890" spans="3:6" x14ac:dyDescent="0.25">
      <c r="C3890" s="2" t="s">
        <v>7295</v>
      </c>
      <c r="D3890" s="2" t="s">
        <v>42</v>
      </c>
      <c r="E3890" s="2">
        <v>50</v>
      </c>
      <c r="F3890" s="2">
        <v>951.34</v>
      </c>
    </row>
    <row r="3891" spans="3:6" x14ac:dyDescent="0.25">
      <c r="C3891" s="2" t="s">
        <v>7296</v>
      </c>
      <c r="D3891" s="2" t="s">
        <v>42</v>
      </c>
      <c r="E3891" s="2">
        <v>50</v>
      </c>
      <c r="F3891" s="2">
        <v>965.24</v>
      </c>
    </row>
    <row r="3892" spans="3:6" x14ac:dyDescent="0.25">
      <c r="C3892" s="2" t="s">
        <v>7297</v>
      </c>
      <c r="D3892" s="2" t="s">
        <v>42</v>
      </c>
      <c r="E3892" s="2">
        <v>50</v>
      </c>
      <c r="F3892" s="2">
        <v>914.57</v>
      </c>
    </row>
    <row r="3893" spans="3:6" x14ac:dyDescent="0.25">
      <c r="C3893" s="2" t="s">
        <v>7298</v>
      </c>
      <c r="D3893" s="2" t="s">
        <v>42</v>
      </c>
      <c r="E3893" s="2">
        <v>56</v>
      </c>
      <c r="F3893" s="2">
        <v>1084.4</v>
      </c>
    </row>
    <row r="3894" spans="3:6" x14ac:dyDescent="0.25">
      <c r="C3894" s="2" t="s">
        <v>7299</v>
      </c>
      <c r="D3894" s="2" t="s">
        <v>42</v>
      </c>
      <c r="E3894" s="2">
        <v>46</v>
      </c>
      <c r="F3894" s="2">
        <v>849.13</v>
      </c>
    </row>
    <row r="3895" spans="3:6" x14ac:dyDescent="0.25">
      <c r="C3895" s="2" t="s">
        <v>7300</v>
      </c>
      <c r="D3895" s="2" t="s">
        <v>42</v>
      </c>
      <c r="E3895" s="2">
        <v>40</v>
      </c>
      <c r="F3895" s="2">
        <v>759.25</v>
      </c>
    </row>
    <row r="3896" spans="3:6" x14ac:dyDescent="0.25">
      <c r="C3896" s="2" t="s">
        <v>7301</v>
      </c>
      <c r="D3896" s="2" t="s">
        <v>42</v>
      </c>
      <c r="E3896" s="2">
        <v>19</v>
      </c>
      <c r="F3896" s="2">
        <v>363.51</v>
      </c>
    </row>
    <row r="3898" spans="2:6" x14ac:dyDescent="0.25">
      <c r="B3898" s="2" t="s">
        <v>136</v>
      </c>
      <c r="C3898" s="2" t="s">
        <v>7302</v>
      </c>
      <c r="D3898" s="2" t="s">
        <v>136</v>
      </c>
      <c r="E3898" s="2">
        <v>156</v>
      </c>
      <c r="F3898" s="2">
        <v>3113.22</v>
      </c>
    </row>
    <row r="3899" spans="3:6" x14ac:dyDescent="0.25">
      <c r="C3899" s="2" t="s">
        <v>7303</v>
      </c>
      <c r="D3899" s="2" t="s">
        <v>136</v>
      </c>
      <c r="E3899" s="2">
        <v>157</v>
      </c>
      <c r="F3899" s="2">
        <v>3095.099</v>
      </c>
    </row>
    <row r="3901" spans="3:6" x14ac:dyDescent="0.25">
      <c r="C3901" s="2" t="s">
        <v>7304</v>
      </c>
      <c r="D3901" s="2" t="s">
        <v>26</v>
      </c>
      <c r="E3901" s="2">
        <v>1</v>
      </c>
      <c r="F3901" s="2">
        <v>8.9</v>
      </c>
    </row>
    <row r="3902" spans="3:6" x14ac:dyDescent="0.25">
      <c r="C3902" s="2" t="s">
        <v>7305</v>
      </c>
      <c r="D3902" s="2" t="s">
        <v>26</v>
      </c>
      <c r="E3902" s="2">
        <v>155</v>
      </c>
      <c r="F3902" s="2">
        <v>2861.408</v>
      </c>
    </row>
    <row r="3903" spans="3:6" x14ac:dyDescent="0.25">
      <c r="C3903" s="2" t="s">
        <v>7306</v>
      </c>
      <c r="D3903" s="2" t="s">
        <v>15</v>
      </c>
      <c r="E3903" s="2">
        <v>105</v>
      </c>
      <c r="F3903" s="2">
        <v>1824.88</v>
      </c>
    </row>
    <row r="3904" spans="3:6" x14ac:dyDescent="0.25">
      <c r="C3904" s="2" t="s">
        <v>7307</v>
      </c>
      <c r="D3904" s="2" t="s">
        <v>30</v>
      </c>
      <c r="E3904" s="2">
        <v>156</v>
      </c>
      <c r="F3904" s="2">
        <v>3015.789</v>
      </c>
    </row>
    <row r="3906" spans="1:7" x14ac:dyDescent="0.25">
      <c r="A3906" s="1">
        <v>46202</v>
      </c>
      <c r="B3906" s="2" t="s">
        <v>7</v>
      </c>
      <c r="C3906" s="2" t="s">
        <v>7308</v>
      </c>
      <c r="D3906" s="2" t="s">
        <v>9</v>
      </c>
      <c r="E3906" s="2">
        <v>99</v>
      </c>
      <c r="F3906" s="2">
        <v>1958.67</v>
      </c>
      <c r="G3906" s="1">
        <v>46202</v>
      </c>
    </row>
    <row r="3907" spans="3:6" x14ac:dyDescent="0.25">
      <c r="C3907" s="2" t="s">
        <v>7309</v>
      </c>
      <c r="D3907" s="2" t="s">
        <v>9</v>
      </c>
      <c r="E3907" s="2">
        <v>99</v>
      </c>
      <c r="F3907" s="2">
        <v>2022.16</v>
      </c>
    </row>
    <row r="3909" spans="1:7" x14ac:dyDescent="0.25">
      <c r="A3909" s="1">
        <v>46202</v>
      </c>
      <c r="B3909" s="2" t="s">
        <v>7310</v>
      </c>
      <c r="C3909" s="2" t="s">
        <v>7311</v>
      </c>
      <c r="D3909" s="2" t="s">
        <v>59</v>
      </c>
      <c r="E3909" s="2">
        <v>105</v>
      </c>
      <c r="F3909" s="2">
        <v>2165.03</v>
      </c>
      <c r="G3909" s="1">
        <v>46202</v>
      </c>
    </row>
    <row r="3910" spans="3:6" x14ac:dyDescent="0.25">
      <c r="C3910" s="2" t="s">
        <v>7312</v>
      </c>
      <c r="D3910" s="2" t="s">
        <v>59</v>
      </c>
      <c r="E3910" s="2">
        <v>268</v>
      </c>
      <c r="F3910" s="2">
        <v>5203.439</v>
      </c>
    </row>
    <row r="3911" spans="3:6" x14ac:dyDescent="0.25">
      <c r="C3911" s="2" t="s">
        <v>7313</v>
      </c>
      <c r="D3911" s="2" t="s">
        <v>59</v>
      </c>
      <c r="E3911" s="2">
        <v>103</v>
      </c>
      <c r="F3911" s="2">
        <v>2036.848</v>
      </c>
    </row>
    <row r="3912" spans="3:6" x14ac:dyDescent="0.25">
      <c r="C3912" s="2" t="s">
        <v>7314</v>
      </c>
      <c r="D3912" s="2" t="s">
        <v>59</v>
      </c>
      <c r="E3912" s="2">
        <v>325</v>
      </c>
      <c r="F3912" s="2">
        <v>6103.98</v>
      </c>
    </row>
    <row r="3913" spans="3:6" x14ac:dyDescent="0.25">
      <c r="C3913" s="2" t="s">
        <v>7315</v>
      </c>
      <c r="D3913" s="2" t="s">
        <v>59</v>
      </c>
      <c r="E3913" s="2">
        <v>161</v>
      </c>
      <c r="F3913" s="2">
        <v>2987.87</v>
      </c>
    </row>
    <row r="3914" spans="3:6" x14ac:dyDescent="0.25">
      <c r="C3914" s="2" t="s">
        <v>7316</v>
      </c>
      <c r="D3914" s="2" t="s">
        <v>59</v>
      </c>
      <c r="E3914" s="2">
        <v>268</v>
      </c>
      <c r="F3914" s="2">
        <v>5142.117</v>
      </c>
    </row>
    <row r="3915" spans="3:6" x14ac:dyDescent="0.25">
      <c r="C3915" s="2" t="s">
        <v>7317</v>
      </c>
      <c r="D3915" s="2" t="s">
        <v>59</v>
      </c>
      <c r="E3915" s="2">
        <v>163</v>
      </c>
      <c r="F3915" s="2">
        <v>3083.188</v>
      </c>
    </row>
    <row r="3916" spans="3:6" x14ac:dyDescent="0.25">
      <c r="C3916" s="2" t="s">
        <v>7318</v>
      </c>
      <c r="D3916" s="2" t="s">
        <v>59</v>
      </c>
      <c r="E3916" s="2">
        <v>105</v>
      </c>
      <c r="F3916" s="2">
        <v>2022.049</v>
      </c>
    </row>
    <row r="3918" spans="1:7" x14ac:dyDescent="0.25">
      <c r="A3918" s="1">
        <v>46202</v>
      </c>
      <c r="B3918" s="2" t="s">
        <v>1626</v>
      </c>
      <c r="C3918" s="2" t="s">
        <v>7319</v>
      </c>
      <c r="D3918" s="2" t="s">
        <v>59</v>
      </c>
      <c r="E3918" s="2">
        <v>149</v>
      </c>
      <c r="F3918" s="2">
        <v>2781.388</v>
      </c>
      <c r="G3918" s="1">
        <v>46202</v>
      </c>
    </row>
    <row r="3919" spans="3:6" x14ac:dyDescent="0.25">
      <c r="C3919" s="2" t="s">
        <v>7320</v>
      </c>
      <c r="D3919" s="2" t="s">
        <v>59</v>
      </c>
      <c r="E3919" s="2">
        <v>149</v>
      </c>
      <c r="F3919" s="2">
        <v>2834.34</v>
      </c>
    </row>
    <row r="3920" spans="3:6" x14ac:dyDescent="0.25">
      <c r="C3920" s="2" t="s">
        <v>7321</v>
      </c>
      <c r="D3920" s="2" t="s">
        <v>59</v>
      </c>
      <c r="E3920" s="2">
        <v>148</v>
      </c>
      <c r="F3920" s="2">
        <v>2763.71</v>
      </c>
    </row>
    <row r="3921" spans="3:6" x14ac:dyDescent="0.25">
      <c r="C3921" s="2" t="s">
        <v>7322</v>
      </c>
      <c r="D3921" s="2" t="s">
        <v>59</v>
      </c>
      <c r="E3921" s="2">
        <v>149</v>
      </c>
      <c r="F3921" s="2">
        <v>2868.959</v>
      </c>
    </row>
    <row r="3922" spans="3:6" x14ac:dyDescent="0.25">
      <c r="C3922" s="2" t="s">
        <v>7323</v>
      </c>
      <c r="D3922" s="2" t="s">
        <v>59</v>
      </c>
      <c r="E3922" s="2">
        <v>149</v>
      </c>
      <c r="F3922" s="2">
        <v>2789.27</v>
      </c>
    </row>
    <row r="3923" spans="3:6" x14ac:dyDescent="0.25">
      <c r="C3923" s="2" t="s">
        <v>7324</v>
      </c>
      <c r="D3923" s="2" t="s">
        <v>59</v>
      </c>
      <c r="E3923" s="2">
        <v>64</v>
      </c>
      <c r="F3923" s="2">
        <v>1458.565</v>
      </c>
    </row>
    <row r="3924" spans="3:6" x14ac:dyDescent="0.25">
      <c r="C3924" s="2" t="s">
        <v>7325</v>
      </c>
      <c r="D3924" s="2" t="s">
        <v>59</v>
      </c>
      <c r="E3924" s="2">
        <v>102</v>
      </c>
      <c r="F3924" s="2">
        <v>1975</v>
      </c>
    </row>
    <row r="3925" spans="3:6" x14ac:dyDescent="0.25">
      <c r="C3925" s="2" t="s">
        <v>7326</v>
      </c>
      <c r="D3925" s="2" t="s">
        <v>59</v>
      </c>
      <c r="E3925" s="2">
        <v>149</v>
      </c>
      <c r="F3925" s="2">
        <v>2760.51</v>
      </c>
    </row>
    <row r="3926" spans="3:6" x14ac:dyDescent="0.25">
      <c r="C3926" s="2" t="s">
        <v>7327</v>
      </c>
      <c r="D3926" s="2" t="s">
        <v>59</v>
      </c>
      <c r="E3926" s="2">
        <v>102</v>
      </c>
      <c r="F3926" s="2">
        <v>1992.63</v>
      </c>
    </row>
    <row r="3927" spans="3:6" x14ac:dyDescent="0.25">
      <c r="C3927" s="2" t="s">
        <v>7328</v>
      </c>
      <c r="D3927" s="2" t="s">
        <v>59</v>
      </c>
      <c r="E3927" s="2">
        <v>102</v>
      </c>
      <c r="F3927" s="2">
        <v>2113.89</v>
      </c>
    </row>
    <row r="3928" spans="3:6" x14ac:dyDescent="0.25">
      <c r="C3928" s="2" t="s">
        <v>7329</v>
      </c>
      <c r="D3928" s="2" t="s">
        <v>59</v>
      </c>
      <c r="E3928" s="2">
        <v>102</v>
      </c>
      <c r="F3928" s="2">
        <v>2052.749</v>
      </c>
    </row>
    <row r="3930" spans="1:7" x14ac:dyDescent="0.25">
      <c r="A3930" s="1">
        <v>46203</v>
      </c>
      <c r="B3930" s="2" t="s">
        <v>1012</v>
      </c>
      <c r="C3930" s="2" t="s">
        <v>7330</v>
      </c>
      <c r="D3930" s="2" t="s">
        <v>73</v>
      </c>
      <c r="E3930" s="2">
        <v>13</v>
      </c>
      <c r="F3930" s="2">
        <v>268.12</v>
      </c>
      <c r="G3930" s="1">
        <v>46205</v>
      </c>
    </row>
    <row r="3931" spans="3:6" x14ac:dyDescent="0.25">
      <c r="C3931" s="2" t="s">
        <v>7331</v>
      </c>
      <c r="D3931" s="2" t="s">
        <v>73</v>
      </c>
      <c r="E3931" s="2">
        <v>58</v>
      </c>
      <c r="F3931" s="2">
        <v>1064.19</v>
      </c>
    </row>
    <row r="3932" spans="3:6" x14ac:dyDescent="0.25">
      <c r="C3932" s="2" t="s">
        <v>7332</v>
      </c>
      <c r="D3932" s="2" t="s">
        <v>73</v>
      </c>
      <c r="E3932" s="2">
        <v>25</v>
      </c>
      <c r="F3932" s="2">
        <v>404.239</v>
      </c>
    </row>
    <row r="3933" spans="3:6" x14ac:dyDescent="0.25">
      <c r="C3933" s="2" t="s">
        <v>7333</v>
      </c>
      <c r="D3933" s="2" t="s">
        <v>73</v>
      </c>
      <c r="E3933" s="2">
        <v>93</v>
      </c>
      <c r="F3933" s="2">
        <v>1837.939</v>
      </c>
    </row>
    <row r="3934" spans="3:6" x14ac:dyDescent="0.25">
      <c r="C3934" s="2" t="s">
        <v>7334</v>
      </c>
      <c r="D3934" s="2" t="s">
        <v>73</v>
      </c>
      <c r="E3934" s="2">
        <v>92</v>
      </c>
      <c r="F3934" s="2">
        <v>1775.386</v>
      </c>
    </row>
    <row r="3935" spans="3:6" x14ac:dyDescent="0.25">
      <c r="C3935" s="2" t="s">
        <v>7335</v>
      </c>
      <c r="D3935" s="2" t="s">
        <v>73</v>
      </c>
      <c r="E3935" s="2">
        <v>5</v>
      </c>
      <c r="F3935" s="2">
        <v>103.6</v>
      </c>
    </row>
    <row r="3936" spans="3:6" x14ac:dyDescent="0.25">
      <c r="C3936" s="2" t="s">
        <v>7336</v>
      </c>
      <c r="D3936" s="2" t="s">
        <v>73</v>
      </c>
      <c r="E3936" s="2">
        <v>38</v>
      </c>
      <c r="F3936" s="2">
        <v>646.04</v>
      </c>
    </row>
    <row r="3937" spans="3:6" x14ac:dyDescent="0.25">
      <c r="C3937" s="2" t="s">
        <v>7337</v>
      </c>
      <c r="D3937" s="2" t="s">
        <v>73</v>
      </c>
      <c r="E3937" s="2">
        <v>41</v>
      </c>
      <c r="F3937" s="2">
        <v>759.869</v>
      </c>
    </row>
    <row r="3938" spans="3:6" x14ac:dyDescent="0.25">
      <c r="C3938" s="2" t="s">
        <v>7338</v>
      </c>
      <c r="D3938" s="2" t="s">
        <v>73</v>
      </c>
      <c r="E3938" s="2">
        <v>41</v>
      </c>
      <c r="F3938" s="2">
        <v>822.56</v>
      </c>
    </row>
    <row r="3939" spans="3:6" x14ac:dyDescent="0.25">
      <c r="C3939" s="2" t="s">
        <v>7339</v>
      </c>
      <c r="D3939" s="2" t="s">
        <v>73</v>
      </c>
      <c r="E3939" s="2">
        <v>98</v>
      </c>
      <c r="F3939" s="2">
        <v>1939.528</v>
      </c>
    </row>
    <row r="3941" spans="1:7" x14ac:dyDescent="0.25">
      <c r="A3941" s="1">
        <v>46203</v>
      </c>
      <c r="B3941" s="2" t="s">
        <v>7</v>
      </c>
      <c r="C3941" s="2" t="s">
        <v>7340</v>
      </c>
      <c r="D3941" s="2" t="s">
        <v>9</v>
      </c>
      <c r="E3941" s="2">
        <f>58+3+2</f>
        <v>63</v>
      </c>
      <c r="F3941" s="2">
        <v>1153.98</v>
      </c>
      <c r="G3941" s="1">
        <v>46203</v>
      </c>
    </row>
    <row r="3942" spans="3:6" x14ac:dyDescent="0.25">
      <c r="C3942" s="2" t="s">
        <v>7341</v>
      </c>
      <c r="D3942" s="2" t="s">
        <v>9</v>
      </c>
      <c r="E3942" s="2">
        <f>59+2+3</f>
        <v>64</v>
      </c>
      <c r="F3942" s="2">
        <v>1152.88</v>
      </c>
    </row>
    <row r="3944" spans="1:7" x14ac:dyDescent="0.25">
      <c r="A3944" s="1">
        <v>46203</v>
      </c>
      <c r="B3944" s="2" t="s">
        <v>420</v>
      </c>
      <c r="C3944" s="2" t="s">
        <v>7342</v>
      </c>
      <c r="D3944" s="2" t="s">
        <v>59</v>
      </c>
      <c r="E3944" s="2">
        <v>163</v>
      </c>
      <c r="F3944" s="2">
        <v>3193.729</v>
      </c>
      <c r="G3944" s="1">
        <v>46203</v>
      </c>
    </row>
    <row r="3945" spans="3:6" x14ac:dyDescent="0.25">
      <c r="C3945" s="2" t="s">
        <v>7343</v>
      </c>
      <c r="D3945" s="2" t="s">
        <v>59</v>
      </c>
      <c r="E3945" s="2">
        <v>163</v>
      </c>
      <c r="F3945" s="2">
        <v>3144.189</v>
      </c>
    </row>
    <row r="3946" spans="3:6" x14ac:dyDescent="0.25">
      <c r="C3946" s="2" t="s">
        <v>7344</v>
      </c>
      <c r="D3946" s="2" t="s">
        <v>59</v>
      </c>
      <c r="E3946" s="2">
        <v>105</v>
      </c>
      <c r="F3946" s="2">
        <v>2106.08</v>
      </c>
    </row>
    <row r="3947" spans="3:6" x14ac:dyDescent="0.25">
      <c r="C3947" s="2" t="s">
        <v>7345</v>
      </c>
      <c r="D3947" s="2" t="s">
        <v>59</v>
      </c>
      <c r="E3947" s="2">
        <v>105</v>
      </c>
      <c r="F3947" s="2">
        <v>1992.04</v>
      </c>
    </row>
    <row r="3948" spans="3:6" x14ac:dyDescent="0.25">
      <c r="C3948" s="2" t="s">
        <v>7346</v>
      </c>
      <c r="D3948" s="2" t="s">
        <v>59</v>
      </c>
      <c r="E3948" s="2">
        <v>105</v>
      </c>
      <c r="F3948" s="2">
        <v>2151.92</v>
      </c>
    </row>
    <row r="3949" spans="3:6" x14ac:dyDescent="0.25">
      <c r="C3949" s="2" t="s">
        <v>7347</v>
      </c>
      <c r="D3949" s="2" t="s">
        <v>59</v>
      </c>
      <c r="E3949" s="2">
        <v>105</v>
      </c>
      <c r="F3949" s="2">
        <v>2056.49</v>
      </c>
    </row>
    <row r="3950" spans="3:6" x14ac:dyDescent="0.25">
      <c r="C3950" s="2" t="s">
        <v>7348</v>
      </c>
      <c r="D3950" s="2" t="s">
        <v>59</v>
      </c>
      <c r="E3950" s="2">
        <v>102</v>
      </c>
      <c r="F3950" s="2">
        <v>2029.81</v>
      </c>
    </row>
    <row r="3951" spans="3:6" x14ac:dyDescent="0.25">
      <c r="C3951" s="2" t="s">
        <v>7349</v>
      </c>
      <c r="D3951" s="2" t="s">
        <v>59</v>
      </c>
      <c r="E3951" s="2">
        <v>163</v>
      </c>
      <c r="F3951" s="2">
        <v>3160.41</v>
      </c>
    </row>
    <row r="3959" spans="1:7" x14ac:dyDescent="0.25">
      <c r="A3959" s="5"/>
      <c r="B3959" s="6"/>
      <c r="C3959" s="6"/>
      <c r="D3959" s="6"/>
      <c r="E3959" s="6"/>
      <c r="F3959" s="6"/>
      <c r="G3959" s="5"/>
    </row>
    <row r="3960" ht="16.5" customHeight="1" spans="2:8" x14ac:dyDescent="0.25">
      <c r="B3960" s="7" t="s">
        <v>669</v>
      </c>
      <c r="C3960" s="8">
        <f>COUNTA(C3:C3959)</f>
        <v>3690</v>
      </c>
      <c r="E3960" s="7" t="s">
        <v>670</v>
      </c>
      <c r="F3960" s="9">
        <f>SUM(F3:F3959)</f>
        <v>6297652.424999994</v>
      </c>
      <c r="G3960" s="1" t="s">
        <v>671</v>
      </c>
      <c r="H3960" s="10">
        <f>F3960*0.04</f>
        <v>251906.09699999978</v>
      </c>
    </row>
    <row r="3961" ht="13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01"/>
  <sheetViews>
    <sheetView workbookViewId="0" zoomScale="100" zoomScaleNormal="100">
      <pane ySplit="3" topLeftCell="A3120" activePane="bottomLeft" state="frozen"/>
      <selection pane="bottomLeft" activeCell="H3137" sqref="H3137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6" spans="1:7" x14ac:dyDescent="0.25">
      <c r="A6" s="1">
        <v>46204</v>
      </c>
      <c r="B6" s="2" t="s">
        <v>229</v>
      </c>
      <c r="C6" s="2" t="s">
        <v>672</v>
      </c>
      <c r="D6" s="2" t="s">
        <v>292</v>
      </c>
      <c r="E6" s="2">
        <v>123</v>
      </c>
      <c r="F6" s="2">
        <v>2299.379</v>
      </c>
      <c r="G6" s="1">
        <v>46205</v>
      </c>
    </row>
    <row r="7" spans="3:6" x14ac:dyDescent="0.25">
      <c r="C7" s="2" t="s">
        <v>673</v>
      </c>
      <c r="D7" s="2" t="s">
        <v>292</v>
      </c>
      <c r="E7" s="2">
        <v>141</v>
      </c>
      <c r="F7" s="2">
        <v>3009.81</v>
      </c>
    </row>
    <row r="8" spans="3:6" x14ac:dyDescent="0.25">
      <c r="C8" s="2" t="s">
        <v>674</v>
      </c>
      <c r="D8" s="2" t="s">
        <v>292</v>
      </c>
      <c r="E8" s="2">
        <v>141</v>
      </c>
      <c r="F8" s="2">
        <v>2824.96</v>
      </c>
    </row>
    <row r="9" spans="3:6" x14ac:dyDescent="0.25">
      <c r="C9" s="2" t="s">
        <v>675</v>
      </c>
      <c r="D9" s="2" t="s">
        <v>292</v>
      </c>
      <c r="E9" s="2">
        <v>141</v>
      </c>
      <c r="F9" s="2">
        <v>2753.779</v>
      </c>
    </row>
    <row r="10" spans="3:6" x14ac:dyDescent="0.25">
      <c r="C10" s="2" t="s">
        <v>676</v>
      </c>
      <c r="D10" s="2" t="s">
        <v>292</v>
      </c>
      <c r="E10" s="2">
        <v>141</v>
      </c>
      <c r="F10" s="2">
        <v>2777.179</v>
      </c>
    </row>
    <row r="11" spans="3:6" x14ac:dyDescent="0.25">
      <c r="C11" s="2" t="s">
        <v>677</v>
      </c>
      <c r="D11" s="2" t="s">
        <v>292</v>
      </c>
      <c r="E11" s="2">
        <v>141</v>
      </c>
      <c r="F11" s="2">
        <v>2938.459</v>
      </c>
    </row>
    <row r="12" spans="3:6" x14ac:dyDescent="0.25">
      <c r="C12" s="2" t="s">
        <v>678</v>
      </c>
      <c r="D12" s="2" t="s">
        <v>292</v>
      </c>
      <c r="E12" s="2">
        <v>67</v>
      </c>
      <c r="F12" s="2">
        <v>1474.27</v>
      </c>
    </row>
    <row r="13" spans="3:6" x14ac:dyDescent="0.25">
      <c r="C13" s="2" t="s">
        <v>679</v>
      </c>
      <c r="D13" s="2" t="s">
        <v>292</v>
      </c>
      <c r="E13" s="2">
        <v>126</v>
      </c>
      <c r="F13" s="2">
        <v>1741.877</v>
      </c>
    </row>
    <row r="14" spans="3:6" x14ac:dyDescent="0.25">
      <c r="C14" s="2" t="s">
        <v>680</v>
      </c>
      <c r="D14" s="2" t="s">
        <v>292</v>
      </c>
      <c r="E14" s="2">
        <v>54</v>
      </c>
      <c r="F14" s="2">
        <v>1098.02</v>
      </c>
    </row>
    <row r="15" spans="3:6" x14ac:dyDescent="0.25">
      <c r="C15" s="2" t="s">
        <v>681</v>
      </c>
      <c r="D15" s="2" t="s">
        <v>292</v>
      </c>
      <c r="E15" s="2">
        <v>87</v>
      </c>
      <c r="F15" s="2">
        <v>1694.86</v>
      </c>
    </row>
    <row r="16" spans="3:6" x14ac:dyDescent="0.25">
      <c r="C16" s="2" t="s">
        <v>682</v>
      </c>
      <c r="D16" s="2" t="s">
        <v>292</v>
      </c>
      <c r="E16" s="2">
        <v>56</v>
      </c>
      <c r="F16" s="2">
        <v>1145.75</v>
      </c>
    </row>
    <row r="17" spans="3:6" x14ac:dyDescent="0.25">
      <c r="C17" s="2" t="s">
        <v>683</v>
      </c>
      <c r="D17" s="2" t="s">
        <v>292</v>
      </c>
      <c r="E17" s="2">
        <v>63</v>
      </c>
      <c r="F17" s="2">
        <v>1113.89</v>
      </c>
    </row>
    <row r="18" spans="3:6" x14ac:dyDescent="0.25">
      <c r="C18" s="2" t="s">
        <v>684</v>
      </c>
      <c r="D18" s="2" t="s">
        <v>292</v>
      </c>
      <c r="E18" s="2">
        <v>78</v>
      </c>
      <c r="F18" s="2">
        <v>1501.129</v>
      </c>
    </row>
    <row r="19" spans="3:6" x14ac:dyDescent="0.25">
      <c r="C19" s="2" t="s">
        <v>685</v>
      </c>
      <c r="D19" s="2" t="s">
        <v>292</v>
      </c>
      <c r="E19" s="2">
        <v>60</v>
      </c>
      <c r="F19" s="2">
        <v>1325.34</v>
      </c>
    </row>
    <row r="20" spans="3:6" x14ac:dyDescent="0.25">
      <c r="C20" s="2" t="s">
        <v>686</v>
      </c>
      <c r="D20" s="2" t="s">
        <v>292</v>
      </c>
      <c r="E20" s="2">
        <v>81</v>
      </c>
      <c r="F20" s="2">
        <v>1641.1</v>
      </c>
    </row>
    <row r="21" spans="3:6" x14ac:dyDescent="0.25">
      <c r="C21" s="2" t="s">
        <v>687</v>
      </c>
      <c r="D21" s="2" t="s">
        <v>292</v>
      </c>
      <c r="E21" s="2">
        <v>141</v>
      </c>
      <c r="F21" s="2">
        <v>2859.29</v>
      </c>
    </row>
    <row r="22" spans="3:6" x14ac:dyDescent="0.25">
      <c r="C22" s="2" t="s">
        <v>688</v>
      </c>
      <c r="D22" s="2" t="s">
        <v>292</v>
      </c>
      <c r="E22" s="2">
        <v>110</v>
      </c>
      <c r="F22" s="2">
        <v>1602.298</v>
      </c>
    </row>
    <row r="23" spans="3:6" x14ac:dyDescent="0.25">
      <c r="C23" s="2" t="s">
        <v>689</v>
      </c>
      <c r="D23" s="2" t="s">
        <v>292</v>
      </c>
      <c r="E23" s="2">
        <v>60</v>
      </c>
      <c r="F23" s="2">
        <v>298.39</v>
      </c>
    </row>
    <row r="24" spans="3:6" x14ac:dyDescent="0.25">
      <c r="C24" s="2" t="s">
        <v>690</v>
      </c>
      <c r="D24" s="2" t="s">
        <v>292</v>
      </c>
      <c r="E24" s="2">
        <v>65</v>
      </c>
      <c r="F24" s="2">
        <v>1340.88</v>
      </c>
    </row>
    <row r="25" spans="3:6" x14ac:dyDescent="0.25">
      <c r="C25" s="2" t="s">
        <v>691</v>
      </c>
      <c r="D25" s="2" t="s">
        <v>292</v>
      </c>
      <c r="E25" s="2">
        <v>10</v>
      </c>
      <c r="F25" s="2">
        <v>209.67</v>
      </c>
    </row>
    <row r="26" spans="3:6" x14ac:dyDescent="0.25">
      <c r="C26" s="2" t="s">
        <v>692</v>
      </c>
      <c r="D26" s="2" t="s">
        <v>292</v>
      </c>
      <c r="E26" s="2">
        <v>27</v>
      </c>
      <c r="F26" s="2">
        <v>521.892</v>
      </c>
    </row>
    <row r="27" spans="3:6" x14ac:dyDescent="0.25">
      <c r="C27" s="2" t="s">
        <v>693</v>
      </c>
      <c r="D27" s="2" t="s">
        <v>292</v>
      </c>
      <c r="E27" s="2">
        <v>107</v>
      </c>
      <c r="F27" s="2">
        <v>2086.44</v>
      </c>
    </row>
    <row r="28" spans="3:6" x14ac:dyDescent="0.25">
      <c r="C28" s="2" t="s">
        <v>694</v>
      </c>
      <c r="D28" s="2" t="s">
        <v>292</v>
      </c>
      <c r="E28" s="2">
        <v>60</v>
      </c>
      <c r="F28" s="2">
        <v>282.24</v>
      </c>
    </row>
    <row r="29" spans="3:6" x14ac:dyDescent="0.25">
      <c r="C29" s="2" t="s">
        <v>695</v>
      </c>
      <c r="D29" s="2" t="s">
        <v>292</v>
      </c>
      <c r="E29" s="2">
        <v>40</v>
      </c>
      <c r="F29" s="2">
        <v>773.17</v>
      </c>
    </row>
    <row r="30" spans="3:6" x14ac:dyDescent="0.25">
      <c r="C30" s="2" t="s">
        <v>696</v>
      </c>
      <c r="D30" s="2" t="s">
        <v>292</v>
      </c>
      <c r="E30" s="2">
        <v>37</v>
      </c>
      <c r="F30" s="2">
        <v>723.81</v>
      </c>
    </row>
    <row r="31" spans="3:6" x14ac:dyDescent="0.25">
      <c r="C31" s="2" t="s">
        <v>697</v>
      </c>
      <c r="D31" s="2" t="s">
        <v>292</v>
      </c>
      <c r="E31" s="2">
        <v>46</v>
      </c>
      <c r="F31" s="2">
        <v>931.49</v>
      </c>
    </row>
    <row r="32" spans="3:6" x14ac:dyDescent="0.25">
      <c r="C32" s="2" t="s">
        <v>698</v>
      </c>
      <c r="D32" s="2" t="s">
        <v>292</v>
      </c>
      <c r="E32" s="2">
        <v>122</v>
      </c>
      <c r="F32" s="2">
        <v>2661.01</v>
      </c>
    </row>
    <row r="33" spans="3:6" x14ac:dyDescent="0.25">
      <c r="C33" s="2" t="s">
        <v>699</v>
      </c>
      <c r="D33" s="2" t="s">
        <v>292</v>
      </c>
      <c r="E33" s="2">
        <v>19</v>
      </c>
      <c r="F33" s="2">
        <v>348.459</v>
      </c>
    </row>
    <row r="34" spans="3:6" x14ac:dyDescent="0.25">
      <c r="C34" s="2" t="s">
        <v>700</v>
      </c>
      <c r="D34" s="2" t="s">
        <v>292</v>
      </c>
      <c r="E34" s="2">
        <v>50</v>
      </c>
      <c r="F34" s="2">
        <v>237.34</v>
      </c>
    </row>
    <row r="35" spans="3:6" x14ac:dyDescent="0.25">
      <c r="C35" s="2" t="s">
        <v>701</v>
      </c>
      <c r="D35" s="2" t="s">
        <v>292</v>
      </c>
      <c r="E35" s="2">
        <v>82</v>
      </c>
      <c r="F35" s="2">
        <v>1623.78</v>
      </c>
    </row>
    <row r="36" spans="3:6" x14ac:dyDescent="0.25">
      <c r="C36" s="2" t="s">
        <v>702</v>
      </c>
      <c r="D36" s="2" t="s">
        <v>292</v>
      </c>
      <c r="E36" s="2">
        <v>102</v>
      </c>
      <c r="F36" s="2">
        <v>2117.5</v>
      </c>
    </row>
    <row r="37" spans="3:6" x14ac:dyDescent="0.25">
      <c r="C37" s="2" t="s">
        <v>703</v>
      </c>
      <c r="D37" s="2" t="s">
        <v>292</v>
      </c>
      <c r="E37" s="2">
        <v>18</v>
      </c>
      <c r="F37" s="2">
        <v>343.439</v>
      </c>
    </row>
    <row r="38" spans="3:6" x14ac:dyDescent="0.25">
      <c r="C38" s="2" t="s">
        <v>704</v>
      </c>
      <c r="D38" s="2" t="s">
        <v>292</v>
      </c>
      <c r="E38" s="2">
        <v>58</v>
      </c>
      <c r="F38" s="2">
        <v>1276.032</v>
      </c>
    </row>
    <row r="39" spans="3:6" x14ac:dyDescent="0.25">
      <c r="C39" s="2" t="s">
        <v>705</v>
      </c>
      <c r="D39" s="2" t="s">
        <v>292</v>
      </c>
      <c r="E39" s="2">
        <v>20</v>
      </c>
      <c r="F39" s="2">
        <v>402.51</v>
      </c>
    </row>
    <row r="40" spans="3:6" x14ac:dyDescent="0.25">
      <c r="C40" s="2" t="s">
        <v>706</v>
      </c>
      <c r="D40" s="2" t="s">
        <v>292</v>
      </c>
      <c r="E40" s="2">
        <v>80</v>
      </c>
      <c r="F40" s="2">
        <v>1565.69</v>
      </c>
    </row>
    <row r="41" spans="3:6" x14ac:dyDescent="0.25">
      <c r="C41" s="2" t="s">
        <v>707</v>
      </c>
      <c r="D41" s="2" t="s">
        <v>292</v>
      </c>
      <c r="E41" s="2">
        <v>83</v>
      </c>
      <c r="F41" s="2">
        <v>1592.89</v>
      </c>
    </row>
    <row r="42" spans="3:6" x14ac:dyDescent="0.25">
      <c r="C42" s="2" t="s">
        <v>708</v>
      </c>
      <c r="D42" s="2" t="s">
        <v>292</v>
      </c>
      <c r="E42" s="2">
        <v>38</v>
      </c>
      <c r="F42" s="2">
        <v>710.76</v>
      </c>
    </row>
    <row r="43" spans="3:6" x14ac:dyDescent="0.25">
      <c r="C43" s="2" t="s">
        <v>709</v>
      </c>
      <c r="D43" s="2" t="s">
        <v>292</v>
      </c>
      <c r="E43" s="2">
        <v>57</v>
      </c>
      <c r="F43" s="2">
        <v>1053.478</v>
      </c>
    </row>
    <row r="44" spans="3:6" x14ac:dyDescent="0.25">
      <c r="C44" s="2" t="s">
        <v>710</v>
      </c>
      <c r="D44" s="2" t="s">
        <v>292</v>
      </c>
      <c r="E44" s="2">
        <v>21</v>
      </c>
      <c r="F44" s="2">
        <v>383.32</v>
      </c>
    </row>
    <row r="45" spans="3:6" x14ac:dyDescent="0.25">
      <c r="C45" s="2" t="s">
        <v>711</v>
      </c>
      <c r="D45" s="2" t="s">
        <v>292</v>
      </c>
      <c r="E45" s="2">
        <v>29</v>
      </c>
      <c r="F45" s="2">
        <v>543.89</v>
      </c>
    </row>
    <row r="46" spans="3:6" x14ac:dyDescent="0.25">
      <c r="C46" s="2" t="s">
        <v>712</v>
      </c>
      <c r="D46" s="2" t="s">
        <v>292</v>
      </c>
      <c r="E46" s="2">
        <v>63</v>
      </c>
      <c r="F46" s="2">
        <v>1029.43</v>
      </c>
    </row>
    <row r="47" spans="3:6" x14ac:dyDescent="0.25">
      <c r="C47" s="2" t="s">
        <v>713</v>
      </c>
      <c r="D47" s="2" t="s">
        <v>292</v>
      </c>
      <c r="E47" s="2">
        <v>112</v>
      </c>
      <c r="F47" s="2">
        <v>1852.33</v>
      </c>
    </row>
    <row r="48" spans="3:6" x14ac:dyDescent="0.25">
      <c r="C48" s="2" t="s">
        <v>714</v>
      </c>
      <c r="D48" s="2" t="s">
        <v>292</v>
      </c>
      <c r="E48" s="2">
        <v>17</v>
      </c>
      <c r="F48" s="2">
        <v>355.45</v>
      </c>
    </row>
    <row r="49" spans="3:6" x14ac:dyDescent="0.25">
      <c r="C49" s="2" t="s">
        <v>715</v>
      </c>
      <c r="D49" s="2" t="s">
        <v>292</v>
      </c>
      <c r="E49" s="2">
        <v>20</v>
      </c>
      <c r="F49" s="2">
        <v>426.35</v>
      </c>
    </row>
    <row r="50" spans="3:6" x14ac:dyDescent="0.25">
      <c r="C50" s="2" t="s">
        <v>716</v>
      </c>
      <c r="D50" s="2" t="s">
        <v>292</v>
      </c>
      <c r="E50" s="2">
        <v>99</v>
      </c>
      <c r="F50" s="2">
        <v>2009.94</v>
      </c>
    </row>
    <row r="51" spans="3:6" x14ac:dyDescent="0.25">
      <c r="C51" s="2" t="s">
        <v>717</v>
      </c>
      <c r="D51" s="2" t="s">
        <v>292</v>
      </c>
      <c r="E51" s="2">
        <v>35</v>
      </c>
      <c r="F51" s="2">
        <v>728.43</v>
      </c>
    </row>
    <row r="52" spans="3:6" x14ac:dyDescent="0.25">
      <c r="C52" s="2" t="s">
        <v>718</v>
      </c>
      <c r="D52" s="2" t="s">
        <v>292</v>
      </c>
      <c r="E52" s="2">
        <v>59</v>
      </c>
      <c r="F52" s="2">
        <v>1159.19</v>
      </c>
    </row>
    <row r="53" spans="3:6" x14ac:dyDescent="0.25">
      <c r="C53" s="2" t="s">
        <v>719</v>
      </c>
      <c r="D53" s="2" t="s">
        <v>292</v>
      </c>
      <c r="E53" s="2">
        <v>65</v>
      </c>
      <c r="F53" s="2">
        <v>1236.018</v>
      </c>
    </row>
    <row r="54" spans="3:6" x14ac:dyDescent="0.25">
      <c r="C54" s="2" t="s">
        <v>720</v>
      </c>
      <c r="D54" s="2" t="s">
        <v>292</v>
      </c>
      <c r="E54" s="2">
        <v>41</v>
      </c>
      <c r="F54" s="2">
        <v>816.61</v>
      </c>
    </row>
    <row r="56" spans="1:7" x14ac:dyDescent="0.25">
      <c r="A56" s="1">
        <v>46204</v>
      </c>
      <c r="B56" s="2" t="s">
        <v>7</v>
      </c>
      <c r="C56" s="2" t="s">
        <v>721</v>
      </c>
      <c r="D56" s="2" t="s">
        <v>9</v>
      </c>
      <c r="E56" s="2">
        <v>99</v>
      </c>
      <c r="F56" s="2">
        <v>1981.83</v>
      </c>
      <c r="G56" s="1">
        <v>46205</v>
      </c>
    </row>
    <row r="57" spans="3:6" x14ac:dyDescent="0.25">
      <c r="C57" s="2" t="s">
        <v>722</v>
      </c>
      <c r="D57" s="2" t="s">
        <v>9</v>
      </c>
      <c r="E57" s="2">
        <v>99</v>
      </c>
      <c r="F57" s="2">
        <v>1925.751</v>
      </c>
    </row>
    <row r="59" spans="1:7" x14ac:dyDescent="0.25">
      <c r="A59" s="1">
        <v>46204</v>
      </c>
      <c r="B59" s="2" t="s">
        <v>378</v>
      </c>
      <c r="C59" s="2" t="s">
        <v>723</v>
      </c>
      <c r="D59" s="2" t="s">
        <v>30</v>
      </c>
      <c r="E59" s="2">
        <v>105</v>
      </c>
      <c r="F59" s="2">
        <v>2069.379</v>
      </c>
      <c r="G59" s="1">
        <v>46205</v>
      </c>
    </row>
    <row r="60" spans="3:6" x14ac:dyDescent="0.25">
      <c r="C60" s="2" t="s">
        <v>724</v>
      </c>
      <c r="D60" s="2" t="s">
        <v>30</v>
      </c>
      <c r="E60" s="2">
        <v>36</v>
      </c>
      <c r="F60" s="2">
        <v>697.34</v>
      </c>
    </row>
    <row r="61" spans="3:6" x14ac:dyDescent="0.25">
      <c r="C61" s="2" t="s">
        <v>725</v>
      </c>
      <c r="D61" s="2" t="s">
        <v>15</v>
      </c>
      <c r="E61" s="2">
        <v>163</v>
      </c>
      <c r="F61" s="2">
        <v>3122.089</v>
      </c>
    </row>
    <row r="62" spans="3:6" x14ac:dyDescent="0.25">
      <c r="C62" s="2" t="s">
        <v>726</v>
      </c>
      <c r="D62" s="2" t="s">
        <v>15</v>
      </c>
      <c r="E62" s="2">
        <v>240</v>
      </c>
      <c r="F62" s="2">
        <v>681.248</v>
      </c>
    </row>
    <row r="63" spans="3:6" x14ac:dyDescent="0.25">
      <c r="C63" s="2" t="s">
        <v>727</v>
      </c>
      <c r="D63" s="2" t="s">
        <v>36</v>
      </c>
      <c r="E63" s="2">
        <v>45</v>
      </c>
      <c r="F63" s="2">
        <v>850.63</v>
      </c>
    </row>
    <row r="64" spans="3:6" x14ac:dyDescent="0.25">
      <c r="C64" s="2" t="s">
        <v>728</v>
      </c>
      <c r="D64" s="2" t="s">
        <v>36</v>
      </c>
      <c r="E64" s="2">
        <v>60</v>
      </c>
      <c r="F64" s="2">
        <v>1128.84</v>
      </c>
    </row>
    <row r="65" spans="3:6" x14ac:dyDescent="0.25">
      <c r="C65" s="2" t="s">
        <v>729</v>
      </c>
      <c r="D65" s="2" t="s">
        <v>15</v>
      </c>
      <c r="E65" s="2">
        <v>163</v>
      </c>
      <c r="F65" s="2">
        <v>2797.41</v>
      </c>
    </row>
    <row r="66" spans="3:6" x14ac:dyDescent="0.25">
      <c r="C66" s="2" t="s">
        <v>730</v>
      </c>
      <c r="D66" s="2" t="s">
        <v>15</v>
      </c>
      <c r="E66" s="2">
        <v>163</v>
      </c>
      <c r="F66" s="2">
        <v>3112.46</v>
      </c>
    </row>
    <row r="67" spans="3:6" x14ac:dyDescent="0.25">
      <c r="C67" s="2" t="s">
        <v>731</v>
      </c>
      <c r="D67" s="2" t="s">
        <v>15</v>
      </c>
      <c r="E67" s="2">
        <v>163</v>
      </c>
      <c r="F67" s="2">
        <v>3151.358</v>
      </c>
    </row>
    <row r="68" spans="3:6" x14ac:dyDescent="0.25">
      <c r="C68" s="2" t="s">
        <v>732</v>
      </c>
      <c r="D68" s="2" t="s">
        <v>15</v>
      </c>
      <c r="E68" s="2">
        <v>95</v>
      </c>
      <c r="F68" s="2">
        <v>1256.83</v>
      </c>
    </row>
    <row r="69" spans="3:6" x14ac:dyDescent="0.25">
      <c r="C69" s="2" t="s">
        <v>733</v>
      </c>
      <c r="D69" s="2" t="s">
        <v>15</v>
      </c>
      <c r="E69" s="2">
        <v>134</v>
      </c>
      <c r="F69" s="2">
        <v>2473.27</v>
      </c>
    </row>
    <row r="70" spans="3:6" x14ac:dyDescent="0.25">
      <c r="C70" s="2" t="s">
        <v>734</v>
      </c>
      <c r="D70" s="2" t="s">
        <v>15</v>
      </c>
      <c r="E70" s="2">
        <v>163</v>
      </c>
      <c r="F70" s="2">
        <v>3224.33</v>
      </c>
    </row>
    <row r="71" spans="3:6" x14ac:dyDescent="0.25">
      <c r="C71" s="2" t="s">
        <v>735</v>
      </c>
      <c r="D71" s="2" t="s">
        <v>15</v>
      </c>
      <c r="E71" s="2">
        <v>163</v>
      </c>
      <c r="F71" s="2">
        <v>3138.809</v>
      </c>
    </row>
    <row r="72" spans="3:6" x14ac:dyDescent="0.25">
      <c r="C72" s="2" t="s">
        <v>736</v>
      </c>
      <c r="D72" s="2" t="s">
        <v>26</v>
      </c>
      <c r="E72" s="2">
        <v>56</v>
      </c>
      <c r="F72" s="2">
        <v>1126.99</v>
      </c>
    </row>
    <row r="73" spans="3:6" x14ac:dyDescent="0.25">
      <c r="C73" s="2" t="s">
        <v>737</v>
      </c>
      <c r="D73" s="2" t="s">
        <v>26</v>
      </c>
      <c r="E73" s="2">
        <v>100</v>
      </c>
      <c r="F73" s="2">
        <v>2027.27</v>
      </c>
    </row>
    <row r="74" spans="3:6" x14ac:dyDescent="0.25">
      <c r="C74" s="2" t="s">
        <v>738</v>
      </c>
      <c r="D74" s="2" t="s">
        <v>30</v>
      </c>
      <c r="E74" s="2">
        <v>105</v>
      </c>
      <c r="F74" s="2">
        <v>2023.83</v>
      </c>
    </row>
    <row r="75" spans="3:6" x14ac:dyDescent="0.25">
      <c r="C75" s="2" t="s">
        <v>739</v>
      </c>
      <c r="D75" s="2" t="s">
        <v>30</v>
      </c>
      <c r="E75" s="2">
        <v>105</v>
      </c>
      <c r="F75" s="2">
        <v>2160.81</v>
      </c>
    </row>
    <row r="76" spans="3:6" x14ac:dyDescent="0.25">
      <c r="C76" s="2" t="s">
        <v>740</v>
      </c>
      <c r="D76" s="2" t="s">
        <v>15</v>
      </c>
      <c r="E76" s="2">
        <v>105</v>
      </c>
      <c r="F76" s="2">
        <v>1796.94</v>
      </c>
    </row>
    <row r="77" spans="3:6" x14ac:dyDescent="0.25">
      <c r="C77" s="2" t="s">
        <v>741</v>
      </c>
      <c r="D77" s="2" t="s">
        <v>15</v>
      </c>
      <c r="E77" s="2">
        <v>163</v>
      </c>
      <c r="F77" s="2">
        <v>3182.959</v>
      </c>
    </row>
    <row r="78" spans="3:6" x14ac:dyDescent="0.25">
      <c r="C78" s="2" t="s">
        <v>742</v>
      </c>
      <c r="D78" s="2" t="s">
        <v>15</v>
      </c>
      <c r="E78" s="2">
        <v>163</v>
      </c>
      <c r="F78" s="2">
        <v>3088.799</v>
      </c>
    </row>
    <row r="79" spans="3:6" x14ac:dyDescent="0.25">
      <c r="C79" s="2" t="s">
        <v>743</v>
      </c>
      <c r="D79" s="2" t="s">
        <v>15</v>
      </c>
      <c r="E79" s="2">
        <v>163</v>
      </c>
      <c r="F79" s="2">
        <v>3175.499</v>
      </c>
    </row>
    <row r="80" spans="3:6" x14ac:dyDescent="0.25">
      <c r="C80" s="2" t="s">
        <v>744</v>
      </c>
      <c r="D80" s="2" t="s">
        <v>15</v>
      </c>
      <c r="E80" s="2">
        <v>163</v>
      </c>
      <c r="F80" s="2">
        <v>3061.75</v>
      </c>
    </row>
    <row r="81" spans="3:6" x14ac:dyDescent="0.25">
      <c r="C81" s="2" t="s">
        <v>745</v>
      </c>
      <c r="D81" s="2" t="s">
        <v>15</v>
      </c>
      <c r="E81" s="2">
        <v>163</v>
      </c>
      <c r="F81" s="2">
        <v>3112.329</v>
      </c>
    </row>
    <row r="82" spans="3:6" x14ac:dyDescent="0.25">
      <c r="C82" s="2" t="s">
        <v>746</v>
      </c>
      <c r="D82" s="2" t="s">
        <v>30</v>
      </c>
      <c r="E82" s="2">
        <v>134</v>
      </c>
      <c r="F82" s="2">
        <v>2606.938</v>
      </c>
    </row>
    <row r="83" spans="3:6" x14ac:dyDescent="0.25">
      <c r="C83" s="2" t="s">
        <v>747</v>
      </c>
      <c r="D83" s="2" t="s">
        <v>30</v>
      </c>
      <c r="E83" s="2">
        <v>134</v>
      </c>
      <c r="F83" s="2">
        <v>2717.379</v>
      </c>
    </row>
    <row r="84" spans="3:6" x14ac:dyDescent="0.25">
      <c r="C84" s="2" t="s">
        <v>748</v>
      </c>
      <c r="D84" s="2" t="s">
        <v>30</v>
      </c>
      <c r="E84" s="2">
        <v>134</v>
      </c>
      <c r="F84" s="2">
        <v>2690.26</v>
      </c>
    </row>
    <row r="85" spans="3:6" x14ac:dyDescent="0.25">
      <c r="C85" s="2" t="s">
        <v>749</v>
      </c>
      <c r="D85" s="2" t="s">
        <v>30</v>
      </c>
      <c r="E85" s="2">
        <v>134</v>
      </c>
      <c r="F85" s="2">
        <v>2682.19</v>
      </c>
    </row>
    <row r="86" spans="3:6" x14ac:dyDescent="0.25">
      <c r="C86" s="2" t="s">
        <v>750</v>
      </c>
      <c r="D86" s="2" t="s">
        <v>30</v>
      </c>
      <c r="E86" s="2">
        <v>134</v>
      </c>
      <c r="F86" s="2">
        <v>2669</v>
      </c>
    </row>
    <row r="87" spans="3:6" x14ac:dyDescent="0.25">
      <c r="C87" s="2" t="s">
        <v>751</v>
      </c>
      <c r="D87" s="2" t="s">
        <v>30</v>
      </c>
      <c r="E87" s="2">
        <v>134</v>
      </c>
      <c r="F87" s="2">
        <v>2615</v>
      </c>
    </row>
    <row r="88" spans="3:6" x14ac:dyDescent="0.25">
      <c r="C88" s="2" t="s">
        <v>752</v>
      </c>
      <c r="D88" s="2" t="s">
        <v>15</v>
      </c>
      <c r="E88" s="2">
        <v>29</v>
      </c>
      <c r="F88" s="2">
        <v>527.55</v>
      </c>
    </row>
    <row r="90" spans="2:6" x14ac:dyDescent="0.25">
      <c r="B90" s="2" t="s">
        <v>48</v>
      </c>
      <c r="C90" s="2" t="s">
        <v>753</v>
      </c>
      <c r="D90" s="2" t="s">
        <v>30</v>
      </c>
      <c r="E90" s="2">
        <v>156</v>
      </c>
      <c r="F90" s="2">
        <v>2839</v>
      </c>
    </row>
    <row r="91" spans="3:6" x14ac:dyDescent="0.25">
      <c r="C91" s="2" t="s">
        <v>754</v>
      </c>
      <c r="D91" s="2" t="s">
        <v>30</v>
      </c>
      <c r="E91" s="2">
        <v>158</v>
      </c>
      <c r="F91" s="2">
        <v>2834</v>
      </c>
    </row>
    <row r="92" spans="3:6" x14ac:dyDescent="0.25">
      <c r="C92" s="2" t="s">
        <v>755</v>
      </c>
      <c r="D92" s="2" t="s">
        <v>53</v>
      </c>
      <c r="E92" s="2">
        <v>106</v>
      </c>
      <c r="F92" s="2">
        <v>2008</v>
      </c>
    </row>
    <row r="94" spans="1:7" x14ac:dyDescent="0.25">
      <c r="A94" s="1">
        <v>46204</v>
      </c>
      <c r="B94" s="2" t="s">
        <v>427</v>
      </c>
      <c r="C94" s="2" t="s">
        <v>756</v>
      </c>
      <c r="D94" s="2" t="s">
        <v>59</v>
      </c>
      <c r="E94" s="2">
        <v>149</v>
      </c>
      <c r="F94" s="2">
        <v>3030.188</v>
      </c>
      <c r="G94" s="1">
        <v>46205</v>
      </c>
    </row>
    <row r="96" spans="1:7" x14ac:dyDescent="0.25">
      <c r="A96" s="1">
        <v>46205</v>
      </c>
      <c r="B96" s="2" t="s">
        <v>495</v>
      </c>
      <c r="C96" s="2" t="s">
        <v>757</v>
      </c>
      <c r="D96" s="2" t="s">
        <v>82</v>
      </c>
      <c r="E96" s="2">
        <v>37</v>
      </c>
      <c r="F96" s="2">
        <v>762.43</v>
      </c>
      <c r="G96" s="1">
        <v>46205</v>
      </c>
    </row>
    <row r="97" spans="3:6" x14ac:dyDescent="0.25">
      <c r="C97" s="2" t="s">
        <v>758</v>
      </c>
      <c r="D97" s="2" t="s">
        <v>82</v>
      </c>
      <c r="E97" s="2">
        <v>97</v>
      </c>
      <c r="F97" s="2">
        <v>1877.959</v>
      </c>
    </row>
    <row r="98" spans="3:6" x14ac:dyDescent="0.25">
      <c r="C98" s="2" t="s">
        <v>759</v>
      </c>
      <c r="D98" s="2" t="s">
        <v>82</v>
      </c>
      <c r="E98" s="2">
        <v>141</v>
      </c>
      <c r="F98" s="2">
        <v>2722.4</v>
      </c>
    </row>
    <row r="99" spans="3:6" x14ac:dyDescent="0.25">
      <c r="C99" s="2" t="s">
        <v>760</v>
      </c>
      <c r="D99" s="2" t="s">
        <v>82</v>
      </c>
      <c r="E99" s="2">
        <v>3</v>
      </c>
      <c r="F99" s="2">
        <v>32.86</v>
      </c>
    </row>
    <row r="100" spans="3:6" x14ac:dyDescent="0.25">
      <c r="C100" s="2" t="s">
        <v>761</v>
      </c>
      <c r="D100" s="2" t="s">
        <v>82</v>
      </c>
      <c r="E100" s="2">
        <v>23</v>
      </c>
      <c r="F100" s="2">
        <v>435.529</v>
      </c>
    </row>
    <row r="101" spans="3:6" x14ac:dyDescent="0.25">
      <c r="C101" s="2" t="s">
        <v>762</v>
      </c>
      <c r="D101" s="2" t="s">
        <v>82</v>
      </c>
      <c r="E101" s="2">
        <v>18</v>
      </c>
      <c r="F101" s="2">
        <v>345.3</v>
      </c>
    </row>
    <row r="102" spans="3:6" x14ac:dyDescent="0.25">
      <c r="C102" s="2" t="s">
        <v>763</v>
      </c>
      <c r="D102" s="2" t="s">
        <v>82</v>
      </c>
      <c r="E102" s="2">
        <v>16</v>
      </c>
      <c r="F102" s="2">
        <v>282.98</v>
      </c>
    </row>
    <row r="103" spans="3:6" x14ac:dyDescent="0.25">
      <c r="C103" s="2" t="s">
        <v>764</v>
      </c>
      <c r="D103" s="2" t="s">
        <v>82</v>
      </c>
      <c r="E103" s="2">
        <v>42</v>
      </c>
      <c r="F103" s="2">
        <v>817.56</v>
      </c>
    </row>
    <row r="104" spans="3:6" x14ac:dyDescent="0.25">
      <c r="C104" s="2" t="s">
        <v>765</v>
      </c>
      <c r="D104" s="2" t="s">
        <v>82</v>
      </c>
      <c r="E104" s="2">
        <v>141</v>
      </c>
      <c r="F104" s="2">
        <v>2663.07</v>
      </c>
    </row>
    <row r="105" spans="3:6" x14ac:dyDescent="0.25">
      <c r="C105" s="2" t="s">
        <v>766</v>
      </c>
      <c r="D105" s="2" t="s">
        <v>82</v>
      </c>
      <c r="E105" s="2">
        <v>141</v>
      </c>
      <c r="F105" s="2">
        <v>2739.88</v>
      </c>
    </row>
    <row r="106" spans="3:6" x14ac:dyDescent="0.25">
      <c r="C106" s="2" t="s">
        <v>767</v>
      </c>
      <c r="D106" s="2" t="s">
        <v>82</v>
      </c>
      <c r="E106" s="2">
        <v>141</v>
      </c>
      <c r="F106" s="2">
        <v>2711.639</v>
      </c>
    </row>
    <row r="107" spans="3:6" x14ac:dyDescent="0.25">
      <c r="C107" s="2" t="s">
        <v>768</v>
      </c>
      <c r="D107" s="2" t="s">
        <v>82</v>
      </c>
      <c r="E107" s="2">
        <v>103</v>
      </c>
      <c r="F107" s="2">
        <v>1962.168</v>
      </c>
    </row>
    <row r="108" spans="3:6" x14ac:dyDescent="0.25">
      <c r="C108" s="2" t="s">
        <v>769</v>
      </c>
      <c r="D108" s="2" t="s">
        <v>82</v>
      </c>
      <c r="E108" s="2">
        <v>39</v>
      </c>
      <c r="F108" s="2">
        <v>748.339</v>
      </c>
    </row>
    <row r="109" spans="3:6" x14ac:dyDescent="0.25">
      <c r="C109" s="2" t="s">
        <v>770</v>
      </c>
      <c r="D109" s="2" t="s">
        <v>82</v>
      </c>
      <c r="E109" s="2">
        <v>31</v>
      </c>
      <c r="F109" s="2">
        <v>600.08</v>
      </c>
    </row>
    <row r="110" spans="3:6" x14ac:dyDescent="0.25">
      <c r="C110" s="2" t="s">
        <v>771</v>
      </c>
      <c r="D110" s="2" t="s">
        <v>82</v>
      </c>
      <c r="E110" s="2">
        <v>51</v>
      </c>
      <c r="F110" s="2">
        <v>980.23</v>
      </c>
    </row>
    <row r="111" spans="3:6" x14ac:dyDescent="0.25">
      <c r="C111" s="2" t="s">
        <v>772</v>
      </c>
      <c r="D111" s="2" t="s">
        <v>82</v>
      </c>
      <c r="E111" s="2">
        <v>102</v>
      </c>
      <c r="F111" s="2">
        <v>2080.42</v>
      </c>
    </row>
    <row r="112" spans="3:6" x14ac:dyDescent="0.25">
      <c r="C112" s="2" t="s">
        <v>773</v>
      </c>
      <c r="D112" s="2" t="s">
        <v>82</v>
      </c>
      <c r="E112" s="2">
        <v>141</v>
      </c>
      <c r="F112" s="2">
        <v>2683.39</v>
      </c>
    </row>
    <row r="113" spans="3:6" x14ac:dyDescent="0.25">
      <c r="C113" s="2" t="s">
        <v>774</v>
      </c>
      <c r="D113" s="2" t="s">
        <v>82</v>
      </c>
      <c r="E113" s="2">
        <v>23</v>
      </c>
      <c r="F113" s="2">
        <v>452.959</v>
      </c>
    </row>
    <row r="114" spans="3:6" x14ac:dyDescent="0.25">
      <c r="C114" s="2" t="s">
        <v>775</v>
      </c>
      <c r="D114" s="2" t="s">
        <v>82</v>
      </c>
      <c r="E114" s="2">
        <v>98</v>
      </c>
      <c r="F114" s="2">
        <v>1881.43</v>
      </c>
    </row>
    <row r="115" spans="3:6" x14ac:dyDescent="0.25">
      <c r="C115" s="2" t="s">
        <v>776</v>
      </c>
      <c r="D115" s="2" t="s">
        <v>82</v>
      </c>
      <c r="E115" s="2">
        <v>76</v>
      </c>
      <c r="F115" s="2">
        <v>1488.39</v>
      </c>
    </row>
    <row r="116" spans="3:6" x14ac:dyDescent="0.25">
      <c r="C116" s="2" t="s">
        <v>777</v>
      </c>
      <c r="D116" s="2" t="s">
        <v>82</v>
      </c>
      <c r="E116" s="2">
        <v>14</v>
      </c>
      <c r="F116" s="2">
        <v>273.089</v>
      </c>
    </row>
    <row r="117" spans="3:6" x14ac:dyDescent="0.25">
      <c r="C117" s="2" t="s">
        <v>778</v>
      </c>
      <c r="D117" s="2" t="s">
        <v>82</v>
      </c>
      <c r="E117" s="2">
        <v>31</v>
      </c>
      <c r="F117" s="2">
        <v>584.67</v>
      </c>
    </row>
    <row r="118" spans="3:6" x14ac:dyDescent="0.25">
      <c r="C118" s="2" t="s">
        <v>779</v>
      </c>
      <c r="D118" s="2" t="s">
        <v>82</v>
      </c>
      <c r="E118" s="2">
        <v>69</v>
      </c>
      <c r="F118" s="2">
        <v>1223.49</v>
      </c>
    </row>
    <row r="119" spans="3:6" x14ac:dyDescent="0.25">
      <c r="C119" s="2" t="s">
        <v>780</v>
      </c>
      <c r="D119" s="2" t="s">
        <v>82</v>
      </c>
      <c r="E119" s="2">
        <v>16</v>
      </c>
      <c r="F119" s="2">
        <v>313.25</v>
      </c>
    </row>
    <row r="120" spans="3:6" x14ac:dyDescent="0.25">
      <c r="C120" s="2" t="s">
        <v>781</v>
      </c>
      <c r="D120" s="2" t="s">
        <v>82</v>
      </c>
      <c r="E120" s="2">
        <v>1</v>
      </c>
      <c r="F120" s="2">
        <v>8.4</v>
      </c>
    </row>
    <row r="121" spans="3:6" x14ac:dyDescent="0.25">
      <c r="C121" s="2" t="s">
        <v>782</v>
      </c>
      <c r="D121" s="2" t="s">
        <v>82</v>
      </c>
      <c r="E121" s="2">
        <v>28</v>
      </c>
      <c r="F121" s="2">
        <v>544.76</v>
      </c>
    </row>
    <row r="122" spans="3:6" x14ac:dyDescent="0.25">
      <c r="C122" s="2" t="s">
        <v>783</v>
      </c>
      <c r="D122" s="2" t="s">
        <v>82</v>
      </c>
      <c r="E122" s="2">
        <v>8</v>
      </c>
      <c r="F122" s="2">
        <v>158.39</v>
      </c>
    </row>
    <row r="123" spans="3:6" x14ac:dyDescent="0.25">
      <c r="C123" s="2" t="s">
        <v>784</v>
      </c>
      <c r="D123" s="2" t="s">
        <v>82</v>
      </c>
      <c r="E123" s="2">
        <v>7</v>
      </c>
      <c r="F123" s="2">
        <v>126.45</v>
      </c>
    </row>
    <row r="124" spans="3:6" x14ac:dyDescent="0.25">
      <c r="C124" s="2" t="s">
        <v>785</v>
      </c>
      <c r="D124" s="2" t="s">
        <v>82</v>
      </c>
      <c r="E124" s="2">
        <v>68</v>
      </c>
      <c r="F124" s="2">
        <v>1322</v>
      </c>
    </row>
    <row r="125" spans="3:6" x14ac:dyDescent="0.25">
      <c r="C125" s="2" t="s">
        <v>786</v>
      </c>
      <c r="D125" s="2" t="s">
        <v>82</v>
      </c>
      <c r="E125" s="2">
        <v>10</v>
      </c>
      <c r="F125" s="2">
        <v>195.27</v>
      </c>
    </row>
    <row r="126" spans="3:6" x14ac:dyDescent="0.25">
      <c r="C126" s="2" t="s">
        <v>787</v>
      </c>
      <c r="D126" s="2" t="s">
        <v>82</v>
      </c>
      <c r="E126" s="2">
        <v>20</v>
      </c>
      <c r="F126" s="2">
        <v>344.93</v>
      </c>
    </row>
    <row r="127" spans="3:6" x14ac:dyDescent="0.25">
      <c r="C127" s="2" t="s">
        <v>788</v>
      </c>
      <c r="D127" s="2" t="s">
        <v>82</v>
      </c>
      <c r="E127" s="2">
        <v>32</v>
      </c>
      <c r="F127" s="2">
        <v>558.72</v>
      </c>
    </row>
    <row r="128" spans="3:6" x14ac:dyDescent="0.25">
      <c r="C128" s="2" t="s">
        <v>789</v>
      </c>
      <c r="D128" s="2" t="s">
        <v>82</v>
      </c>
      <c r="E128" s="2">
        <v>40</v>
      </c>
      <c r="F128" s="2">
        <v>689.41</v>
      </c>
    </row>
    <row r="129" spans="3:6" x14ac:dyDescent="0.25">
      <c r="C129" s="2" t="s">
        <v>790</v>
      </c>
      <c r="D129" s="2" t="s">
        <v>82</v>
      </c>
      <c r="E129" s="2">
        <v>33</v>
      </c>
      <c r="F129" s="2">
        <v>141.07</v>
      </c>
    </row>
    <row r="130" spans="3:6" x14ac:dyDescent="0.25">
      <c r="C130" s="2" t="s">
        <v>791</v>
      </c>
      <c r="D130" s="2" t="s">
        <v>82</v>
      </c>
      <c r="E130" s="2">
        <v>84</v>
      </c>
      <c r="F130" s="2">
        <v>1637.6</v>
      </c>
    </row>
    <row r="131" spans="3:6" x14ac:dyDescent="0.25">
      <c r="C131" s="2" t="s">
        <v>792</v>
      </c>
      <c r="D131" s="2" t="s">
        <v>82</v>
      </c>
      <c r="E131" s="2">
        <v>18</v>
      </c>
      <c r="F131" s="2">
        <v>331.72</v>
      </c>
    </row>
    <row r="132" spans="3:6" x14ac:dyDescent="0.25">
      <c r="C132" s="2" t="s">
        <v>793</v>
      </c>
      <c r="D132" s="2" t="s">
        <v>82</v>
      </c>
      <c r="E132" s="2">
        <v>141</v>
      </c>
      <c r="F132" s="2">
        <v>2631.999</v>
      </c>
    </row>
    <row r="133" spans="3:6" x14ac:dyDescent="0.25">
      <c r="C133" s="2" t="s">
        <v>794</v>
      </c>
      <c r="D133" s="2" t="s">
        <v>82</v>
      </c>
      <c r="E133" s="2">
        <v>141</v>
      </c>
      <c r="F133" s="2">
        <v>2824.8</v>
      </c>
    </row>
    <row r="134" spans="3:6" x14ac:dyDescent="0.25">
      <c r="C134" s="2" t="s">
        <v>795</v>
      </c>
      <c r="D134" s="2" t="s">
        <v>82</v>
      </c>
      <c r="E134" s="2">
        <v>141</v>
      </c>
      <c r="F134" s="2">
        <v>2768.74</v>
      </c>
    </row>
    <row r="135" spans="3:6" x14ac:dyDescent="0.25">
      <c r="C135" s="2" t="s">
        <v>796</v>
      </c>
      <c r="D135" s="2" t="s">
        <v>82</v>
      </c>
      <c r="E135" s="2">
        <v>48</v>
      </c>
      <c r="F135" s="2">
        <v>910.02</v>
      </c>
    </row>
    <row r="136" spans="3:6" x14ac:dyDescent="0.25">
      <c r="C136" s="2" t="s">
        <v>797</v>
      </c>
      <c r="D136" s="2" t="s">
        <v>82</v>
      </c>
      <c r="E136" s="2">
        <v>93</v>
      </c>
      <c r="F136" s="2">
        <v>1783.12</v>
      </c>
    </row>
    <row r="137" spans="3:6" x14ac:dyDescent="0.25">
      <c r="C137" s="2" t="s">
        <v>798</v>
      </c>
      <c r="D137" s="2" t="s">
        <v>82</v>
      </c>
      <c r="E137" s="2">
        <v>46</v>
      </c>
      <c r="F137" s="2">
        <v>850.71</v>
      </c>
    </row>
    <row r="138" spans="3:6" x14ac:dyDescent="0.25">
      <c r="C138" s="2" t="s">
        <v>799</v>
      </c>
      <c r="D138" s="2" t="s">
        <v>82</v>
      </c>
      <c r="E138" s="2">
        <v>30</v>
      </c>
      <c r="F138" s="2">
        <v>590.72</v>
      </c>
    </row>
    <row r="139" spans="3:6" x14ac:dyDescent="0.25">
      <c r="C139" s="2" t="s">
        <v>800</v>
      </c>
      <c r="D139" s="2" t="s">
        <v>82</v>
      </c>
      <c r="E139" s="2">
        <v>65</v>
      </c>
      <c r="F139" s="2">
        <v>1289.62</v>
      </c>
    </row>
    <row r="140" spans="3:6" x14ac:dyDescent="0.25">
      <c r="C140" s="2" t="s">
        <v>801</v>
      </c>
      <c r="D140" s="2" t="s">
        <v>82</v>
      </c>
      <c r="E140" s="2">
        <v>131</v>
      </c>
      <c r="F140" s="2">
        <v>2497.188</v>
      </c>
    </row>
    <row r="141" spans="3:6" x14ac:dyDescent="0.25">
      <c r="C141" s="2" t="s">
        <v>802</v>
      </c>
      <c r="D141" s="2" t="s">
        <v>82</v>
      </c>
      <c r="E141" s="2">
        <v>10</v>
      </c>
      <c r="F141" s="2">
        <v>178.72</v>
      </c>
    </row>
    <row r="142" spans="3:6" x14ac:dyDescent="0.25">
      <c r="C142" s="2" t="s">
        <v>803</v>
      </c>
      <c r="D142" s="2" t="s">
        <v>82</v>
      </c>
      <c r="E142" s="2">
        <v>22</v>
      </c>
      <c r="F142" s="2">
        <v>431.97</v>
      </c>
    </row>
    <row r="143" spans="3:6" x14ac:dyDescent="0.25">
      <c r="C143" s="2" t="s">
        <v>804</v>
      </c>
      <c r="D143" s="2" t="s">
        <v>82</v>
      </c>
      <c r="E143" s="2">
        <v>9</v>
      </c>
      <c r="F143" s="2">
        <v>155.84</v>
      </c>
    </row>
    <row r="144" spans="3:6" x14ac:dyDescent="0.25">
      <c r="C144" s="2" t="s">
        <v>805</v>
      </c>
      <c r="D144" s="2" t="s">
        <v>82</v>
      </c>
      <c r="E144" s="2">
        <v>51</v>
      </c>
      <c r="F144" s="2">
        <v>1039.63</v>
      </c>
    </row>
    <row r="145" spans="3:6" x14ac:dyDescent="0.25">
      <c r="C145" s="2" t="s">
        <v>806</v>
      </c>
      <c r="D145" s="2" t="s">
        <v>82</v>
      </c>
      <c r="E145" s="2">
        <v>40</v>
      </c>
      <c r="F145" s="2">
        <v>804.96</v>
      </c>
    </row>
    <row r="146" spans="3:6" x14ac:dyDescent="0.25">
      <c r="C146" s="2" t="s">
        <v>807</v>
      </c>
      <c r="D146" s="2" t="s">
        <v>82</v>
      </c>
      <c r="E146" s="2">
        <v>19</v>
      </c>
      <c r="F146" s="2">
        <v>369.59</v>
      </c>
    </row>
    <row r="148" spans="1:7" x14ac:dyDescent="0.25">
      <c r="A148" s="1">
        <v>46205</v>
      </c>
      <c r="B148" s="2" t="s">
        <v>420</v>
      </c>
      <c r="C148" s="2" t="s">
        <v>808</v>
      </c>
      <c r="D148" s="2" t="s">
        <v>59</v>
      </c>
      <c r="E148" s="2">
        <v>163</v>
      </c>
      <c r="F148" s="2">
        <v>3127.31</v>
      </c>
      <c r="G148" s="1">
        <v>46205</v>
      </c>
    </row>
    <row r="149" spans="3:6" x14ac:dyDescent="0.25">
      <c r="C149" s="2" t="s">
        <v>809</v>
      </c>
      <c r="D149" s="2" t="s">
        <v>59</v>
      </c>
      <c r="E149" s="2">
        <v>326</v>
      </c>
      <c r="F149" s="2">
        <v>6216.899</v>
      </c>
    </row>
    <row r="150" spans="3:6" x14ac:dyDescent="0.25">
      <c r="C150" s="2" t="s">
        <v>810</v>
      </c>
      <c r="D150" s="2" t="s">
        <v>59</v>
      </c>
      <c r="E150" s="2">
        <v>163</v>
      </c>
      <c r="F150" s="2">
        <v>3065.828</v>
      </c>
    </row>
    <row r="151" spans="3:6" x14ac:dyDescent="0.25">
      <c r="C151" s="2" t="s">
        <v>811</v>
      </c>
      <c r="D151" s="2" t="s">
        <v>59</v>
      </c>
      <c r="E151" s="2">
        <v>210</v>
      </c>
      <c r="F151" s="2">
        <v>4078.608</v>
      </c>
    </row>
    <row r="152" spans="3:6" x14ac:dyDescent="0.25">
      <c r="C152" s="2" t="s">
        <v>812</v>
      </c>
      <c r="D152" s="2" t="s">
        <v>59</v>
      </c>
      <c r="E152" s="2">
        <v>163</v>
      </c>
      <c r="F152" s="2">
        <v>3092.56</v>
      </c>
    </row>
    <row r="153" spans="3:6" x14ac:dyDescent="0.25">
      <c r="C153" s="2" t="s">
        <v>813</v>
      </c>
      <c r="D153" s="2" t="s">
        <v>59</v>
      </c>
      <c r="E153" s="2">
        <v>25</v>
      </c>
      <c r="F153" s="2">
        <v>594.16</v>
      </c>
    </row>
    <row r="154" spans="3:6" x14ac:dyDescent="0.25">
      <c r="C154" s="2" t="s">
        <v>814</v>
      </c>
      <c r="D154" s="2" t="s">
        <v>59</v>
      </c>
      <c r="E154" s="2">
        <v>195</v>
      </c>
      <c r="F154" s="2">
        <v>3923.95</v>
      </c>
    </row>
    <row r="155" spans="3:6" x14ac:dyDescent="0.25">
      <c r="C155" s="2" t="s">
        <v>815</v>
      </c>
      <c r="D155" s="2" t="s">
        <v>59</v>
      </c>
      <c r="E155" s="2">
        <v>105</v>
      </c>
      <c r="F155" s="2">
        <v>2137.119</v>
      </c>
    </row>
    <row r="157" spans="1:7" x14ac:dyDescent="0.25">
      <c r="A157" s="1">
        <v>46205</v>
      </c>
      <c r="B157" s="2" t="s">
        <v>816</v>
      </c>
      <c r="C157" s="2" t="s">
        <v>817</v>
      </c>
      <c r="D157" s="2" t="s">
        <v>59</v>
      </c>
      <c r="E157" s="2">
        <v>163</v>
      </c>
      <c r="F157" s="2">
        <v>3149.339</v>
      </c>
      <c r="G157" s="1">
        <v>46205</v>
      </c>
    </row>
    <row r="158" spans="3:6" x14ac:dyDescent="0.25">
      <c r="C158" s="2" t="s">
        <v>818</v>
      </c>
      <c r="D158" s="2" t="s">
        <v>59</v>
      </c>
      <c r="E158" s="2">
        <v>60</v>
      </c>
      <c r="F158" s="2">
        <v>1070.017</v>
      </c>
    </row>
    <row r="159" spans="3:6" x14ac:dyDescent="0.25">
      <c r="C159" s="2" t="s">
        <v>819</v>
      </c>
      <c r="D159" s="2" t="s">
        <v>59</v>
      </c>
      <c r="E159" s="2">
        <v>163</v>
      </c>
      <c r="F159" s="2">
        <v>3122.08</v>
      </c>
    </row>
    <row r="160" spans="3:6" x14ac:dyDescent="0.25">
      <c r="C160" s="2" t="s">
        <v>820</v>
      </c>
      <c r="D160" s="2" t="s">
        <v>59</v>
      </c>
      <c r="E160" s="2">
        <v>52</v>
      </c>
      <c r="F160" s="2">
        <v>979.37</v>
      </c>
    </row>
    <row r="161" spans="3:6" x14ac:dyDescent="0.25">
      <c r="C161" s="2" t="s">
        <v>821</v>
      </c>
      <c r="D161" s="2" t="s">
        <v>59</v>
      </c>
      <c r="E161" s="2">
        <v>326</v>
      </c>
      <c r="F161" s="2">
        <v>6131.868</v>
      </c>
    </row>
    <row r="162" spans="3:6" x14ac:dyDescent="0.25">
      <c r="C162" s="2" t="s">
        <v>822</v>
      </c>
      <c r="D162" s="2" t="s">
        <v>59</v>
      </c>
      <c r="E162" s="2">
        <v>105</v>
      </c>
      <c r="F162" s="2">
        <v>2051.359</v>
      </c>
    </row>
    <row r="163" spans="3:6" x14ac:dyDescent="0.25">
      <c r="C163" s="2" t="s">
        <v>823</v>
      </c>
      <c r="D163" s="2" t="s">
        <v>59</v>
      </c>
      <c r="E163" s="2">
        <v>163</v>
      </c>
      <c r="F163" s="2">
        <v>3240.24</v>
      </c>
    </row>
    <row r="164" spans="3:6" x14ac:dyDescent="0.25">
      <c r="C164" s="2" t="s">
        <v>824</v>
      </c>
      <c r="D164" s="2" t="s">
        <v>59</v>
      </c>
      <c r="E164" s="2">
        <v>105</v>
      </c>
      <c r="F164" s="2">
        <v>2148.32</v>
      </c>
    </row>
    <row r="166" spans="1:7" x14ac:dyDescent="0.25">
      <c r="A166" s="1">
        <v>46206</v>
      </c>
      <c r="B166" s="2" t="s">
        <v>71</v>
      </c>
      <c r="C166" s="2" t="s">
        <v>825</v>
      </c>
      <c r="D166" s="2" t="s">
        <v>73</v>
      </c>
      <c r="E166" s="2">
        <v>90</v>
      </c>
      <c r="F166" s="2">
        <v>1728.429</v>
      </c>
      <c r="G166" s="1">
        <v>46205</v>
      </c>
    </row>
    <row r="167" spans="3:6" x14ac:dyDescent="0.25">
      <c r="C167" s="2" t="s">
        <v>826</v>
      </c>
      <c r="D167" s="2" t="s">
        <v>73</v>
      </c>
      <c r="E167" s="2">
        <v>41</v>
      </c>
      <c r="F167" s="2">
        <v>816.61</v>
      </c>
    </row>
    <row r="168" spans="3:6" x14ac:dyDescent="0.25">
      <c r="C168" s="2" t="s">
        <v>827</v>
      </c>
      <c r="D168" s="2" t="s">
        <v>73</v>
      </c>
      <c r="E168" s="2">
        <v>34</v>
      </c>
      <c r="F168" s="2">
        <v>585.36</v>
      </c>
    </row>
    <row r="169" spans="3:6" x14ac:dyDescent="0.25">
      <c r="C169" s="2" t="s">
        <v>828</v>
      </c>
      <c r="D169" s="2" t="s">
        <v>73</v>
      </c>
      <c r="E169" s="2">
        <v>16</v>
      </c>
      <c r="F169" s="2">
        <v>287.19</v>
      </c>
    </row>
    <row r="170" spans="3:6" x14ac:dyDescent="0.25">
      <c r="C170" s="2" t="s">
        <v>829</v>
      </c>
      <c r="D170" s="2" t="s">
        <v>73</v>
      </c>
      <c r="E170" s="2">
        <v>16</v>
      </c>
      <c r="F170" s="2">
        <v>292.14</v>
      </c>
    </row>
    <row r="171" spans="3:6" x14ac:dyDescent="0.25">
      <c r="C171" s="2" t="s">
        <v>830</v>
      </c>
      <c r="D171" s="2" t="s">
        <v>73</v>
      </c>
      <c r="E171" s="2">
        <v>23</v>
      </c>
      <c r="F171" s="2">
        <v>406.02</v>
      </c>
    </row>
    <row r="172" spans="3:6" x14ac:dyDescent="0.25">
      <c r="C172" s="2" t="s">
        <v>831</v>
      </c>
      <c r="D172" s="2" t="s">
        <v>73</v>
      </c>
      <c r="E172" s="2">
        <v>47</v>
      </c>
      <c r="F172" s="2">
        <v>933.97</v>
      </c>
    </row>
    <row r="173" spans="3:6" x14ac:dyDescent="0.25">
      <c r="C173" s="2" t="s">
        <v>832</v>
      </c>
      <c r="D173" s="2" t="s">
        <v>73</v>
      </c>
      <c r="E173" s="2">
        <v>9</v>
      </c>
      <c r="F173" s="2">
        <v>186.4</v>
      </c>
    </row>
    <row r="175" spans="1:7" x14ac:dyDescent="0.25">
      <c r="A175" s="1">
        <v>46206</v>
      </c>
      <c r="B175" s="2" t="s">
        <v>229</v>
      </c>
      <c r="C175" s="2" t="s">
        <v>833</v>
      </c>
      <c r="D175" s="2" t="s">
        <v>82</v>
      </c>
      <c r="E175" s="2">
        <v>80</v>
      </c>
      <c r="F175" s="2">
        <v>1409.339</v>
      </c>
      <c r="G175" s="1">
        <v>46206</v>
      </c>
    </row>
    <row r="176" spans="3:6" x14ac:dyDescent="0.25">
      <c r="C176" s="2" t="s">
        <v>834</v>
      </c>
      <c r="D176" s="2" t="s">
        <v>82</v>
      </c>
      <c r="E176" s="2">
        <v>41</v>
      </c>
      <c r="F176" s="2">
        <v>804.69</v>
      </c>
    </row>
    <row r="177" spans="3:6" x14ac:dyDescent="0.25">
      <c r="C177" s="2" t="s">
        <v>835</v>
      </c>
      <c r="D177" s="2" t="s">
        <v>82</v>
      </c>
      <c r="E177" s="2">
        <v>80</v>
      </c>
      <c r="F177" s="2">
        <v>1562.95</v>
      </c>
    </row>
    <row r="178" spans="3:6" x14ac:dyDescent="0.25">
      <c r="C178" s="2" t="s">
        <v>836</v>
      </c>
      <c r="D178" s="2" t="s">
        <v>82</v>
      </c>
      <c r="E178" s="2">
        <v>41</v>
      </c>
      <c r="F178" s="2">
        <v>834.55</v>
      </c>
    </row>
    <row r="179" spans="3:6" x14ac:dyDescent="0.25">
      <c r="C179" s="2" t="s">
        <v>837</v>
      </c>
      <c r="D179" s="2" t="s">
        <v>82</v>
      </c>
      <c r="E179" s="2">
        <v>60</v>
      </c>
      <c r="F179" s="2">
        <v>1183.61</v>
      </c>
    </row>
    <row r="180" spans="3:6" x14ac:dyDescent="0.25">
      <c r="C180" s="2" t="s">
        <v>838</v>
      </c>
      <c r="D180" s="2" t="s">
        <v>82</v>
      </c>
      <c r="E180" s="2">
        <v>40</v>
      </c>
      <c r="F180" s="2">
        <v>785.74</v>
      </c>
    </row>
    <row r="181" spans="3:6" x14ac:dyDescent="0.25">
      <c r="C181" s="2" t="s">
        <v>839</v>
      </c>
      <c r="D181" s="2" t="s">
        <v>82</v>
      </c>
      <c r="E181" s="2">
        <v>21</v>
      </c>
      <c r="F181" s="2">
        <v>391.158</v>
      </c>
    </row>
    <row r="182" spans="3:6" x14ac:dyDescent="0.25">
      <c r="C182" s="2" t="s">
        <v>840</v>
      </c>
      <c r="D182" s="2" t="s">
        <v>82</v>
      </c>
      <c r="E182" s="2">
        <v>40</v>
      </c>
      <c r="F182" s="2">
        <v>768.149</v>
      </c>
    </row>
    <row r="183" spans="3:6" x14ac:dyDescent="0.25">
      <c r="C183" s="2" t="s">
        <v>841</v>
      </c>
      <c r="D183" s="2" t="s">
        <v>82</v>
      </c>
      <c r="E183" s="2">
        <v>18</v>
      </c>
      <c r="F183" s="2">
        <v>378.18</v>
      </c>
    </row>
    <row r="184" spans="3:6" x14ac:dyDescent="0.25">
      <c r="C184" s="2" t="s">
        <v>842</v>
      </c>
      <c r="D184" s="2" t="s">
        <v>82</v>
      </c>
      <c r="E184" s="2">
        <v>63</v>
      </c>
      <c r="F184" s="2">
        <v>964.95</v>
      </c>
    </row>
    <row r="185" spans="3:6" x14ac:dyDescent="0.25">
      <c r="C185" s="2" t="s">
        <v>843</v>
      </c>
      <c r="D185" s="2" t="s">
        <v>82</v>
      </c>
      <c r="E185" s="2">
        <v>50</v>
      </c>
      <c r="F185" s="2">
        <v>445.242</v>
      </c>
    </row>
    <row r="186" spans="3:6" x14ac:dyDescent="0.25">
      <c r="C186" s="2" t="s">
        <v>844</v>
      </c>
      <c r="D186" s="2" t="s">
        <v>82</v>
      </c>
      <c r="E186" s="2">
        <v>91</v>
      </c>
      <c r="F186" s="2">
        <v>1732.42</v>
      </c>
    </row>
    <row r="187" spans="3:6" x14ac:dyDescent="0.25">
      <c r="C187" s="2" t="s">
        <v>845</v>
      </c>
      <c r="D187" s="2" t="s">
        <v>82</v>
      </c>
      <c r="E187" s="2">
        <v>91</v>
      </c>
      <c r="F187" s="2">
        <v>1704.789</v>
      </c>
    </row>
    <row r="188" spans="3:6" x14ac:dyDescent="0.25">
      <c r="C188" s="2" t="s">
        <v>846</v>
      </c>
      <c r="D188" s="2" t="s">
        <v>82</v>
      </c>
      <c r="E188" s="2">
        <v>50</v>
      </c>
      <c r="F188" s="2">
        <v>1010.7</v>
      </c>
    </row>
    <row r="189" spans="3:6" x14ac:dyDescent="0.25">
      <c r="C189" s="2" t="s">
        <v>847</v>
      </c>
      <c r="D189" s="2" t="s">
        <v>82</v>
      </c>
      <c r="E189" s="2">
        <v>14</v>
      </c>
      <c r="F189" s="2">
        <v>253.65</v>
      </c>
    </row>
    <row r="190" spans="3:6" x14ac:dyDescent="0.25">
      <c r="C190" s="2" t="s">
        <v>848</v>
      </c>
      <c r="D190" s="2" t="s">
        <v>82</v>
      </c>
      <c r="E190" s="2">
        <v>10</v>
      </c>
      <c r="F190" s="2">
        <v>172.97</v>
      </c>
    </row>
    <row r="191" spans="3:6" x14ac:dyDescent="0.25">
      <c r="C191" s="2" t="s">
        <v>849</v>
      </c>
      <c r="D191" s="2" t="s">
        <v>82</v>
      </c>
      <c r="E191" s="2">
        <v>117</v>
      </c>
      <c r="F191" s="2">
        <v>2098.859</v>
      </c>
    </row>
    <row r="192" spans="3:6" x14ac:dyDescent="0.25">
      <c r="C192" s="2" t="s">
        <v>850</v>
      </c>
      <c r="D192" s="2" t="s">
        <v>82</v>
      </c>
      <c r="E192" s="2">
        <v>141</v>
      </c>
      <c r="F192" s="2">
        <v>2794.737</v>
      </c>
    </row>
    <row r="193" spans="3:6" x14ac:dyDescent="0.25">
      <c r="C193" s="2" t="s">
        <v>851</v>
      </c>
      <c r="D193" s="2" t="s">
        <v>82</v>
      </c>
      <c r="E193" s="2">
        <v>102</v>
      </c>
      <c r="F193" s="2">
        <v>2083.34</v>
      </c>
    </row>
    <row r="194" spans="3:6" x14ac:dyDescent="0.25">
      <c r="C194" s="2" t="s">
        <v>852</v>
      </c>
      <c r="D194" s="2" t="s">
        <v>82</v>
      </c>
      <c r="E194" s="2">
        <v>39</v>
      </c>
      <c r="F194" s="2">
        <v>763.72</v>
      </c>
    </row>
    <row r="195" spans="3:6" x14ac:dyDescent="0.25">
      <c r="C195" s="2" t="s">
        <v>853</v>
      </c>
      <c r="D195" s="2" t="s">
        <v>82</v>
      </c>
      <c r="E195" s="2">
        <v>106</v>
      </c>
      <c r="F195" s="2">
        <v>2039.418</v>
      </c>
    </row>
    <row r="196" spans="3:6" x14ac:dyDescent="0.25">
      <c r="C196" s="2" t="s">
        <v>854</v>
      </c>
      <c r="D196" s="2" t="s">
        <v>82</v>
      </c>
      <c r="E196" s="2">
        <v>35</v>
      </c>
      <c r="F196" s="2">
        <v>698.73</v>
      </c>
    </row>
    <row r="197" spans="3:6" x14ac:dyDescent="0.25">
      <c r="C197" s="2" t="s">
        <v>855</v>
      </c>
      <c r="D197" s="2" t="s">
        <v>82</v>
      </c>
      <c r="E197" s="2">
        <v>86</v>
      </c>
      <c r="F197" s="2">
        <v>1719.38</v>
      </c>
    </row>
    <row r="198" spans="3:6" x14ac:dyDescent="0.25">
      <c r="C198" s="2" t="s">
        <v>856</v>
      </c>
      <c r="D198" s="2" t="s">
        <v>82</v>
      </c>
      <c r="E198" s="2">
        <v>55</v>
      </c>
      <c r="F198" s="2">
        <v>1097.51</v>
      </c>
    </row>
    <row r="199" spans="3:6" x14ac:dyDescent="0.25">
      <c r="C199" s="2" t="s">
        <v>857</v>
      </c>
      <c r="D199" s="2" t="s">
        <v>82</v>
      </c>
      <c r="E199" s="2">
        <v>81</v>
      </c>
      <c r="F199" s="2">
        <v>1631.72</v>
      </c>
    </row>
    <row r="200" spans="3:6" x14ac:dyDescent="0.25">
      <c r="C200" s="2" t="s">
        <v>858</v>
      </c>
      <c r="D200" s="2" t="s">
        <v>82</v>
      </c>
      <c r="E200" s="2">
        <v>60</v>
      </c>
      <c r="F200" s="2">
        <v>1212.199</v>
      </c>
    </row>
    <row r="201" spans="3:6" x14ac:dyDescent="0.25">
      <c r="C201" s="2" t="s">
        <v>859</v>
      </c>
      <c r="D201" s="2" t="s">
        <v>82</v>
      </c>
      <c r="E201" s="2">
        <v>100</v>
      </c>
      <c r="F201" s="2">
        <v>2138.81</v>
      </c>
    </row>
    <row r="202" spans="3:6" x14ac:dyDescent="0.25">
      <c r="C202" s="2" t="s">
        <v>860</v>
      </c>
      <c r="D202" s="2" t="s">
        <v>82</v>
      </c>
      <c r="E202" s="2">
        <v>41</v>
      </c>
      <c r="F202" s="2">
        <v>849.89</v>
      </c>
    </row>
    <row r="203" spans="3:6" x14ac:dyDescent="0.25">
      <c r="C203" s="2" t="s">
        <v>861</v>
      </c>
      <c r="D203" s="2" t="s">
        <v>82</v>
      </c>
      <c r="E203" s="2">
        <v>64</v>
      </c>
      <c r="F203" s="2">
        <v>1299.71</v>
      </c>
    </row>
    <row r="204" spans="3:6" x14ac:dyDescent="0.25">
      <c r="C204" s="2" t="s">
        <v>862</v>
      </c>
      <c r="D204" s="2" t="s">
        <v>82</v>
      </c>
      <c r="E204" s="2">
        <v>44</v>
      </c>
      <c r="F204" s="2">
        <v>784.19</v>
      </c>
    </row>
    <row r="205" spans="3:6" x14ac:dyDescent="0.25">
      <c r="C205" s="2" t="s">
        <v>863</v>
      </c>
      <c r="D205" s="2" t="s">
        <v>82</v>
      </c>
      <c r="E205" s="2">
        <v>33</v>
      </c>
      <c r="F205" s="2">
        <v>621.2</v>
      </c>
    </row>
    <row r="206" spans="3:6" x14ac:dyDescent="0.25">
      <c r="C206" s="2" t="s">
        <v>864</v>
      </c>
      <c r="D206" s="2" t="s">
        <v>82</v>
      </c>
      <c r="E206" s="2">
        <v>12</v>
      </c>
      <c r="F206" s="2">
        <v>230.34</v>
      </c>
    </row>
    <row r="207" spans="3:6" x14ac:dyDescent="0.25">
      <c r="C207" s="2" t="s">
        <v>865</v>
      </c>
      <c r="D207" s="2" t="s">
        <v>82</v>
      </c>
      <c r="E207" s="2">
        <v>6</v>
      </c>
      <c r="F207" s="2">
        <v>116.27</v>
      </c>
    </row>
    <row r="208" spans="3:6" x14ac:dyDescent="0.25">
      <c r="C208" s="2" t="s">
        <v>866</v>
      </c>
      <c r="D208" s="2" t="s">
        <v>82</v>
      </c>
      <c r="E208" s="2">
        <v>30</v>
      </c>
      <c r="F208" s="2">
        <v>524.49</v>
      </c>
    </row>
    <row r="209" spans="3:6" x14ac:dyDescent="0.25">
      <c r="C209" s="2" t="s">
        <v>867</v>
      </c>
      <c r="D209" s="2" t="s">
        <v>82</v>
      </c>
      <c r="E209" s="2">
        <v>54</v>
      </c>
      <c r="F209" s="2">
        <v>731.067</v>
      </c>
    </row>
    <row r="210" spans="3:6" x14ac:dyDescent="0.25">
      <c r="C210" s="2" t="s">
        <v>868</v>
      </c>
      <c r="D210" s="2" t="s">
        <v>82</v>
      </c>
      <c r="E210" s="2">
        <v>42</v>
      </c>
      <c r="F210" s="2">
        <v>820.27</v>
      </c>
    </row>
    <row r="211" spans="3:6" x14ac:dyDescent="0.25">
      <c r="C211" s="2" t="s">
        <v>869</v>
      </c>
      <c r="D211" s="2" t="s">
        <v>82</v>
      </c>
      <c r="E211" s="2">
        <v>60</v>
      </c>
      <c r="F211" s="2">
        <v>1226.91</v>
      </c>
    </row>
    <row r="212" spans="3:6" x14ac:dyDescent="0.25">
      <c r="C212" s="2" t="s">
        <v>870</v>
      </c>
      <c r="D212" s="2" t="s">
        <v>82</v>
      </c>
      <c r="E212" s="2">
        <v>45</v>
      </c>
      <c r="F212" s="2">
        <v>879.04</v>
      </c>
    </row>
    <row r="213" spans="3:6" x14ac:dyDescent="0.25">
      <c r="C213" s="2" t="s">
        <v>871</v>
      </c>
      <c r="D213" s="2" t="s">
        <v>82</v>
      </c>
      <c r="E213" s="2">
        <v>57</v>
      </c>
      <c r="F213" s="2">
        <v>1172.17</v>
      </c>
    </row>
    <row r="214" spans="3:6" x14ac:dyDescent="0.25">
      <c r="C214" s="2" t="s">
        <v>872</v>
      </c>
      <c r="D214" s="2" t="s">
        <v>82</v>
      </c>
      <c r="E214" s="2">
        <v>21</v>
      </c>
      <c r="F214" s="2">
        <v>426.55</v>
      </c>
    </row>
    <row r="215" spans="3:6" x14ac:dyDescent="0.25">
      <c r="C215" s="2" t="s">
        <v>873</v>
      </c>
      <c r="D215" s="2" t="s">
        <v>82</v>
      </c>
      <c r="E215" s="2">
        <v>9</v>
      </c>
      <c r="F215" s="2">
        <f>65.5+69.5</f>
        <v>135</v>
      </c>
    </row>
    <row r="216" spans="3:6" x14ac:dyDescent="0.25">
      <c r="C216" s="2" t="s">
        <v>874</v>
      </c>
      <c r="D216" s="2" t="s">
        <v>82</v>
      </c>
      <c r="E216" s="2">
        <v>8</v>
      </c>
      <c r="F216" s="2">
        <f>43.849+60.51</f>
        <v>104.359</v>
      </c>
    </row>
    <row r="217" spans="3:6" x14ac:dyDescent="0.25">
      <c r="C217" s="2" t="s">
        <v>875</v>
      </c>
      <c r="D217" s="2" t="s">
        <v>82</v>
      </c>
      <c r="E217" s="2">
        <v>5</v>
      </c>
      <c r="F217" s="2">
        <v>94.95</v>
      </c>
    </row>
    <row r="218" spans="3:6" x14ac:dyDescent="0.25">
      <c r="C218" s="2" t="s">
        <v>876</v>
      </c>
      <c r="D218" s="2" t="s">
        <v>82</v>
      </c>
      <c r="E218" s="2">
        <v>7</v>
      </c>
      <c r="F218" s="2">
        <v>85.65</v>
      </c>
    </row>
    <row r="219" spans="3:6" x14ac:dyDescent="0.25">
      <c r="C219" s="2" t="s">
        <v>877</v>
      </c>
      <c r="D219" s="2" t="s">
        <v>82</v>
      </c>
      <c r="E219" s="2">
        <v>9</v>
      </c>
      <c r="F219" s="2">
        <v>150.5</v>
      </c>
    </row>
    <row r="220" spans="3:6" x14ac:dyDescent="0.25">
      <c r="C220" s="2" t="s">
        <v>878</v>
      </c>
      <c r="D220" s="2" t="s">
        <v>82</v>
      </c>
      <c r="E220" s="2">
        <v>11</v>
      </c>
      <c r="F220" s="2">
        <v>162</v>
      </c>
    </row>
    <row r="221" spans="3:6" x14ac:dyDescent="0.25">
      <c r="C221" s="2" t="s">
        <v>879</v>
      </c>
      <c r="D221" s="2" t="s">
        <v>82</v>
      </c>
      <c r="E221" s="2">
        <v>34</v>
      </c>
      <c r="F221" s="2">
        <v>712.75</v>
      </c>
    </row>
    <row r="222" spans="3:6" x14ac:dyDescent="0.25">
      <c r="C222" s="2" t="s">
        <v>880</v>
      </c>
      <c r="D222" s="2" t="s">
        <v>82</v>
      </c>
      <c r="E222" s="2">
        <v>75</v>
      </c>
      <c r="F222" s="2">
        <v>1464.35</v>
      </c>
    </row>
    <row r="223" spans="3:6" x14ac:dyDescent="0.25">
      <c r="C223" s="2" t="s">
        <v>881</v>
      </c>
      <c r="D223" s="2" t="s">
        <v>82</v>
      </c>
      <c r="E223" s="2">
        <v>60</v>
      </c>
      <c r="F223" s="2">
        <v>264.889</v>
      </c>
    </row>
    <row r="224" spans="3:6" x14ac:dyDescent="0.25">
      <c r="C224" s="2" t="s">
        <v>882</v>
      </c>
      <c r="D224" s="2" t="s">
        <v>82</v>
      </c>
      <c r="E224" s="2">
        <v>36</v>
      </c>
      <c r="F224" s="2">
        <v>151.189</v>
      </c>
    </row>
    <row r="225" spans="3:6" x14ac:dyDescent="0.25">
      <c r="C225" s="2" t="s">
        <v>883</v>
      </c>
      <c r="D225" s="2" t="s">
        <v>82</v>
      </c>
      <c r="E225" s="2">
        <v>54</v>
      </c>
      <c r="F225" s="2">
        <v>228.07</v>
      </c>
    </row>
    <row r="226" spans="3:6" x14ac:dyDescent="0.25">
      <c r="C226" s="2" t="s">
        <v>884</v>
      </c>
      <c r="D226" s="2" t="s">
        <v>82</v>
      </c>
      <c r="E226" s="2">
        <v>141</v>
      </c>
      <c r="F226" s="2">
        <v>1274.629</v>
      </c>
    </row>
    <row r="227" spans="3:6" x14ac:dyDescent="0.25">
      <c r="C227" s="2" t="s">
        <v>885</v>
      </c>
      <c r="D227" s="2" t="s">
        <v>82</v>
      </c>
      <c r="E227" s="2">
        <v>141</v>
      </c>
      <c r="F227" s="2">
        <v>1852.177</v>
      </c>
    </row>
    <row r="228" spans="3:6" x14ac:dyDescent="0.25">
      <c r="C228" s="2" t="s">
        <v>886</v>
      </c>
      <c r="D228" s="2" t="s">
        <v>82</v>
      </c>
      <c r="E228" s="2">
        <v>141</v>
      </c>
      <c r="F228" s="2">
        <v>1908.898</v>
      </c>
    </row>
    <row r="229" spans="3:6" x14ac:dyDescent="0.25">
      <c r="C229" s="2" t="s">
        <v>887</v>
      </c>
      <c r="D229" s="2" t="s">
        <v>82</v>
      </c>
      <c r="E229" s="2">
        <v>100</v>
      </c>
      <c r="F229" s="2">
        <v>1708.83</v>
      </c>
    </row>
    <row r="230" spans="3:6" x14ac:dyDescent="0.25">
      <c r="C230" s="2" t="s">
        <v>888</v>
      </c>
      <c r="D230" s="2" t="s">
        <v>82</v>
      </c>
      <c r="E230" s="2">
        <v>35</v>
      </c>
      <c r="F230" s="2">
        <v>700.75</v>
      </c>
    </row>
    <row r="231" spans="3:6" x14ac:dyDescent="0.25">
      <c r="C231" s="2" t="s">
        <v>889</v>
      </c>
      <c r="D231" s="2" t="s">
        <v>82</v>
      </c>
      <c r="E231" s="2">
        <v>47</v>
      </c>
      <c r="F231" s="2">
        <v>701.019</v>
      </c>
    </row>
    <row r="232" spans="3:6" x14ac:dyDescent="0.25">
      <c r="C232" s="2" t="s">
        <v>890</v>
      </c>
      <c r="D232" s="2" t="s">
        <v>82</v>
      </c>
      <c r="E232" s="2">
        <v>20</v>
      </c>
      <c r="F232" s="2">
        <v>390.25</v>
      </c>
    </row>
    <row r="233" spans="3:6" x14ac:dyDescent="0.25">
      <c r="C233" s="2" t="s">
        <v>891</v>
      </c>
      <c r="D233" s="2" t="s">
        <v>82</v>
      </c>
      <c r="E233" s="2">
        <v>134</v>
      </c>
      <c r="F233" s="2">
        <v>2693.97</v>
      </c>
    </row>
    <row r="234" spans="3:6" x14ac:dyDescent="0.25">
      <c r="C234" s="2" t="s">
        <v>892</v>
      </c>
      <c r="D234" s="2" t="s">
        <v>82</v>
      </c>
      <c r="E234" s="2">
        <v>78</v>
      </c>
      <c r="F234" s="2">
        <v>1531.86</v>
      </c>
    </row>
    <row r="235" spans="3:6" x14ac:dyDescent="0.25">
      <c r="C235" s="2" t="s">
        <v>893</v>
      </c>
      <c r="D235" s="2" t="s">
        <v>82</v>
      </c>
      <c r="E235" s="2">
        <v>63</v>
      </c>
      <c r="F235" s="2">
        <v>1025.599</v>
      </c>
    </row>
    <row r="236" spans="3:6" x14ac:dyDescent="0.25">
      <c r="C236" s="2" t="s">
        <v>894</v>
      </c>
      <c r="D236" s="2" t="s">
        <v>82</v>
      </c>
      <c r="E236" s="2">
        <v>90</v>
      </c>
      <c r="F236" s="2">
        <v>1774.31</v>
      </c>
    </row>
    <row r="237" spans="3:6" x14ac:dyDescent="0.25">
      <c r="C237" s="2" t="s">
        <v>895</v>
      </c>
      <c r="D237" s="2" t="s">
        <v>82</v>
      </c>
      <c r="E237" s="2">
        <v>30</v>
      </c>
      <c r="F237" s="2">
        <v>589.059</v>
      </c>
    </row>
    <row r="238" spans="3:6" x14ac:dyDescent="0.25">
      <c r="C238" s="2" t="s">
        <v>896</v>
      </c>
      <c r="D238" s="2" t="s">
        <v>82</v>
      </c>
      <c r="E238" s="2">
        <v>21</v>
      </c>
      <c r="F238" s="2">
        <v>390.85</v>
      </c>
    </row>
    <row r="240" spans="1:7" x14ac:dyDescent="0.25">
      <c r="A240" s="1">
        <v>46206</v>
      </c>
      <c r="B240" s="2" t="s">
        <v>897</v>
      </c>
      <c r="C240" s="2" t="s">
        <v>898</v>
      </c>
      <c r="D240" s="2" t="s">
        <v>292</v>
      </c>
      <c r="E240" s="2">
        <v>36</v>
      </c>
      <c r="F240" s="2">
        <v>676.74</v>
      </c>
      <c r="G240" s="1">
        <v>46205</v>
      </c>
    </row>
    <row r="241" spans="3:6" x14ac:dyDescent="0.25">
      <c r="C241" s="2" t="s">
        <v>899</v>
      </c>
      <c r="D241" s="2" t="s">
        <v>292</v>
      </c>
      <c r="E241" s="2">
        <v>55</v>
      </c>
      <c r="F241" s="2">
        <v>1085.02</v>
      </c>
    </row>
    <row r="242" spans="3:6" x14ac:dyDescent="0.25">
      <c r="C242" s="2" t="s">
        <v>900</v>
      </c>
      <c r="D242" s="2" t="s">
        <v>292</v>
      </c>
      <c r="E242" s="2">
        <v>30</v>
      </c>
      <c r="F242" s="2">
        <v>496.529</v>
      </c>
    </row>
    <row r="243" spans="3:6" x14ac:dyDescent="0.25">
      <c r="C243" s="2" t="s">
        <v>901</v>
      </c>
      <c r="D243" s="2" t="s">
        <v>292</v>
      </c>
      <c r="E243" s="2">
        <v>12</v>
      </c>
      <c r="F243" s="2">
        <v>226.4</v>
      </c>
    </row>
    <row r="244" spans="3:6" x14ac:dyDescent="0.25">
      <c r="C244" s="2" t="s">
        <v>902</v>
      </c>
      <c r="D244" s="2" t="s">
        <v>292</v>
      </c>
      <c r="E244" s="2">
        <v>53</v>
      </c>
      <c r="F244" s="2">
        <v>1037.63</v>
      </c>
    </row>
    <row r="245" spans="3:6" x14ac:dyDescent="0.25">
      <c r="C245" s="2" t="s">
        <v>903</v>
      </c>
      <c r="D245" s="2" t="s">
        <v>292</v>
      </c>
      <c r="E245" s="2">
        <v>21</v>
      </c>
      <c r="F245" s="2">
        <v>367.97</v>
      </c>
    </row>
    <row r="246" spans="3:6" x14ac:dyDescent="0.25">
      <c r="C246" s="2" t="s">
        <v>904</v>
      </c>
      <c r="D246" s="2" t="s">
        <v>292</v>
      </c>
      <c r="E246" s="2">
        <v>31</v>
      </c>
      <c r="F246" s="2">
        <v>649.45</v>
      </c>
    </row>
    <row r="247" spans="3:6" x14ac:dyDescent="0.25">
      <c r="C247" s="2" t="s">
        <v>905</v>
      </c>
      <c r="D247" s="2" t="s">
        <v>292</v>
      </c>
      <c r="E247" s="2">
        <v>29</v>
      </c>
      <c r="F247" s="2">
        <v>604.32</v>
      </c>
    </row>
    <row r="248" spans="3:6" x14ac:dyDescent="0.25">
      <c r="C248" s="2" t="s">
        <v>906</v>
      </c>
      <c r="D248" s="2" t="s">
        <v>292</v>
      </c>
      <c r="E248" s="2">
        <v>54</v>
      </c>
      <c r="F248" s="2">
        <v>1025.12</v>
      </c>
    </row>
    <row r="249" spans="3:6" x14ac:dyDescent="0.25">
      <c r="C249" s="2" t="s">
        <v>907</v>
      </c>
      <c r="D249" s="2" t="s">
        <v>292</v>
      </c>
      <c r="E249" s="2">
        <v>21</v>
      </c>
      <c r="F249" s="2">
        <v>407.06</v>
      </c>
    </row>
    <row r="250" spans="3:6" x14ac:dyDescent="0.25">
      <c r="C250" s="2" t="s">
        <v>908</v>
      </c>
      <c r="D250" s="2" t="s">
        <v>292</v>
      </c>
      <c r="E250" s="2">
        <v>8</v>
      </c>
      <c r="F250" s="2">
        <v>160.22</v>
      </c>
    </row>
    <row r="251" spans="3:6" x14ac:dyDescent="0.25">
      <c r="C251" s="2" t="s">
        <v>909</v>
      </c>
      <c r="D251" s="2" t="s">
        <v>292</v>
      </c>
      <c r="E251" s="2">
        <v>44</v>
      </c>
      <c r="F251" s="2">
        <v>730.55</v>
      </c>
    </row>
    <row r="252" spans="3:6" x14ac:dyDescent="0.25">
      <c r="C252" s="2" t="s">
        <v>910</v>
      </c>
      <c r="D252" s="2" t="s">
        <v>292</v>
      </c>
      <c r="E252" s="2">
        <v>27</v>
      </c>
      <c r="F252" s="2">
        <v>543.055</v>
      </c>
    </row>
    <row r="253" spans="3:6" x14ac:dyDescent="0.25">
      <c r="C253" s="2" t="s">
        <v>911</v>
      </c>
      <c r="D253" s="2" t="s">
        <v>292</v>
      </c>
      <c r="E253" s="2">
        <v>44</v>
      </c>
      <c r="F253" s="2">
        <v>842.76</v>
      </c>
    </row>
    <row r="254" spans="3:6" x14ac:dyDescent="0.25">
      <c r="C254" s="2" t="s">
        <v>912</v>
      </c>
      <c r="D254" s="2" t="s">
        <v>292</v>
      </c>
      <c r="E254" s="2">
        <v>97</v>
      </c>
      <c r="F254" s="2">
        <v>1950</v>
      </c>
    </row>
    <row r="255" spans="3:6" x14ac:dyDescent="0.25">
      <c r="C255" s="2" t="s">
        <v>913</v>
      </c>
      <c r="D255" s="2" t="s">
        <v>292</v>
      </c>
      <c r="E255" s="2">
        <v>141</v>
      </c>
      <c r="F255" s="2">
        <v>2918.945</v>
      </c>
    </row>
    <row r="256" spans="3:6" x14ac:dyDescent="0.25">
      <c r="C256" s="2" t="s">
        <v>914</v>
      </c>
      <c r="D256" s="2" t="s">
        <v>292</v>
      </c>
      <c r="E256" s="2">
        <v>8</v>
      </c>
      <c r="F256" s="2">
        <v>136.549</v>
      </c>
    </row>
    <row r="257" spans="3:6" x14ac:dyDescent="0.25">
      <c r="C257" s="2" t="s">
        <v>915</v>
      </c>
      <c r="D257" s="2" t="s">
        <v>292</v>
      </c>
      <c r="E257" s="2">
        <v>12</v>
      </c>
      <c r="F257" s="2">
        <v>228.81</v>
      </c>
    </row>
    <row r="258" spans="3:6" x14ac:dyDescent="0.25">
      <c r="C258" s="2" t="s">
        <v>916</v>
      </c>
      <c r="D258" s="2" t="s">
        <v>292</v>
      </c>
      <c r="E258" s="2">
        <v>100</v>
      </c>
      <c r="F258" s="2">
        <v>2094.55</v>
      </c>
    </row>
    <row r="259" spans="3:6" x14ac:dyDescent="0.25">
      <c r="C259" s="2" t="s">
        <v>917</v>
      </c>
      <c r="D259" s="2" t="s">
        <v>292</v>
      </c>
      <c r="E259" s="2">
        <v>78</v>
      </c>
      <c r="F259" s="2">
        <v>1582.329</v>
      </c>
    </row>
    <row r="260" spans="3:6" x14ac:dyDescent="0.25">
      <c r="C260" s="2" t="s">
        <v>918</v>
      </c>
      <c r="D260" s="2" t="s">
        <v>292</v>
      </c>
      <c r="E260" s="2">
        <v>40</v>
      </c>
      <c r="F260" s="2">
        <v>760.44</v>
      </c>
    </row>
    <row r="261" spans="3:6" x14ac:dyDescent="0.25">
      <c r="C261" s="2" t="s">
        <v>919</v>
      </c>
      <c r="D261" s="2" t="s">
        <v>292</v>
      </c>
      <c r="E261" s="2">
        <v>23</v>
      </c>
      <c r="F261" s="2">
        <v>451.98</v>
      </c>
    </row>
    <row r="262" spans="3:6" x14ac:dyDescent="0.25">
      <c r="C262" s="2" t="s">
        <v>920</v>
      </c>
      <c r="D262" s="2" t="s">
        <v>292</v>
      </c>
      <c r="E262" s="2">
        <v>123</v>
      </c>
      <c r="F262" s="2">
        <v>2373.4</v>
      </c>
    </row>
    <row r="263" spans="3:6" x14ac:dyDescent="0.25">
      <c r="C263" s="2" t="s">
        <v>921</v>
      </c>
      <c r="D263" s="2" t="s">
        <v>292</v>
      </c>
      <c r="E263" s="2">
        <v>54</v>
      </c>
      <c r="F263" s="2">
        <v>747.803</v>
      </c>
    </row>
    <row r="264" spans="3:6" x14ac:dyDescent="0.25">
      <c r="C264" s="2" t="s">
        <v>922</v>
      </c>
      <c r="D264" s="2" t="s">
        <v>292</v>
      </c>
      <c r="E264" s="2">
        <v>74</v>
      </c>
      <c r="F264" s="2">
        <v>1399.66</v>
      </c>
    </row>
    <row r="265" spans="3:6" x14ac:dyDescent="0.25">
      <c r="C265" s="2" t="s">
        <v>923</v>
      </c>
      <c r="D265" s="2" t="s">
        <v>292</v>
      </c>
      <c r="E265" s="2">
        <v>115</v>
      </c>
      <c r="F265" s="2">
        <v>1754.084</v>
      </c>
    </row>
    <row r="266" spans="3:6" x14ac:dyDescent="0.25">
      <c r="C266" s="2" t="s">
        <v>924</v>
      </c>
      <c r="D266" s="2" t="s">
        <v>292</v>
      </c>
      <c r="E266" s="2">
        <v>30</v>
      </c>
      <c r="F266" s="2">
        <v>508.7</v>
      </c>
    </row>
    <row r="267" spans="3:6" x14ac:dyDescent="0.25">
      <c r="C267" s="2" t="s">
        <v>925</v>
      </c>
      <c r="D267" s="2" t="s">
        <v>292</v>
      </c>
      <c r="E267" s="2">
        <v>71</v>
      </c>
      <c r="F267" s="2">
        <v>1398.01</v>
      </c>
    </row>
    <row r="268" spans="3:6" x14ac:dyDescent="0.25">
      <c r="C268" s="2" t="s">
        <v>926</v>
      </c>
      <c r="D268" s="2" t="s">
        <v>292</v>
      </c>
      <c r="E268" s="2">
        <v>50</v>
      </c>
      <c r="F268" s="2">
        <v>244.879</v>
      </c>
    </row>
    <row r="269" spans="3:6" x14ac:dyDescent="0.25">
      <c r="C269" s="2" t="s">
        <v>927</v>
      </c>
      <c r="D269" s="2" t="s">
        <v>292</v>
      </c>
      <c r="E269" s="2">
        <v>141</v>
      </c>
      <c r="F269" s="2">
        <v>2758.329</v>
      </c>
    </row>
    <row r="270" spans="3:6" x14ac:dyDescent="0.25">
      <c r="C270" s="2" t="s">
        <v>928</v>
      </c>
      <c r="D270" s="2" t="s">
        <v>292</v>
      </c>
      <c r="E270" s="2">
        <v>141</v>
      </c>
      <c r="F270" s="2">
        <v>2984.899</v>
      </c>
    </row>
    <row r="271" spans="3:6" x14ac:dyDescent="0.25">
      <c r="C271" s="2" t="s">
        <v>929</v>
      </c>
      <c r="D271" s="2" t="s">
        <v>292</v>
      </c>
      <c r="E271" s="2">
        <v>120</v>
      </c>
      <c r="F271" s="2">
        <v>1633.102</v>
      </c>
    </row>
    <row r="272" spans="3:6" x14ac:dyDescent="0.25">
      <c r="C272" s="2" t="s">
        <v>930</v>
      </c>
      <c r="D272" s="2" t="s">
        <v>292</v>
      </c>
      <c r="E272" s="2">
        <v>28</v>
      </c>
      <c r="F272" s="2">
        <v>611.81</v>
      </c>
    </row>
    <row r="273" spans="3:6" x14ac:dyDescent="0.25">
      <c r="C273" s="2" t="s">
        <v>931</v>
      </c>
      <c r="D273" s="2" t="s">
        <v>292</v>
      </c>
      <c r="E273" s="2">
        <v>70</v>
      </c>
      <c r="F273" s="2">
        <v>1441.95</v>
      </c>
    </row>
    <row r="274" spans="3:6" x14ac:dyDescent="0.25">
      <c r="C274" s="2" t="s">
        <v>932</v>
      </c>
      <c r="D274" s="2" t="s">
        <v>292</v>
      </c>
      <c r="E274" s="2">
        <v>141</v>
      </c>
      <c r="F274" s="2">
        <v>2930.71</v>
      </c>
    </row>
    <row r="275" spans="3:6" x14ac:dyDescent="0.25">
      <c r="C275" s="2" t="s">
        <v>933</v>
      </c>
      <c r="D275" s="2" t="s">
        <v>292</v>
      </c>
      <c r="E275" s="2">
        <v>96</v>
      </c>
      <c r="F275" s="2">
        <v>1899.058</v>
      </c>
    </row>
    <row r="276" spans="3:6" x14ac:dyDescent="0.25">
      <c r="C276" s="2" t="s">
        <v>934</v>
      </c>
      <c r="D276" s="2" t="s">
        <v>292</v>
      </c>
      <c r="E276" s="2">
        <v>134</v>
      </c>
      <c r="F276" s="2">
        <v>2499.219</v>
      </c>
    </row>
    <row r="277" spans="3:6" x14ac:dyDescent="0.25">
      <c r="C277" s="2" t="s">
        <v>935</v>
      </c>
      <c r="D277" s="2" t="s">
        <v>292</v>
      </c>
      <c r="E277" s="2">
        <v>111</v>
      </c>
      <c r="F277" s="2">
        <v>2357.21</v>
      </c>
    </row>
    <row r="278" spans="3:6" x14ac:dyDescent="0.25">
      <c r="C278" s="2" t="s">
        <v>936</v>
      </c>
      <c r="D278" s="2" t="s">
        <v>292</v>
      </c>
      <c r="E278" s="2">
        <v>100</v>
      </c>
      <c r="F278" s="2">
        <v>1886.74</v>
      </c>
    </row>
    <row r="279" spans="3:6" x14ac:dyDescent="0.25">
      <c r="C279" s="2" t="s">
        <v>937</v>
      </c>
      <c r="D279" s="2" t="s">
        <v>292</v>
      </c>
      <c r="E279" s="2">
        <v>45</v>
      </c>
      <c r="F279" s="2">
        <v>852.38</v>
      </c>
    </row>
    <row r="280" spans="3:6" x14ac:dyDescent="0.25">
      <c r="C280" s="2" t="s">
        <v>938</v>
      </c>
      <c r="D280" s="2" t="s">
        <v>292</v>
      </c>
      <c r="E280" s="2">
        <v>22</v>
      </c>
      <c r="F280" s="2">
        <v>376.5</v>
      </c>
    </row>
    <row r="281" spans="3:6" x14ac:dyDescent="0.25">
      <c r="C281" s="2" t="s">
        <v>939</v>
      </c>
      <c r="D281" s="2" t="s">
        <v>292</v>
      </c>
      <c r="E281" s="2">
        <v>79</v>
      </c>
      <c r="F281" s="2">
        <v>1469.52</v>
      </c>
    </row>
    <row r="282" spans="3:6" x14ac:dyDescent="0.25">
      <c r="C282" s="2" t="s">
        <v>940</v>
      </c>
      <c r="D282" s="2" t="s">
        <v>292</v>
      </c>
      <c r="E282" s="2">
        <v>40</v>
      </c>
      <c r="F282" s="2">
        <v>822.85</v>
      </c>
    </row>
    <row r="283" spans="3:6" x14ac:dyDescent="0.25">
      <c r="C283" s="2" t="s">
        <v>941</v>
      </c>
      <c r="D283" s="2" t="s">
        <v>292</v>
      </c>
      <c r="E283" s="2">
        <v>28</v>
      </c>
      <c r="F283" s="2">
        <v>536.22</v>
      </c>
    </row>
    <row r="284" spans="3:6" x14ac:dyDescent="0.25">
      <c r="C284" s="2" t="s">
        <v>942</v>
      </c>
      <c r="D284" s="2" t="s">
        <v>292</v>
      </c>
      <c r="E284" s="2">
        <v>60</v>
      </c>
      <c r="F284" s="2">
        <v>308.86</v>
      </c>
    </row>
    <row r="285" spans="3:6" x14ac:dyDescent="0.25">
      <c r="C285" s="2" t="s">
        <v>943</v>
      </c>
      <c r="D285" s="2" t="s">
        <v>292</v>
      </c>
      <c r="E285" s="2">
        <v>60</v>
      </c>
      <c r="F285" s="2">
        <v>313.66</v>
      </c>
    </row>
    <row r="286" spans="3:6" x14ac:dyDescent="0.25">
      <c r="C286" s="2" t="s">
        <v>944</v>
      </c>
      <c r="D286" s="2" t="s">
        <v>292</v>
      </c>
      <c r="E286" s="2">
        <v>18</v>
      </c>
      <c r="F286" s="2">
        <v>326.21</v>
      </c>
    </row>
    <row r="287" spans="3:6" x14ac:dyDescent="0.25">
      <c r="C287" s="2" t="s">
        <v>945</v>
      </c>
      <c r="D287" s="2" t="s">
        <v>292</v>
      </c>
      <c r="E287" s="2">
        <v>21</v>
      </c>
      <c r="F287" s="2">
        <v>346.96</v>
      </c>
    </row>
    <row r="288" spans="3:6" x14ac:dyDescent="0.25">
      <c r="C288" s="2" t="s">
        <v>946</v>
      </c>
      <c r="D288" s="2" t="s">
        <v>292</v>
      </c>
      <c r="E288" s="2">
        <v>10</v>
      </c>
      <c r="F288" s="2">
        <v>168.85</v>
      </c>
    </row>
    <row r="289" spans="3:6" x14ac:dyDescent="0.25">
      <c r="C289" s="2" t="s">
        <v>947</v>
      </c>
      <c r="D289" s="2" t="s">
        <v>292</v>
      </c>
      <c r="E289" s="2">
        <v>12</v>
      </c>
      <c r="F289" s="2">
        <v>227.21</v>
      </c>
    </row>
    <row r="290" spans="3:6" x14ac:dyDescent="0.25">
      <c r="C290" s="2" t="s">
        <v>948</v>
      </c>
      <c r="D290" s="2" t="s">
        <v>292</v>
      </c>
      <c r="E290" s="2">
        <v>10</v>
      </c>
      <c r="F290" s="2">
        <v>169.37</v>
      </c>
    </row>
    <row r="291" spans="3:6" x14ac:dyDescent="0.25">
      <c r="C291" s="2" t="s">
        <v>949</v>
      </c>
      <c r="D291" s="2" t="s">
        <v>292</v>
      </c>
      <c r="E291" s="2">
        <v>68</v>
      </c>
      <c r="F291" s="2">
        <v>1162.89</v>
      </c>
    </row>
    <row r="292" spans="3:6" x14ac:dyDescent="0.25">
      <c r="C292" s="2" t="s">
        <v>950</v>
      </c>
      <c r="D292" s="2" t="s">
        <v>292</v>
      </c>
      <c r="E292" s="2">
        <v>29</v>
      </c>
      <c r="F292" s="2">
        <v>564.52</v>
      </c>
    </row>
    <row r="294" spans="1:7" x14ac:dyDescent="0.25">
      <c r="A294" s="1">
        <v>46206</v>
      </c>
      <c r="B294" s="2" t="s">
        <v>290</v>
      </c>
      <c r="C294" s="2" t="s">
        <v>951</v>
      </c>
      <c r="D294" s="2" t="s">
        <v>178</v>
      </c>
      <c r="E294" s="2">
        <v>141</v>
      </c>
      <c r="F294" s="2">
        <v>2761.37</v>
      </c>
      <c r="G294" s="1">
        <v>46206</v>
      </c>
    </row>
    <row r="295" spans="3:6" x14ac:dyDescent="0.25">
      <c r="C295" s="2" t="s">
        <v>952</v>
      </c>
      <c r="D295" s="2" t="s">
        <v>178</v>
      </c>
      <c r="E295" s="2">
        <v>141</v>
      </c>
      <c r="F295" s="2">
        <v>2825.9</v>
      </c>
    </row>
    <row r="296" spans="3:6" x14ac:dyDescent="0.25">
      <c r="C296" s="2" t="s">
        <v>953</v>
      </c>
      <c r="D296" s="2" t="s">
        <v>178</v>
      </c>
      <c r="E296" s="2">
        <v>105</v>
      </c>
      <c r="F296" s="2">
        <v>447.31</v>
      </c>
    </row>
    <row r="297" spans="3:6" x14ac:dyDescent="0.25">
      <c r="C297" s="2" t="s">
        <v>954</v>
      </c>
      <c r="D297" s="2" t="s">
        <v>178</v>
      </c>
      <c r="E297" s="2">
        <v>102</v>
      </c>
      <c r="F297" s="2">
        <v>2046</v>
      </c>
    </row>
    <row r="298" spans="3:6" x14ac:dyDescent="0.25">
      <c r="C298" s="2" t="s">
        <v>955</v>
      </c>
      <c r="D298" s="2" t="s">
        <v>178</v>
      </c>
      <c r="E298" s="2">
        <v>123</v>
      </c>
      <c r="F298" s="2">
        <v>2488.78</v>
      </c>
    </row>
    <row r="299" spans="3:6" x14ac:dyDescent="0.25">
      <c r="C299" s="2" t="s">
        <v>956</v>
      </c>
      <c r="D299" s="2" t="s">
        <v>178</v>
      </c>
      <c r="E299" s="2">
        <v>141</v>
      </c>
      <c r="F299" s="2">
        <v>2794.41</v>
      </c>
    </row>
    <row r="300" spans="3:6" x14ac:dyDescent="0.25">
      <c r="C300" s="2" t="s">
        <v>957</v>
      </c>
      <c r="D300" s="2" t="s">
        <v>178</v>
      </c>
      <c r="E300" s="2">
        <v>141</v>
      </c>
      <c r="F300" s="2">
        <v>2855.029</v>
      </c>
    </row>
    <row r="301" spans="3:6" x14ac:dyDescent="0.25">
      <c r="C301" s="2" t="s">
        <v>958</v>
      </c>
      <c r="D301" s="2" t="s">
        <v>178</v>
      </c>
      <c r="E301" s="2">
        <v>142</v>
      </c>
      <c r="F301" s="2">
        <v>2799.979</v>
      </c>
    </row>
    <row r="302" spans="3:6" x14ac:dyDescent="0.25">
      <c r="C302" s="2" t="s">
        <v>959</v>
      </c>
      <c r="D302" s="2" t="s">
        <v>178</v>
      </c>
      <c r="E302" s="2">
        <v>102</v>
      </c>
      <c r="F302" s="2">
        <v>2073.51</v>
      </c>
    </row>
    <row r="303" spans="3:6" x14ac:dyDescent="0.25">
      <c r="C303" s="2" t="s">
        <v>960</v>
      </c>
      <c r="D303" s="2" t="s">
        <v>178</v>
      </c>
      <c r="E303" s="2">
        <v>51</v>
      </c>
      <c r="F303" s="2">
        <v>214.25</v>
      </c>
    </row>
    <row r="304" spans="3:6" x14ac:dyDescent="0.25">
      <c r="C304" s="2" t="s">
        <v>961</v>
      </c>
      <c r="D304" s="2" t="s">
        <v>178</v>
      </c>
      <c r="E304" s="2">
        <v>124</v>
      </c>
      <c r="F304" s="2">
        <v>2275.219</v>
      </c>
    </row>
    <row r="305" spans="3:6" x14ac:dyDescent="0.25">
      <c r="C305" s="2" t="s">
        <v>962</v>
      </c>
      <c r="D305" s="2" t="s">
        <v>178</v>
      </c>
      <c r="E305" s="2">
        <v>136</v>
      </c>
      <c r="F305" s="2">
        <v>2440.97</v>
      </c>
    </row>
    <row r="306" spans="3:6" x14ac:dyDescent="0.25">
      <c r="C306" s="2" t="s">
        <v>963</v>
      </c>
      <c r="D306" s="2" t="s">
        <v>178</v>
      </c>
      <c r="E306" s="2">
        <v>123</v>
      </c>
      <c r="F306" s="2">
        <v>2390.318</v>
      </c>
    </row>
    <row r="307" spans="3:6" x14ac:dyDescent="0.25">
      <c r="C307" s="2" t="s">
        <v>964</v>
      </c>
      <c r="D307" s="2" t="s">
        <v>178</v>
      </c>
      <c r="E307" s="2">
        <v>123</v>
      </c>
      <c r="F307" s="2">
        <v>2280.887</v>
      </c>
    </row>
    <row r="308" spans="3:6" x14ac:dyDescent="0.25">
      <c r="C308" s="2" t="s">
        <v>965</v>
      </c>
      <c r="D308" s="2" t="s">
        <v>178</v>
      </c>
      <c r="E308" s="2">
        <v>141</v>
      </c>
      <c r="F308" s="2">
        <v>2837.48</v>
      </c>
    </row>
    <row r="309" spans="3:6" x14ac:dyDescent="0.25">
      <c r="C309" s="2" t="s">
        <v>966</v>
      </c>
      <c r="D309" s="2" t="s">
        <v>178</v>
      </c>
      <c r="E309" s="2">
        <v>143</v>
      </c>
      <c r="F309" s="2">
        <v>2878.39</v>
      </c>
    </row>
    <row r="310" spans="3:6" x14ac:dyDescent="0.25">
      <c r="C310" s="2" t="s">
        <v>967</v>
      </c>
      <c r="D310" s="2" t="s">
        <v>178</v>
      </c>
      <c r="E310" s="2">
        <v>141</v>
      </c>
      <c r="F310" s="2">
        <v>2789.169</v>
      </c>
    </row>
    <row r="311" spans="3:6" x14ac:dyDescent="0.25">
      <c r="C311" s="2" t="s">
        <v>968</v>
      </c>
      <c r="D311" s="2" t="s">
        <v>178</v>
      </c>
      <c r="E311" s="2">
        <v>141</v>
      </c>
      <c r="F311" s="2">
        <v>2716.388</v>
      </c>
    </row>
    <row r="312" spans="3:6" x14ac:dyDescent="0.25">
      <c r="C312" s="2" t="s">
        <v>969</v>
      </c>
      <c r="D312" s="2" t="s">
        <v>178</v>
      </c>
      <c r="E312" s="2">
        <v>73</v>
      </c>
      <c r="F312" s="2">
        <v>1439.54</v>
      </c>
    </row>
    <row r="313" spans="3:6" x14ac:dyDescent="0.25">
      <c r="C313" s="2" t="s">
        <v>970</v>
      </c>
      <c r="D313" s="2" t="s">
        <v>178</v>
      </c>
      <c r="E313" s="2">
        <v>68</v>
      </c>
      <c r="F313" s="2">
        <v>1321.09</v>
      </c>
    </row>
    <row r="314" spans="3:6" x14ac:dyDescent="0.25">
      <c r="C314" s="2" t="s">
        <v>971</v>
      </c>
      <c r="D314" s="2" t="s">
        <v>178</v>
      </c>
      <c r="E314" s="2">
        <v>102</v>
      </c>
      <c r="F314" s="2">
        <v>2067.31</v>
      </c>
    </row>
    <row r="315" spans="3:6" x14ac:dyDescent="0.25">
      <c r="C315" s="2" t="s">
        <v>972</v>
      </c>
      <c r="D315" s="2" t="s">
        <v>178</v>
      </c>
      <c r="E315" s="2">
        <v>204</v>
      </c>
      <c r="F315" s="2">
        <v>4157.059</v>
      </c>
    </row>
    <row r="316" spans="3:6" x14ac:dyDescent="0.25">
      <c r="C316" s="2" t="s">
        <v>973</v>
      </c>
      <c r="D316" s="2" t="s">
        <v>178</v>
      </c>
      <c r="E316" s="2">
        <v>102</v>
      </c>
      <c r="F316" s="2">
        <v>1979.82</v>
      </c>
    </row>
    <row r="317" spans="3:6" x14ac:dyDescent="0.25">
      <c r="C317" s="2" t="s">
        <v>974</v>
      </c>
      <c r="D317" s="2" t="s">
        <v>178</v>
      </c>
      <c r="E317" s="2">
        <v>42</v>
      </c>
      <c r="F317" s="2">
        <v>527.68</v>
      </c>
    </row>
    <row r="318" spans="3:6" x14ac:dyDescent="0.25">
      <c r="C318" s="2" t="s">
        <v>975</v>
      </c>
      <c r="D318" s="2" t="s">
        <v>178</v>
      </c>
      <c r="E318" s="2">
        <v>31</v>
      </c>
      <c r="F318" s="2">
        <v>592.48</v>
      </c>
    </row>
    <row r="319" spans="3:6" x14ac:dyDescent="0.25">
      <c r="C319" s="2" t="s">
        <v>976</v>
      </c>
      <c r="D319" s="2" t="s">
        <v>178</v>
      </c>
      <c r="E319" s="2">
        <v>71</v>
      </c>
      <c r="F319" s="2">
        <v>1388.34</v>
      </c>
    </row>
    <row r="320" spans="3:6" x14ac:dyDescent="0.25">
      <c r="C320" s="2" t="s">
        <v>977</v>
      </c>
      <c r="D320" s="2" t="s">
        <v>178</v>
      </c>
      <c r="E320" s="2">
        <v>143</v>
      </c>
      <c r="F320" s="2">
        <v>2576.089</v>
      </c>
    </row>
    <row r="321" spans="3:6" x14ac:dyDescent="0.25">
      <c r="C321" s="2" t="s">
        <v>978</v>
      </c>
      <c r="D321" s="2" t="s">
        <v>178</v>
      </c>
      <c r="E321" s="2">
        <v>106</v>
      </c>
      <c r="F321" s="2">
        <v>2152.78</v>
      </c>
    </row>
    <row r="322" spans="3:6" x14ac:dyDescent="0.25">
      <c r="C322" s="2" t="s">
        <v>979</v>
      </c>
      <c r="D322" s="2" t="s">
        <v>178</v>
      </c>
      <c r="E322" s="2">
        <v>35</v>
      </c>
      <c r="F322" s="2">
        <v>685.64</v>
      </c>
    </row>
    <row r="323" spans="3:6" x14ac:dyDescent="0.25">
      <c r="C323" s="2" t="s">
        <v>980</v>
      </c>
      <c r="D323" s="2" t="s">
        <v>178</v>
      </c>
      <c r="E323" s="2">
        <v>25</v>
      </c>
      <c r="F323" s="2">
        <v>483.76</v>
      </c>
    </row>
    <row r="324" spans="3:6" x14ac:dyDescent="0.25">
      <c r="C324" s="2" t="s">
        <v>981</v>
      </c>
      <c r="D324" s="2" t="s">
        <v>178</v>
      </c>
      <c r="E324" s="2">
        <v>22</v>
      </c>
      <c r="F324" s="2">
        <v>431.38</v>
      </c>
    </row>
    <row r="325" spans="3:6" x14ac:dyDescent="0.25">
      <c r="C325" s="2" t="s">
        <v>982</v>
      </c>
      <c r="D325" s="2" t="s">
        <v>178</v>
      </c>
      <c r="E325" s="2">
        <v>8</v>
      </c>
      <c r="F325" s="2">
        <v>48.79</v>
      </c>
    </row>
    <row r="326" spans="3:6" x14ac:dyDescent="0.25">
      <c r="C326" s="2" t="s">
        <v>983</v>
      </c>
      <c r="D326" s="2" t="s">
        <v>178</v>
      </c>
      <c r="E326" s="2">
        <v>11</v>
      </c>
      <c r="F326" s="2">
        <v>69.57</v>
      </c>
    </row>
    <row r="327" spans="3:6" x14ac:dyDescent="0.25">
      <c r="C327" s="2" t="s">
        <v>984</v>
      </c>
      <c r="D327" s="2" t="s">
        <v>178</v>
      </c>
      <c r="E327" s="2">
        <v>16</v>
      </c>
      <c r="F327" s="2">
        <v>317.38</v>
      </c>
    </row>
    <row r="328" spans="3:6" x14ac:dyDescent="0.25">
      <c r="C328" s="2" t="s">
        <v>985</v>
      </c>
      <c r="D328" s="2" t="s">
        <v>178</v>
      </c>
      <c r="E328" s="2">
        <v>64</v>
      </c>
      <c r="F328" s="2">
        <v>1341.59</v>
      </c>
    </row>
    <row r="329" spans="3:6" x14ac:dyDescent="0.25">
      <c r="C329" s="2" t="s">
        <v>986</v>
      </c>
      <c r="D329" s="2" t="s">
        <v>178</v>
      </c>
      <c r="E329" s="2">
        <v>77</v>
      </c>
      <c r="F329" s="2">
        <v>1432.36</v>
      </c>
    </row>
    <row r="330" spans="3:6" x14ac:dyDescent="0.25">
      <c r="C330" s="2" t="s">
        <v>987</v>
      </c>
      <c r="D330" s="2" t="s">
        <v>178</v>
      </c>
      <c r="E330" s="2">
        <v>38</v>
      </c>
      <c r="F330" s="2">
        <v>756.16</v>
      </c>
    </row>
    <row r="331" spans="3:6" x14ac:dyDescent="0.25">
      <c r="C331" s="2" t="s">
        <v>988</v>
      </c>
      <c r="D331" s="2" t="s">
        <v>178</v>
      </c>
      <c r="E331" s="2">
        <v>66</v>
      </c>
      <c r="F331" s="2">
        <v>1081.02</v>
      </c>
    </row>
    <row r="333" spans="1:7" x14ac:dyDescent="0.25">
      <c r="A333" s="1">
        <v>46206</v>
      </c>
      <c r="B333" s="2" t="s">
        <v>989</v>
      </c>
      <c r="C333" s="2" t="s">
        <v>990</v>
      </c>
      <c r="D333" s="2" t="s">
        <v>9</v>
      </c>
      <c r="E333" s="2">
        <v>150</v>
      </c>
      <c r="F333" s="2">
        <v>3028.39</v>
      </c>
      <c r="G333" s="1">
        <v>46206</v>
      </c>
    </row>
    <row r="334" spans="3:6" x14ac:dyDescent="0.25">
      <c r="C334" s="2" t="s">
        <v>991</v>
      </c>
      <c r="D334" s="2" t="s">
        <v>9</v>
      </c>
      <c r="E334" s="2">
        <v>150</v>
      </c>
      <c r="F334" s="2">
        <v>2931.159</v>
      </c>
    </row>
    <row r="335" spans="3:6" x14ac:dyDescent="0.25">
      <c r="C335" s="2" t="s">
        <v>992</v>
      </c>
      <c r="D335" s="2" t="s">
        <v>9</v>
      </c>
      <c r="E335" s="2">
        <v>86</v>
      </c>
      <c r="F335" s="2">
        <v>1748.49</v>
      </c>
    </row>
    <row r="337" spans="1:7" x14ac:dyDescent="0.25">
      <c r="A337" s="1">
        <v>46206</v>
      </c>
      <c r="B337" s="2" t="s">
        <v>7</v>
      </c>
      <c r="C337" s="2" t="s">
        <v>993</v>
      </c>
      <c r="D337" s="2" t="s">
        <v>9</v>
      </c>
      <c r="E337" s="2">
        <v>83</v>
      </c>
      <c r="F337" s="2">
        <v>1671.29</v>
      </c>
      <c r="G337" s="1">
        <v>46207</v>
      </c>
    </row>
    <row r="338" spans="3:6" x14ac:dyDescent="0.25">
      <c r="C338" s="2" t="s">
        <v>994</v>
      </c>
      <c r="D338" s="2" t="s">
        <v>9</v>
      </c>
      <c r="E338" s="2">
        <f>78+3+3</f>
        <v>84</v>
      </c>
      <c r="F338" s="2">
        <v>1567.25</v>
      </c>
    </row>
    <row r="340" spans="1:7" x14ac:dyDescent="0.25">
      <c r="A340" s="1">
        <v>46206</v>
      </c>
      <c r="B340" s="2" t="s">
        <v>995</v>
      </c>
      <c r="C340" s="2" t="s">
        <v>996</v>
      </c>
      <c r="D340" s="2" t="s">
        <v>15</v>
      </c>
      <c r="E340" s="2">
        <v>90</v>
      </c>
      <c r="F340" s="2">
        <v>2028.08</v>
      </c>
      <c r="G340" s="1">
        <v>46206</v>
      </c>
    </row>
    <row r="342" spans="1:7" x14ac:dyDescent="0.25">
      <c r="A342" s="1">
        <v>46206</v>
      </c>
      <c r="B342" s="2" t="s">
        <v>420</v>
      </c>
      <c r="C342" s="2" t="s">
        <v>997</v>
      </c>
      <c r="D342" s="2" t="s">
        <v>59</v>
      </c>
      <c r="E342" s="2">
        <v>160</v>
      </c>
      <c r="F342" s="2">
        <v>2994.907</v>
      </c>
      <c r="G342" s="1">
        <v>46206</v>
      </c>
    </row>
    <row r="343" spans="3:6" x14ac:dyDescent="0.25">
      <c r="C343" s="2" t="s">
        <v>998</v>
      </c>
      <c r="D343" s="2" t="s">
        <v>59</v>
      </c>
      <c r="E343" s="2">
        <v>85</v>
      </c>
      <c r="F343" s="2">
        <v>1681.31</v>
      </c>
    </row>
    <row r="344" spans="3:6" x14ac:dyDescent="0.25">
      <c r="C344" s="2" t="s">
        <v>999</v>
      </c>
      <c r="D344" s="2" t="s">
        <v>59</v>
      </c>
      <c r="E344" s="2">
        <v>160</v>
      </c>
      <c r="F344" s="2">
        <v>3034.508</v>
      </c>
    </row>
    <row r="345" spans="3:6" x14ac:dyDescent="0.25">
      <c r="C345" s="2" t="s">
        <v>1000</v>
      </c>
      <c r="D345" s="2" t="s">
        <v>59</v>
      </c>
      <c r="E345" s="2">
        <v>153</v>
      </c>
      <c r="F345" s="2">
        <v>3017.66</v>
      </c>
    </row>
    <row r="346" spans="3:6" x14ac:dyDescent="0.25">
      <c r="C346" s="2" t="s">
        <v>1001</v>
      </c>
      <c r="D346" s="2" t="s">
        <v>59</v>
      </c>
      <c r="E346" s="2">
        <v>65</v>
      </c>
      <c r="F346" s="2">
        <v>1286.72</v>
      </c>
    </row>
    <row r="347" spans="3:6" x14ac:dyDescent="0.25">
      <c r="C347" s="2" t="s">
        <v>1002</v>
      </c>
      <c r="D347" s="2" t="s">
        <v>59</v>
      </c>
      <c r="E347" s="2">
        <v>160</v>
      </c>
      <c r="F347" s="2">
        <v>2931.747</v>
      </c>
    </row>
    <row r="348" spans="3:6" x14ac:dyDescent="0.25">
      <c r="C348" s="2" t="s">
        <v>1003</v>
      </c>
      <c r="D348" s="2" t="s">
        <v>59</v>
      </c>
      <c r="E348" s="2">
        <v>102</v>
      </c>
      <c r="F348" s="2">
        <v>1978.35</v>
      </c>
    </row>
    <row r="349" spans="3:6" x14ac:dyDescent="0.25">
      <c r="C349" s="2" t="s">
        <v>1004</v>
      </c>
      <c r="D349" s="2" t="s">
        <v>59</v>
      </c>
      <c r="E349" s="2">
        <v>160</v>
      </c>
      <c r="F349" s="2">
        <v>3116.16</v>
      </c>
    </row>
    <row r="350" spans="3:6" x14ac:dyDescent="0.25">
      <c r="C350" s="2" t="s">
        <v>1005</v>
      </c>
      <c r="D350" s="2" t="s">
        <v>59</v>
      </c>
      <c r="E350" s="2">
        <v>102</v>
      </c>
      <c r="F350" s="2">
        <v>2140.61</v>
      </c>
    </row>
    <row r="351" spans="3:6" x14ac:dyDescent="0.25">
      <c r="C351" s="2" t="s">
        <v>1006</v>
      </c>
      <c r="D351" s="2" t="s">
        <v>59</v>
      </c>
      <c r="E351" s="2">
        <v>102</v>
      </c>
      <c r="F351" s="2">
        <v>2069.88</v>
      </c>
    </row>
    <row r="352" spans="3:6" x14ac:dyDescent="0.25">
      <c r="C352" s="2" t="s">
        <v>1007</v>
      </c>
      <c r="D352" s="2" t="s">
        <v>59</v>
      </c>
      <c r="E352" s="2">
        <v>102</v>
      </c>
      <c r="F352" s="2">
        <v>2055.158</v>
      </c>
    </row>
    <row r="354" spans="1:7" x14ac:dyDescent="0.25">
      <c r="A354" s="1">
        <v>46206</v>
      </c>
      <c r="B354" s="2" t="s">
        <v>666</v>
      </c>
      <c r="C354" s="2" t="s">
        <v>1008</v>
      </c>
      <c r="D354" s="2" t="s">
        <v>59</v>
      </c>
      <c r="E354" s="2">
        <v>149</v>
      </c>
      <c r="F354" s="2">
        <v>3071.058</v>
      </c>
      <c r="G354" s="1">
        <v>46206</v>
      </c>
    </row>
    <row r="356" spans="1:7" x14ac:dyDescent="0.25">
      <c r="A356" s="1">
        <v>46207</v>
      </c>
      <c r="B356" s="2" t="s">
        <v>1009</v>
      </c>
      <c r="C356" s="2" t="s">
        <v>1010</v>
      </c>
      <c r="D356" s="2" t="s">
        <v>82</v>
      </c>
      <c r="E356" s="2">
        <v>141</v>
      </c>
      <c r="F356" s="2">
        <v>2755.69</v>
      </c>
      <c r="G356" s="1">
        <v>46207</v>
      </c>
    </row>
    <row r="357" spans="3:6" x14ac:dyDescent="0.25">
      <c r="C357" s="2" t="s">
        <v>1011</v>
      </c>
      <c r="D357" s="2" t="s">
        <v>82</v>
      </c>
      <c r="E357" s="2">
        <v>141</v>
      </c>
      <c r="F357" s="2">
        <v>2766.14</v>
      </c>
    </row>
    <row r="359" spans="1:7" x14ac:dyDescent="0.25">
      <c r="A359" s="1">
        <v>46207</v>
      </c>
      <c r="B359" s="2" t="s">
        <v>1012</v>
      </c>
      <c r="C359" s="2" t="s">
        <v>1013</v>
      </c>
      <c r="D359" s="2" t="s">
        <v>73</v>
      </c>
      <c r="E359" s="2">
        <v>83</v>
      </c>
      <c r="F359" s="2">
        <v>1710.81</v>
      </c>
      <c r="G359" s="1">
        <v>46206</v>
      </c>
    </row>
    <row r="360" spans="3:6" x14ac:dyDescent="0.25">
      <c r="C360" s="2" t="s">
        <v>1014</v>
      </c>
      <c r="D360" s="2" t="s">
        <v>73</v>
      </c>
      <c r="E360" s="2">
        <v>101</v>
      </c>
      <c r="F360" s="2">
        <v>1960.209</v>
      </c>
    </row>
    <row r="361" spans="3:6" x14ac:dyDescent="0.25">
      <c r="C361" s="2" t="s">
        <v>1015</v>
      </c>
      <c r="D361" s="2" t="s">
        <v>73</v>
      </c>
      <c r="E361" s="2">
        <v>46</v>
      </c>
      <c r="F361" s="2">
        <v>783.78</v>
      </c>
    </row>
    <row r="362" spans="3:6" x14ac:dyDescent="0.25">
      <c r="C362" s="2" t="s">
        <v>1016</v>
      </c>
      <c r="D362" s="2" t="s">
        <v>73</v>
      </c>
      <c r="E362" s="2">
        <v>54</v>
      </c>
      <c r="F362" s="2">
        <v>928.66</v>
      </c>
    </row>
    <row r="363" spans="3:6" x14ac:dyDescent="0.25">
      <c r="C363" s="2" t="s">
        <v>1017</v>
      </c>
      <c r="D363" s="2" t="s">
        <v>73</v>
      </c>
      <c r="E363" s="2">
        <v>12</v>
      </c>
      <c r="F363" s="2">
        <v>225.4</v>
      </c>
    </row>
    <row r="364" spans="3:6" x14ac:dyDescent="0.25">
      <c r="C364" s="2" t="s">
        <v>1018</v>
      </c>
      <c r="D364" s="2" t="s">
        <v>73</v>
      </c>
      <c r="E364" s="2">
        <v>86</v>
      </c>
      <c r="F364" s="2">
        <v>1717.52</v>
      </c>
    </row>
    <row r="366" spans="1:7" x14ac:dyDescent="0.25">
      <c r="A366" s="1">
        <v>46207</v>
      </c>
      <c r="B366" s="2" t="s">
        <v>7</v>
      </c>
      <c r="C366" s="2" t="s">
        <v>1019</v>
      </c>
      <c r="D366" s="2" t="s">
        <v>9</v>
      </c>
      <c r="E366" s="2">
        <v>88</v>
      </c>
      <c r="F366" s="2">
        <v>1814.45</v>
      </c>
      <c r="G366" s="1">
        <v>46207</v>
      </c>
    </row>
    <row r="367" spans="3:6" x14ac:dyDescent="0.25">
      <c r="C367" s="2" t="s">
        <v>1020</v>
      </c>
      <c r="D367" s="2" t="s">
        <v>9</v>
      </c>
      <c r="E367" s="2">
        <v>86</v>
      </c>
      <c r="F367" s="2">
        <v>1803.27</v>
      </c>
    </row>
    <row r="369" spans="1:7" x14ac:dyDescent="0.25">
      <c r="A369" s="1">
        <v>46207</v>
      </c>
      <c r="B369" s="2" t="s">
        <v>57</v>
      </c>
      <c r="C369" s="2" t="s">
        <v>1021</v>
      </c>
      <c r="D369" s="2" t="s">
        <v>59</v>
      </c>
      <c r="E369" s="2">
        <v>153</v>
      </c>
      <c r="F369" s="2">
        <v>3065.73</v>
      </c>
      <c r="G369" s="1">
        <v>46206</v>
      </c>
    </row>
    <row r="370" spans="3:6" x14ac:dyDescent="0.25">
      <c r="C370" s="2" t="s">
        <v>1022</v>
      </c>
      <c r="D370" s="2" t="s">
        <v>59</v>
      </c>
      <c r="E370" s="2">
        <v>59</v>
      </c>
      <c r="F370" s="2">
        <v>1107.98</v>
      </c>
    </row>
    <row r="371" spans="3:6" x14ac:dyDescent="0.25">
      <c r="C371" s="2" t="s">
        <v>1023</v>
      </c>
      <c r="D371" s="2" t="s">
        <v>59</v>
      </c>
      <c r="E371" s="2">
        <v>156</v>
      </c>
      <c r="F371" s="2">
        <v>3151.139</v>
      </c>
    </row>
    <row r="372" spans="3:6" x14ac:dyDescent="0.25">
      <c r="C372" s="2" t="s">
        <v>1024</v>
      </c>
      <c r="D372" s="2" t="s">
        <v>59</v>
      </c>
      <c r="E372" s="2">
        <v>156</v>
      </c>
      <c r="F372" s="2">
        <v>3019.449</v>
      </c>
    </row>
    <row r="373" spans="3:6" x14ac:dyDescent="0.25">
      <c r="C373" s="2" t="s">
        <v>1025</v>
      </c>
      <c r="D373" s="2" t="s">
        <v>59</v>
      </c>
      <c r="E373" s="2">
        <v>153</v>
      </c>
      <c r="F373" s="2">
        <v>3051.849</v>
      </c>
    </row>
    <row r="374" spans="3:6" x14ac:dyDescent="0.25">
      <c r="C374" s="2" t="s">
        <v>1026</v>
      </c>
      <c r="D374" s="2" t="s">
        <v>59</v>
      </c>
      <c r="E374" s="2">
        <v>125</v>
      </c>
      <c r="F374" s="2">
        <v>2357.42</v>
      </c>
    </row>
    <row r="375" spans="3:6" x14ac:dyDescent="0.25">
      <c r="C375" s="2" t="s">
        <v>1027</v>
      </c>
      <c r="D375" s="2" t="s">
        <v>59</v>
      </c>
      <c r="E375" s="2">
        <v>153</v>
      </c>
      <c r="F375" s="2">
        <v>3128.46</v>
      </c>
    </row>
    <row r="376" spans="3:6" x14ac:dyDescent="0.25">
      <c r="C376" s="2" t="s">
        <v>1028</v>
      </c>
      <c r="D376" s="2" t="s">
        <v>59</v>
      </c>
      <c r="E376" s="2">
        <v>102</v>
      </c>
      <c r="F376" s="2">
        <v>2161.54</v>
      </c>
    </row>
    <row r="377" spans="3:6" x14ac:dyDescent="0.25">
      <c r="C377" s="2" t="s">
        <v>1029</v>
      </c>
      <c r="D377" s="2" t="s">
        <v>59</v>
      </c>
      <c r="E377" s="2">
        <v>67</v>
      </c>
      <c r="F377" s="2">
        <v>1266.93</v>
      </c>
    </row>
    <row r="378" spans="3:6" x14ac:dyDescent="0.25">
      <c r="C378" s="2" t="s">
        <v>1030</v>
      </c>
      <c r="D378" s="2" t="s">
        <v>59</v>
      </c>
      <c r="E378" s="2">
        <v>65</v>
      </c>
      <c r="F378" s="2">
        <v>1258.69</v>
      </c>
    </row>
    <row r="379" spans="3:6" x14ac:dyDescent="0.25">
      <c r="C379" s="2" t="s">
        <v>1031</v>
      </c>
      <c r="D379" s="2" t="s">
        <v>59</v>
      </c>
      <c r="E379" s="2">
        <v>105</v>
      </c>
      <c r="F379" s="2">
        <v>2094.959</v>
      </c>
    </row>
    <row r="381" spans="1:7" x14ac:dyDescent="0.25">
      <c r="A381" s="1">
        <v>46208</v>
      </c>
      <c r="B381" s="2" t="s">
        <v>1032</v>
      </c>
      <c r="C381" s="2" t="s">
        <v>1033</v>
      </c>
      <c r="D381" s="2" t="s">
        <v>73</v>
      </c>
      <c r="E381" s="2">
        <v>93</v>
      </c>
      <c r="F381" s="2">
        <v>1816.47</v>
      </c>
      <c r="G381" s="1">
        <v>46207</v>
      </c>
    </row>
    <row r="382" spans="3:6" x14ac:dyDescent="0.25">
      <c r="C382" s="2" t="s">
        <v>1034</v>
      </c>
      <c r="D382" s="2" t="s">
        <v>73</v>
      </c>
      <c r="E382" s="2">
        <v>19</v>
      </c>
      <c r="F382" s="2">
        <v>401.38</v>
      </c>
    </row>
    <row r="383" spans="3:6" x14ac:dyDescent="0.25">
      <c r="C383" s="2" t="s">
        <v>1035</v>
      </c>
      <c r="D383" s="2" t="s">
        <v>73</v>
      </c>
      <c r="E383" s="2">
        <v>51</v>
      </c>
      <c r="F383" s="2">
        <v>952.25</v>
      </c>
    </row>
    <row r="384" spans="3:6" x14ac:dyDescent="0.25">
      <c r="C384" s="2" t="s">
        <v>1036</v>
      </c>
      <c r="D384" s="2" t="s">
        <v>73</v>
      </c>
      <c r="E384" s="2">
        <v>29</v>
      </c>
      <c r="F384" s="2">
        <v>565.65</v>
      </c>
    </row>
    <row r="385" spans="3:6" x14ac:dyDescent="0.25">
      <c r="C385" s="2" t="s">
        <v>1037</v>
      </c>
      <c r="D385" s="2" t="s">
        <v>73</v>
      </c>
      <c r="E385" s="2">
        <v>96</v>
      </c>
      <c r="F385" s="2">
        <v>1997.23</v>
      </c>
    </row>
    <row r="387" spans="1:7" x14ac:dyDescent="0.25">
      <c r="A387" s="1">
        <v>46208</v>
      </c>
      <c r="B387" s="2" t="s">
        <v>71</v>
      </c>
      <c r="C387" s="2" t="s">
        <v>1038</v>
      </c>
      <c r="D387" s="2" t="s">
        <v>73</v>
      </c>
      <c r="E387" s="2">
        <v>85</v>
      </c>
      <c r="F387" s="2">
        <v>1646.119</v>
      </c>
      <c r="G387" s="1">
        <v>46207</v>
      </c>
    </row>
    <row r="388" spans="3:6" x14ac:dyDescent="0.25">
      <c r="C388" s="2" t="s">
        <v>1039</v>
      </c>
      <c r="D388" s="2" t="s">
        <v>73</v>
      </c>
      <c r="E388" s="2">
        <v>93</v>
      </c>
      <c r="F388" s="2">
        <v>1844.72</v>
      </c>
    </row>
    <row r="389" spans="3:6" x14ac:dyDescent="0.25">
      <c r="C389" s="2" t="s">
        <v>1040</v>
      </c>
      <c r="D389" s="2" t="s">
        <v>73</v>
      </c>
      <c r="E389" s="2">
        <v>15</v>
      </c>
      <c r="F389" s="2">
        <v>298.37</v>
      </c>
    </row>
    <row r="390" spans="3:6" x14ac:dyDescent="0.25">
      <c r="C390" s="2" t="s">
        <v>1041</v>
      </c>
      <c r="D390" s="2" t="s">
        <v>73</v>
      </c>
      <c r="E390" s="2">
        <v>37</v>
      </c>
      <c r="F390" s="2">
        <v>644.58</v>
      </c>
    </row>
    <row r="391" spans="3:6" x14ac:dyDescent="0.25">
      <c r="C391" s="2" t="s">
        <v>1042</v>
      </c>
      <c r="D391" s="2" t="s">
        <v>73</v>
      </c>
      <c r="E391" s="2">
        <v>7</v>
      </c>
      <c r="F391" s="2">
        <v>155.35</v>
      </c>
    </row>
    <row r="392" spans="3:6" x14ac:dyDescent="0.25">
      <c r="C392" s="2" t="s">
        <v>1043</v>
      </c>
      <c r="D392" s="2" t="s">
        <v>73</v>
      </c>
      <c r="E392" s="2">
        <v>41</v>
      </c>
      <c r="F392" s="2">
        <v>735.31</v>
      </c>
    </row>
    <row r="394" spans="1:7" x14ac:dyDescent="0.25">
      <c r="A394" s="1">
        <v>46208</v>
      </c>
      <c r="B394" s="2" t="s">
        <v>80</v>
      </c>
      <c r="C394" s="2" t="s">
        <v>891</v>
      </c>
      <c r="D394" s="2" t="s">
        <v>82</v>
      </c>
      <c r="E394" s="2">
        <v>134</v>
      </c>
      <c r="F394" s="2">
        <v>2693.97</v>
      </c>
      <c r="G394" s="1">
        <v>46207</v>
      </c>
    </row>
    <row r="395" spans="3:6" x14ac:dyDescent="0.25">
      <c r="C395" s="2" t="s">
        <v>892</v>
      </c>
      <c r="D395" s="2" t="s">
        <v>82</v>
      </c>
      <c r="E395" s="2">
        <v>78</v>
      </c>
      <c r="F395" s="2">
        <v>1531.86</v>
      </c>
    </row>
    <row r="396" spans="3:6" x14ac:dyDescent="0.25">
      <c r="C396" s="2" t="s">
        <v>893</v>
      </c>
      <c r="D396" s="2" t="s">
        <v>82</v>
      </c>
      <c r="E396" s="2">
        <v>63</v>
      </c>
      <c r="F396" s="2">
        <v>1025.599</v>
      </c>
    </row>
    <row r="397" spans="3:6" x14ac:dyDescent="0.25">
      <c r="C397" s="2" t="s">
        <v>894</v>
      </c>
      <c r="D397" s="2" t="s">
        <v>82</v>
      </c>
      <c r="E397" s="2">
        <v>90</v>
      </c>
      <c r="F397" s="2">
        <v>1774.31</v>
      </c>
    </row>
    <row r="398" spans="3:6" x14ac:dyDescent="0.25">
      <c r="C398" s="2" t="s">
        <v>895</v>
      </c>
      <c r="D398" s="2" t="s">
        <v>82</v>
      </c>
      <c r="E398" s="2">
        <v>30</v>
      </c>
      <c r="F398" s="2">
        <v>589.059</v>
      </c>
    </row>
    <row r="399" spans="3:6" x14ac:dyDescent="0.25">
      <c r="C399" s="2" t="s">
        <v>896</v>
      </c>
      <c r="D399" s="2" t="s">
        <v>82</v>
      </c>
      <c r="E399" s="2">
        <v>22</v>
      </c>
      <c r="F399" s="2">
        <v>390.85</v>
      </c>
    </row>
    <row r="400" spans="3:6" x14ac:dyDescent="0.25">
      <c r="C400" s="2" t="s">
        <v>888</v>
      </c>
      <c r="D400" s="2" t="s">
        <v>82</v>
      </c>
      <c r="E400" s="2">
        <v>35</v>
      </c>
      <c r="F400" s="2">
        <v>700.75</v>
      </c>
    </row>
    <row r="401" spans="3:6" x14ac:dyDescent="0.25">
      <c r="C401" s="2" t="s">
        <v>889</v>
      </c>
      <c r="D401" s="2" t="s">
        <v>82</v>
      </c>
      <c r="E401" s="2">
        <v>34</v>
      </c>
      <c r="F401" s="2">
        <v>701.019</v>
      </c>
    </row>
    <row r="402" spans="3:6" x14ac:dyDescent="0.25">
      <c r="C402" s="2" t="s">
        <v>890</v>
      </c>
      <c r="D402" s="2" t="s">
        <v>82</v>
      </c>
      <c r="E402" s="2">
        <v>20</v>
      </c>
      <c r="F402" s="2">
        <v>390.25</v>
      </c>
    </row>
    <row r="403" spans="3:6" x14ac:dyDescent="0.25">
      <c r="C403" s="2" t="s">
        <v>1044</v>
      </c>
      <c r="D403" s="2" t="s">
        <v>82</v>
      </c>
      <c r="E403" s="2">
        <v>60</v>
      </c>
      <c r="F403" s="2">
        <v>263.67</v>
      </c>
    </row>
    <row r="404" spans="3:6" x14ac:dyDescent="0.25">
      <c r="C404" s="2" t="s">
        <v>1045</v>
      </c>
      <c r="D404" s="2" t="s">
        <v>82</v>
      </c>
      <c r="E404" s="2">
        <v>70</v>
      </c>
      <c r="F404" s="2">
        <v>304.128</v>
      </c>
    </row>
    <row r="405" spans="3:6" x14ac:dyDescent="0.25">
      <c r="C405" s="2" t="s">
        <v>1046</v>
      </c>
      <c r="D405" s="2" t="s">
        <v>82</v>
      </c>
      <c r="E405" s="2">
        <v>30</v>
      </c>
      <c r="F405" s="2">
        <v>123.22</v>
      </c>
    </row>
    <row r="406" spans="3:6" x14ac:dyDescent="0.25">
      <c r="C406" s="2" t="s">
        <v>1047</v>
      </c>
      <c r="D406" s="2" t="s">
        <v>82</v>
      </c>
      <c r="E406" s="2">
        <v>110</v>
      </c>
      <c r="F406" s="2">
        <v>2109.169</v>
      </c>
    </row>
    <row r="407" spans="3:6" x14ac:dyDescent="0.25">
      <c r="C407" s="2" t="s">
        <v>1048</v>
      </c>
      <c r="D407" s="2" t="s">
        <v>82</v>
      </c>
      <c r="E407" s="2">
        <v>31</v>
      </c>
      <c r="F407" s="2">
        <v>618.36</v>
      </c>
    </row>
    <row r="408" spans="3:6" x14ac:dyDescent="0.25">
      <c r="C408" s="2" t="s">
        <v>1049</v>
      </c>
      <c r="D408" s="2" t="s">
        <v>82</v>
      </c>
      <c r="E408" s="2">
        <v>80</v>
      </c>
      <c r="F408" s="2">
        <v>1510.209</v>
      </c>
    </row>
    <row r="409" spans="3:6" x14ac:dyDescent="0.25">
      <c r="C409" s="2" t="s">
        <v>1050</v>
      </c>
      <c r="D409" s="2" t="s">
        <v>82</v>
      </c>
      <c r="E409" s="2">
        <v>61</v>
      </c>
      <c r="F409" s="2">
        <v>1183.21</v>
      </c>
    </row>
    <row r="410" spans="3:6" x14ac:dyDescent="0.25">
      <c r="C410" s="2" t="s">
        <v>1051</v>
      </c>
      <c r="D410" s="2" t="s">
        <v>82</v>
      </c>
      <c r="E410" s="2">
        <v>141</v>
      </c>
      <c r="F410" s="2">
        <v>2837.259</v>
      </c>
    </row>
    <row r="411" spans="3:6" x14ac:dyDescent="0.25">
      <c r="C411" s="2" t="s">
        <v>1052</v>
      </c>
      <c r="D411" s="2" t="s">
        <v>82</v>
      </c>
      <c r="E411" s="2">
        <v>121</v>
      </c>
      <c r="F411" s="2">
        <v>2372.969</v>
      </c>
    </row>
    <row r="412" spans="3:6" x14ac:dyDescent="0.25">
      <c r="C412" s="2" t="s">
        <v>1053</v>
      </c>
      <c r="D412" s="2" t="s">
        <v>82</v>
      </c>
      <c r="E412" s="2">
        <v>121</v>
      </c>
      <c r="F412" s="2">
        <v>2426.39</v>
      </c>
    </row>
    <row r="413" spans="3:6" x14ac:dyDescent="0.25">
      <c r="C413" s="2" t="s">
        <v>1054</v>
      </c>
      <c r="D413" s="2" t="s">
        <v>82</v>
      </c>
      <c r="E413" s="2">
        <v>121</v>
      </c>
      <c r="F413" s="2">
        <v>2468.42</v>
      </c>
    </row>
    <row r="414" spans="3:6" x14ac:dyDescent="0.25">
      <c r="C414" s="2" t="s">
        <v>1055</v>
      </c>
      <c r="D414" s="2" t="s">
        <v>82</v>
      </c>
      <c r="E414" s="2">
        <v>102</v>
      </c>
      <c r="F414" s="2">
        <v>2123.77</v>
      </c>
    </row>
    <row r="415" spans="3:6" x14ac:dyDescent="0.25">
      <c r="C415" s="2" t="s">
        <v>1056</v>
      </c>
      <c r="D415" s="2" t="s">
        <v>82</v>
      </c>
      <c r="E415" s="2">
        <v>102</v>
      </c>
      <c r="F415" s="2">
        <v>2113.54</v>
      </c>
    </row>
    <row r="416" spans="3:6" x14ac:dyDescent="0.25">
      <c r="C416" s="2" t="s">
        <v>1057</v>
      </c>
      <c r="D416" s="2" t="s">
        <v>82</v>
      </c>
      <c r="E416" s="2">
        <v>102</v>
      </c>
      <c r="F416" s="2">
        <v>1993.32</v>
      </c>
    </row>
    <row r="417" spans="3:6" x14ac:dyDescent="0.25">
      <c r="C417" s="2" t="s">
        <v>1058</v>
      </c>
      <c r="D417" s="2" t="s">
        <v>82</v>
      </c>
      <c r="E417" s="2">
        <v>102</v>
      </c>
      <c r="F417" s="2">
        <v>2050.609</v>
      </c>
    </row>
    <row r="418" spans="3:6" x14ac:dyDescent="0.25">
      <c r="C418" s="2" t="s">
        <v>1059</v>
      </c>
      <c r="D418" s="2" t="s">
        <v>82</v>
      </c>
      <c r="E418" s="2">
        <v>75</v>
      </c>
      <c r="F418" s="2">
        <v>1533.15</v>
      </c>
    </row>
    <row r="419" spans="3:6" x14ac:dyDescent="0.25">
      <c r="C419" s="2" t="s">
        <v>1060</v>
      </c>
      <c r="D419" s="2" t="s">
        <v>82</v>
      </c>
      <c r="E419" s="2">
        <v>121</v>
      </c>
      <c r="F419" s="2">
        <v>2531.03</v>
      </c>
    </row>
    <row r="420" spans="3:6" x14ac:dyDescent="0.25">
      <c r="C420" s="2" t="s">
        <v>1061</v>
      </c>
      <c r="D420" s="2" t="s">
        <v>82</v>
      </c>
      <c r="E420" s="2">
        <v>120</v>
      </c>
      <c r="F420" s="2">
        <v>2454.749</v>
      </c>
    </row>
    <row r="421" spans="3:6" x14ac:dyDescent="0.25">
      <c r="C421" s="2" t="s">
        <v>1062</v>
      </c>
      <c r="D421" s="2" t="s">
        <v>82</v>
      </c>
      <c r="E421" s="2">
        <v>21</v>
      </c>
      <c r="F421" s="2">
        <v>433.249</v>
      </c>
    </row>
    <row r="422" spans="3:6" x14ac:dyDescent="0.25">
      <c r="C422" s="2" t="s">
        <v>1063</v>
      </c>
      <c r="D422" s="2" t="s">
        <v>82</v>
      </c>
      <c r="E422" s="2">
        <v>70</v>
      </c>
      <c r="F422" s="2">
        <v>1402.25</v>
      </c>
    </row>
    <row r="423" spans="3:6" x14ac:dyDescent="0.25">
      <c r="C423" s="2" t="s">
        <v>1064</v>
      </c>
      <c r="D423" s="2" t="s">
        <v>82</v>
      </c>
      <c r="E423" s="2">
        <v>50</v>
      </c>
      <c r="F423" s="2">
        <v>1024.16</v>
      </c>
    </row>
    <row r="424" spans="3:6" x14ac:dyDescent="0.25">
      <c r="C424" s="2" t="s">
        <v>1065</v>
      </c>
      <c r="D424" s="2" t="s">
        <v>82</v>
      </c>
      <c r="E424" s="2">
        <v>21</v>
      </c>
      <c r="F424" s="2">
        <v>446.65</v>
      </c>
    </row>
    <row r="425" spans="3:6" x14ac:dyDescent="0.25">
      <c r="C425" s="2" t="s">
        <v>1066</v>
      </c>
      <c r="D425" s="2" t="s">
        <v>82</v>
      </c>
      <c r="E425" s="2">
        <v>141</v>
      </c>
      <c r="F425" s="2">
        <v>2820.819</v>
      </c>
    </row>
    <row r="426" spans="3:6" x14ac:dyDescent="0.25">
      <c r="C426" s="2" t="s">
        <v>1067</v>
      </c>
      <c r="D426" s="2" t="s">
        <v>82</v>
      </c>
      <c r="E426" s="2">
        <v>141</v>
      </c>
      <c r="F426" s="2">
        <v>2752.87</v>
      </c>
    </row>
    <row r="427" spans="3:6" x14ac:dyDescent="0.25">
      <c r="C427" s="2" t="s">
        <v>1068</v>
      </c>
      <c r="D427" s="2" t="s">
        <v>82</v>
      </c>
      <c r="E427" s="2">
        <v>141</v>
      </c>
      <c r="F427" s="2">
        <v>2760.02</v>
      </c>
    </row>
    <row r="428" spans="3:6" x14ac:dyDescent="0.25">
      <c r="C428" s="2" t="s">
        <v>1069</v>
      </c>
      <c r="D428" s="2" t="s">
        <v>82</v>
      </c>
      <c r="E428" s="2">
        <v>141</v>
      </c>
      <c r="F428" s="2">
        <v>2826.5</v>
      </c>
    </row>
    <row r="429" spans="3:6" x14ac:dyDescent="0.25">
      <c r="C429" s="2" t="s">
        <v>1070</v>
      </c>
      <c r="D429" s="2" t="s">
        <v>82</v>
      </c>
      <c r="E429" s="2">
        <v>84</v>
      </c>
      <c r="F429" s="2">
        <v>1692.99</v>
      </c>
    </row>
    <row r="430" spans="3:6" x14ac:dyDescent="0.25">
      <c r="C430" s="2" t="s">
        <v>1071</v>
      </c>
      <c r="D430" s="2" t="s">
        <v>82</v>
      </c>
      <c r="E430" s="2">
        <v>57</v>
      </c>
      <c r="F430" s="2">
        <v>1167.7</v>
      </c>
    </row>
    <row r="432" spans="1:7" x14ac:dyDescent="0.25">
      <c r="A432" s="1">
        <v>46208</v>
      </c>
      <c r="B432" s="2" t="s">
        <v>122</v>
      </c>
      <c r="C432" s="2" t="s">
        <v>1072</v>
      </c>
      <c r="D432" s="2" t="s">
        <v>9</v>
      </c>
      <c r="E432" s="2">
        <v>150</v>
      </c>
      <c r="F432" s="2">
        <v>3065.25</v>
      </c>
      <c r="G432" s="1">
        <v>46209</v>
      </c>
    </row>
    <row r="433" spans="3:6" x14ac:dyDescent="0.25">
      <c r="C433" s="2" t="s">
        <v>1073</v>
      </c>
      <c r="D433" s="2" t="s">
        <v>9</v>
      </c>
      <c r="E433" s="2">
        <v>150</v>
      </c>
      <c r="F433" s="2">
        <v>3076.309</v>
      </c>
    </row>
    <row r="434" spans="3:6" x14ac:dyDescent="0.25">
      <c r="C434" s="2" t="s">
        <v>1074</v>
      </c>
      <c r="D434" s="2" t="s">
        <v>9</v>
      </c>
      <c r="E434" s="2">
        <v>76</v>
      </c>
      <c r="F434" s="2">
        <v>1558.07</v>
      </c>
    </row>
    <row r="436" spans="1:7" x14ac:dyDescent="0.25">
      <c r="A436" s="1">
        <v>46208</v>
      </c>
      <c r="B436" s="2" t="s">
        <v>1075</v>
      </c>
      <c r="C436" s="2" t="s">
        <v>1076</v>
      </c>
      <c r="D436" s="2" t="s">
        <v>1077</v>
      </c>
      <c r="E436" s="2">
        <v>65</v>
      </c>
      <c r="F436" s="2">
        <v>1195.338</v>
      </c>
      <c r="G436" s="1">
        <v>46209</v>
      </c>
    </row>
    <row r="437" spans="3:6" x14ac:dyDescent="0.25">
      <c r="C437" s="2" t="s">
        <v>1078</v>
      </c>
      <c r="D437" s="2" t="s">
        <v>1077</v>
      </c>
      <c r="E437" s="2">
        <v>33</v>
      </c>
      <c r="F437" s="2">
        <v>480.18</v>
      </c>
    </row>
    <row r="438" spans="3:6" x14ac:dyDescent="0.25">
      <c r="C438" s="2" t="s">
        <v>1079</v>
      </c>
      <c r="D438" s="2" t="s">
        <v>1077</v>
      </c>
      <c r="E438" s="2">
        <v>7</v>
      </c>
      <c r="F438" s="2">
        <v>74.3</v>
      </c>
    </row>
    <row r="440" spans="1:7" x14ac:dyDescent="0.25">
      <c r="A440" s="1">
        <v>46208</v>
      </c>
      <c r="B440" s="2" t="s">
        <v>7</v>
      </c>
      <c r="C440" s="2" t="s">
        <v>1080</v>
      </c>
      <c r="D440" s="2" t="s">
        <v>9</v>
      </c>
      <c r="E440" s="2">
        <v>85</v>
      </c>
      <c r="F440" s="2">
        <v>1716.06</v>
      </c>
      <c r="G440" s="1">
        <v>46209</v>
      </c>
    </row>
    <row r="441" spans="3:6" x14ac:dyDescent="0.25">
      <c r="C441" s="2" t="s">
        <v>1081</v>
      </c>
      <c r="D441" s="2" t="s">
        <v>9</v>
      </c>
      <c r="E441" s="2">
        <v>82</v>
      </c>
      <c r="F441" s="2">
        <v>1657.63</v>
      </c>
    </row>
    <row r="443" spans="1:7" x14ac:dyDescent="0.25">
      <c r="A443" s="1">
        <v>46208</v>
      </c>
      <c r="B443" s="2" t="s">
        <v>57</v>
      </c>
      <c r="C443" s="2" t="s">
        <v>1082</v>
      </c>
      <c r="D443" s="2" t="s">
        <v>59</v>
      </c>
      <c r="E443" s="2">
        <v>105</v>
      </c>
      <c r="F443" s="2">
        <v>2066.55</v>
      </c>
      <c r="G443" s="1">
        <v>46209</v>
      </c>
    </row>
    <row r="444" spans="3:6" x14ac:dyDescent="0.25">
      <c r="C444" s="2" t="s">
        <v>1083</v>
      </c>
      <c r="D444" s="2" t="s">
        <v>59</v>
      </c>
      <c r="E444" s="2">
        <v>120</v>
      </c>
      <c r="F444" s="2">
        <v>2394.199</v>
      </c>
    </row>
    <row r="445" spans="3:6" x14ac:dyDescent="0.25">
      <c r="C445" s="2" t="s">
        <v>1084</v>
      </c>
      <c r="D445" s="2" t="s">
        <v>59</v>
      </c>
      <c r="E445" s="2">
        <v>105</v>
      </c>
      <c r="F445" s="2">
        <v>2021.999</v>
      </c>
    </row>
    <row r="446" spans="3:6" x14ac:dyDescent="0.25">
      <c r="C446" s="2" t="s">
        <v>1085</v>
      </c>
      <c r="D446" s="2" t="s">
        <v>59</v>
      </c>
      <c r="E446" s="2">
        <v>156</v>
      </c>
      <c r="F446" s="2">
        <v>3058.61</v>
      </c>
    </row>
    <row r="447" spans="3:6" x14ac:dyDescent="0.25">
      <c r="C447" s="2" t="s">
        <v>1086</v>
      </c>
      <c r="D447" s="2" t="s">
        <v>59</v>
      </c>
      <c r="E447" s="2">
        <v>153</v>
      </c>
      <c r="F447" s="2">
        <v>2992.93</v>
      </c>
    </row>
    <row r="448" spans="3:6" x14ac:dyDescent="0.25">
      <c r="C448" s="2" t="s">
        <v>1087</v>
      </c>
      <c r="D448" s="2" t="s">
        <v>59</v>
      </c>
      <c r="E448" s="2">
        <v>105</v>
      </c>
      <c r="F448" s="2">
        <v>2028.41</v>
      </c>
    </row>
    <row r="449" spans="3:6" x14ac:dyDescent="0.25">
      <c r="C449" s="2" t="s">
        <v>1088</v>
      </c>
      <c r="D449" s="2" t="s">
        <v>59</v>
      </c>
      <c r="E449" s="2">
        <v>154</v>
      </c>
      <c r="F449" s="2">
        <v>3177.38</v>
      </c>
    </row>
    <row r="450" spans="3:6" x14ac:dyDescent="0.25">
      <c r="C450" s="2" t="s">
        <v>1089</v>
      </c>
      <c r="D450" s="2" t="s">
        <v>59</v>
      </c>
      <c r="E450" s="2">
        <v>76</v>
      </c>
      <c r="F450" s="2">
        <v>1497.82</v>
      </c>
    </row>
    <row r="451" spans="3:6" x14ac:dyDescent="0.25">
      <c r="C451" s="2" t="s">
        <v>1090</v>
      </c>
      <c r="D451" s="2" t="s">
        <v>59</v>
      </c>
      <c r="E451" s="2">
        <v>154</v>
      </c>
      <c r="F451" s="2">
        <v>3190.77</v>
      </c>
    </row>
    <row r="452" spans="3:6" x14ac:dyDescent="0.25">
      <c r="C452" s="2" t="s">
        <v>1091</v>
      </c>
      <c r="D452" s="2" t="s">
        <v>59</v>
      </c>
      <c r="E452" s="2">
        <v>105</v>
      </c>
      <c r="F452" s="2">
        <v>2105.45</v>
      </c>
    </row>
    <row r="453" spans="3:6" x14ac:dyDescent="0.25">
      <c r="C453" s="2" t="s">
        <v>1092</v>
      </c>
      <c r="D453" s="2" t="s">
        <v>59</v>
      </c>
      <c r="E453" s="2">
        <v>156</v>
      </c>
      <c r="F453" s="2">
        <v>3211.43</v>
      </c>
    </row>
    <row r="455" spans="1:7" x14ac:dyDescent="0.25">
      <c r="A455" s="1">
        <v>46209</v>
      </c>
      <c r="B455" s="2" t="s">
        <v>176</v>
      </c>
      <c r="C455" s="2" t="s">
        <v>1093</v>
      </c>
      <c r="D455" s="2" t="s">
        <v>178</v>
      </c>
      <c r="E455" s="2">
        <v>60</v>
      </c>
      <c r="F455" s="2">
        <v>274.369</v>
      </c>
      <c r="G455" s="1">
        <v>46209</v>
      </c>
    </row>
    <row r="456" spans="3:6" x14ac:dyDescent="0.25">
      <c r="C456" s="2" t="s">
        <v>1094</v>
      </c>
      <c r="D456" s="2" t="s">
        <v>178</v>
      </c>
      <c r="E456" s="2">
        <v>102</v>
      </c>
      <c r="F456" s="2">
        <v>2008.318</v>
      </c>
    </row>
    <row r="457" spans="3:6" x14ac:dyDescent="0.25">
      <c r="C457" s="2" t="s">
        <v>1095</v>
      </c>
      <c r="D457" s="2" t="s">
        <v>178</v>
      </c>
      <c r="E457" s="2">
        <v>141</v>
      </c>
      <c r="F457" s="2">
        <v>2752.52</v>
      </c>
    </row>
    <row r="458" spans="3:6" x14ac:dyDescent="0.25">
      <c r="C458" s="2" t="s">
        <v>1096</v>
      </c>
      <c r="D458" s="2" t="s">
        <v>178</v>
      </c>
      <c r="E458" s="2">
        <v>141</v>
      </c>
      <c r="F458" s="2">
        <v>2884.49</v>
      </c>
    </row>
    <row r="459" spans="3:6" x14ac:dyDescent="0.25">
      <c r="C459" s="2" t="s">
        <v>1097</v>
      </c>
      <c r="D459" s="2" t="s">
        <v>178</v>
      </c>
      <c r="E459" s="2">
        <v>123</v>
      </c>
      <c r="F459" s="2">
        <v>2463.159</v>
      </c>
    </row>
    <row r="460" spans="3:6" x14ac:dyDescent="0.25">
      <c r="C460" s="2" t="s">
        <v>1098</v>
      </c>
      <c r="D460" s="2" t="s">
        <v>178</v>
      </c>
      <c r="E460" s="2">
        <v>141</v>
      </c>
      <c r="F460" s="2">
        <v>2911.599</v>
      </c>
    </row>
    <row r="461" spans="3:6" x14ac:dyDescent="0.25">
      <c r="C461" s="2" t="s">
        <v>1099</v>
      </c>
      <c r="D461" s="2" t="s">
        <v>178</v>
      </c>
      <c r="E461" s="2">
        <v>141</v>
      </c>
      <c r="F461" s="2">
        <v>2888.68</v>
      </c>
    </row>
    <row r="462" spans="3:6" x14ac:dyDescent="0.25">
      <c r="C462" s="2" t="s">
        <v>1100</v>
      </c>
      <c r="D462" s="2" t="s">
        <v>178</v>
      </c>
      <c r="E462" s="2">
        <v>121</v>
      </c>
      <c r="F462" s="2">
        <v>520.716</v>
      </c>
    </row>
    <row r="463" spans="3:6" x14ac:dyDescent="0.25">
      <c r="C463" s="2" t="s">
        <v>1101</v>
      </c>
      <c r="D463" s="2" t="s">
        <v>178</v>
      </c>
      <c r="E463" s="2">
        <v>67</v>
      </c>
      <c r="F463" s="2">
        <v>1323.93</v>
      </c>
    </row>
    <row r="464" spans="3:6" x14ac:dyDescent="0.25">
      <c r="C464" s="2" t="s">
        <v>1102</v>
      </c>
      <c r="D464" s="2" t="s">
        <v>178</v>
      </c>
      <c r="E464" s="2">
        <v>67</v>
      </c>
      <c r="F464" s="2">
        <v>1347.12</v>
      </c>
    </row>
    <row r="465" spans="3:6" x14ac:dyDescent="0.25">
      <c r="C465" s="2" t="s">
        <v>1103</v>
      </c>
      <c r="D465" s="2" t="s">
        <v>178</v>
      </c>
      <c r="E465" s="2">
        <v>142</v>
      </c>
      <c r="F465" s="2">
        <v>2818.12</v>
      </c>
    </row>
    <row r="466" spans="3:6" x14ac:dyDescent="0.25">
      <c r="C466" s="2" t="s">
        <v>1104</v>
      </c>
      <c r="D466" s="2" t="s">
        <v>178</v>
      </c>
      <c r="E466" s="2">
        <v>141</v>
      </c>
      <c r="F466" s="2">
        <v>2927.419</v>
      </c>
    </row>
    <row r="467" spans="3:6" x14ac:dyDescent="0.25">
      <c r="C467" s="2" t="s">
        <v>1105</v>
      </c>
      <c r="D467" s="2" t="s">
        <v>178</v>
      </c>
      <c r="E467" s="2">
        <v>102</v>
      </c>
      <c r="F467" s="2">
        <v>2087.05</v>
      </c>
    </row>
    <row r="468" spans="3:6" x14ac:dyDescent="0.25">
      <c r="C468" s="2" t="s">
        <v>1106</v>
      </c>
      <c r="D468" s="2" t="s">
        <v>178</v>
      </c>
      <c r="E468" s="2">
        <v>123</v>
      </c>
      <c r="F468" s="2">
        <v>2442.32</v>
      </c>
    </row>
    <row r="469" spans="3:6" x14ac:dyDescent="0.25">
      <c r="C469" s="2" t="s">
        <v>1107</v>
      </c>
      <c r="D469" s="2" t="s">
        <v>178</v>
      </c>
      <c r="E469" s="2">
        <v>123</v>
      </c>
      <c r="F469" s="2">
        <v>2501.59</v>
      </c>
    </row>
    <row r="470" spans="3:6" x14ac:dyDescent="0.25">
      <c r="C470" s="2" t="s">
        <v>1108</v>
      </c>
      <c r="D470" s="2" t="s">
        <v>178</v>
      </c>
      <c r="E470" s="2">
        <v>123</v>
      </c>
      <c r="F470" s="2">
        <v>2438.01</v>
      </c>
    </row>
    <row r="471" spans="3:6" x14ac:dyDescent="0.25">
      <c r="C471" s="2" t="s">
        <v>1109</v>
      </c>
      <c r="D471" s="2" t="s">
        <v>178</v>
      </c>
      <c r="E471" s="2">
        <v>141</v>
      </c>
      <c r="F471" s="2">
        <v>2884.98</v>
      </c>
    </row>
    <row r="472" spans="3:6" x14ac:dyDescent="0.25">
      <c r="C472" s="2" t="s">
        <v>1110</v>
      </c>
      <c r="D472" s="2" t="s">
        <v>178</v>
      </c>
      <c r="E472" s="2">
        <v>141</v>
      </c>
      <c r="F472" s="2">
        <v>2905.71</v>
      </c>
    </row>
    <row r="473" spans="3:6" x14ac:dyDescent="0.25">
      <c r="C473" s="2" t="s">
        <v>1111</v>
      </c>
      <c r="D473" s="2" t="s">
        <v>178</v>
      </c>
      <c r="E473" s="2">
        <v>142</v>
      </c>
      <c r="F473" s="2">
        <v>2739.578</v>
      </c>
    </row>
    <row r="474" spans="3:6" x14ac:dyDescent="0.25">
      <c r="C474" s="2" t="s">
        <v>1112</v>
      </c>
      <c r="D474" s="2" t="s">
        <v>178</v>
      </c>
      <c r="E474" s="2">
        <v>141</v>
      </c>
      <c r="F474" s="2">
        <v>2878.53</v>
      </c>
    </row>
    <row r="475" spans="3:6" x14ac:dyDescent="0.25">
      <c r="C475" s="2" t="s">
        <v>1113</v>
      </c>
      <c r="D475" s="2" t="s">
        <v>178</v>
      </c>
      <c r="E475" s="2">
        <v>102</v>
      </c>
      <c r="F475" s="2">
        <v>2042.23</v>
      </c>
    </row>
    <row r="476" spans="3:6" x14ac:dyDescent="0.25">
      <c r="C476" s="2" t="s">
        <v>1114</v>
      </c>
      <c r="D476" s="2" t="s">
        <v>178</v>
      </c>
      <c r="E476" s="2">
        <v>38</v>
      </c>
      <c r="F476" s="2">
        <v>657.5</v>
      </c>
    </row>
    <row r="477" spans="3:6" x14ac:dyDescent="0.25">
      <c r="C477" s="2" t="s">
        <v>1115</v>
      </c>
      <c r="D477" s="2" t="s">
        <v>178</v>
      </c>
      <c r="E477" s="2">
        <v>64</v>
      </c>
      <c r="F477" s="2">
        <v>1125.87</v>
      </c>
    </row>
    <row r="478" spans="3:6" x14ac:dyDescent="0.25">
      <c r="C478" s="2" t="s">
        <v>1116</v>
      </c>
      <c r="D478" s="2" t="s">
        <v>178</v>
      </c>
      <c r="E478" s="2">
        <v>141</v>
      </c>
      <c r="F478" s="2">
        <v>2627.7</v>
      </c>
    </row>
    <row r="479" spans="3:6" x14ac:dyDescent="0.25">
      <c r="C479" s="2" t="s">
        <v>1117</v>
      </c>
      <c r="D479" s="2" t="s">
        <v>178</v>
      </c>
      <c r="E479" s="2">
        <v>141</v>
      </c>
      <c r="F479" s="2">
        <v>2413.99</v>
      </c>
    </row>
    <row r="480" spans="3:6" x14ac:dyDescent="0.25">
      <c r="C480" s="2" t="s">
        <v>1118</v>
      </c>
      <c r="D480" s="2" t="s">
        <v>178</v>
      </c>
      <c r="E480" s="2">
        <v>141</v>
      </c>
      <c r="F480" s="2">
        <v>2564.899</v>
      </c>
    </row>
    <row r="481" spans="3:6" x14ac:dyDescent="0.25">
      <c r="C481" s="2" t="s">
        <v>1119</v>
      </c>
      <c r="D481" s="2" t="s">
        <v>178</v>
      </c>
      <c r="E481" s="2">
        <v>81</v>
      </c>
      <c r="F481" s="2">
        <v>1479.04</v>
      </c>
    </row>
    <row r="482" spans="3:6" x14ac:dyDescent="0.25">
      <c r="C482" s="2" t="s">
        <v>1120</v>
      </c>
      <c r="D482" s="2" t="s">
        <v>178</v>
      </c>
      <c r="E482" s="2">
        <v>60</v>
      </c>
      <c r="F482" s="2">
        <v>1205.02</v>
      </c>
    </row>
    <row r="483" spans="3:6" x14ac:dyDescent="0.25">
      <c r="C483" s="2" t="s">
        <v>1121</v>
      </c>
      <c r="D483" s="2" t="s">
        <v>178</v>
      </c>
      <c r="E483" s="2">
        <v>32</v>
      </c>
      <c r="F483" s="2">
        <v>610.569</v>
      </c>
    </row>
    <row r="484" spans="3:6" x14ac:dyDescent="0.25">
      <c r="C484" s="2" t="s">
        <v>1122</v>
      </c>
      <c r="D484" s="2" t="s">
        <v>178</v>
      </c>
      <c r="E484" s="2">
        <v>15</v>
      </c>
      <c r="F484" s="2">
        <v>294.56</v>
      </c>
    </row>
    <row r="485" spans="3:6" x14ac:dyDescent="0.25">
      <c r="C485" s="2" t="s">
        <v>1123</v>
      </c>
      <c r="D485" s="2" t="s">
        <v>178</v>
      </c>
      <c r="E485" s="2">
        <v>55</v>
      </c>
      <c r="F485" s="2">
        <v>970.348</v>
      </c>
    </row>
    <row r="486" spans="3:6" x14ac:dyDescent="0.25">
      <c r="C486" s="2" t="s">
        <v>1124</v>
      </c>
      <c r="D486" s="2" t="s">
        <v>178</v>
      </c>
      <c r="E486" s="2">
        <v>55</v>
      </c>
      <c r="F486" s="2">
        <v>1067.95</v>
      </c>
    </row>
    <row r="487" spans="3:6" x14ac:dyDescent="0.25">
      <c r="C487" s="2" t="s">
        <v>1125</v>
      </c>
      <c r="D487" s="2" t="s">
        <v>178</v>
      </c>
      <c r="E487" s="2">
        <v>8</v>
      </c>
      <c r="F487" s="2">
        <v>132.29</v>
      </c>
    </row>
    <row r="488" spans="3:6" x14ac:dyDescent="0.25">
      <c r="C488" s="2" t="s">
        <v>1126</v>
      </c>
      <c r="D488" s="2" t="s">
        <v>178</v>
      </c>
      <c r="E488" s="2">
        <v>6</v>
      </c>
      <c r="F488" s="2">
        <v>105.28</v>
      </c>
    </row>
    <row r="489" spans="3:6" x14ac:dyDescent="0.25">
      <c r="C489" s="2" t="s">
        <v>1127</v>
      </c>
      <c r="D489" s="2" t="s">
        <v>178</v>
      </c>
      <c r="E489" s="2">
        <v>7</v>
      </c>
      <c r="F489" s="2">
        <v>36.03</v>
      </c>
    </row>
    <row r="490" spans="3:6" x14ac:dyDescent="0.25">
      <c r="C490" s="2" t="s">
        <v>1128</v>
      </c>
      <c r="D490" s="2" t="s">
        <v>178</v>
      </c>
      <c r="E490" s="2">
        <v>1</v>
      </c>
      <c r="F490" s="2">
        <v>1.72</v>
      </c>
    </row>
    <row r="491" spans="3:6" x14ac:dyDescent="0.25">
      <c r="C491" s="2" t="s">
        <v>1129</v>
      </c>
      <c r="D491" s="2" t="s">
        <v>178</v>
      </c>
      <c r="E491" s="2">
        <v>51</v>
      </c>
      <c r="F491" s="2">
        <v>1071.63</v>
      </c>
    </row>
    <row r="492" spans="3:6" x14ac:dyDescent="0.25">
      <c r="C492" s="2" t="s">
        <v>1130</v>
      </c>
      <c r="D492" s="2" t="s">
        <v>178</v>
      </c>
      <c r="E492" s="2">
        <v>51</v>
      </c>
      <c r="F492" s="2">
        <v>1036.7</v>
      </c>
    </row>
    <row r="493" spans="3:6" x14ac:dyDescent="0.25">
      <c r="C493" s="2" t="s">
        <v>1131</v>
      </c>
      <c r="D493" s="2" t="s">
        <v>178</v>
      </c>
      <c r="E493" s="2">
        <v>102</v>
      </c>
      <c r="F493" s="2">
        <v>2066.63</v>
      </c>
    </row>
    <row r="495" spans="1:7" x14ac:dyDescent="0.25">
      <c r="A495" s="1">
        <v>46209</v>
      </c>
      <c r="B495" s="2" t="s">
        <v>229</v>
      </c>
      <c r="C495" s="2" t="s">
        <v>1132</v>
      </c>
      <c r="D495" s="2" t="s">
        <v>82</v>
      </c>
      <c r="E495" s="2">
        <v>121</v>
      </c>
      <c r="F495" s="2">
        <v>2432.989</v>
      </c>
      <c r="G495" s="1">
        <v>46209</v>
      </c>
    </row>
    <row r="496" spans="3:6" x14ac:dyDescent="0.25">
      <c r="C496" s="2" t="s">
        <v>1133</v>
      </c>
      <c r="D496" s="2" t="s">
        <v>82</v>
      </c>
      <c r="E496" s="2">
        <v>121</v>
      </c>
      <c r="F496" s="2">
        <v>2311.357</v>
      </c>
    </row>
    <row r="497" spans="3:6" x14ac:dyDescent="0.25">
      <c r="C497" s="2" t="s">
        <v>1134</v>
      </c>
      <c r="D497" s="2" t="s">
        <v>82</v>
      </c>
      <c r="E497" s="2">
        <v>121</v>
      </c>
      <c r="F497" s="2">
        <v>2407.58</v>
      </c>
    </row>
    <row r="498" spans="3:6" x14ac:dyDescent="0.25">
      <c r="C498" s="2" t="s">
        <v>1135</v>
      </c>
      <c r="D498" s="2" t="s">
        <v>82</v>
      </c>
      <c r="E498" s="2">
        <v>40</v>
      </c>
      <c r="F498" s="2">
        <v>171.948</v>
      </c>
    </row>
    <row r="499" spans="3:6" x14ac:dyDescent="0.25">
      <c r="C499" s="2" t="s">
        <v>1136</v>
      </c>
      <c r="D499" s="2" t="s">
        <v>82</v>
      </c>
      <c r="E499" s="2">
        <v>60</v>
      </c>
      <c r="F499" s="2">
        <v>260.009</v>
      </c>
    </row>
    <row r="500" spans="3:6" x14ac:dyDescent="0.25">
      <c r="C500" s="2" t="s">
        <v>1137</v>
      </c>
      <c r="D500" s="2" t="s">
        <v>82</v>
      </c>
      <c r="E500" s="2">
        <v>62</v>
      </c>
      <c r="F500" s="2">
        <v>1287.75</v>
      </c>
    </row>
    <row r="501" spans="3:6" x14ac:dyDescent="0.25">
      <c r="C501" s="2" t="s">
        <v>1138</v>
      </c>
      <c r="D501" s="2" t="s">
        <v>82</v>
      </c>
      <c r="E501" s="2">
        <v>59</v>
      </c>
      <c r="F501" s="2">
        <v>1191.93</v>
      </c>
    </row>
    <row r="502" spans="3:6" x14ac:dyDescent="0.25">
      <c r="C502" s="2" t="s">
        <v>1139</v>
      </c>
      <c r="D502" s="2" t="s">
        <v>82</v>
      </c>
      <c r="E502" s="2">
        <v>70</v>
      </c>
      <c r="F502" s="2">
        <v>1467.21</v>
      </c>
    </row>
    <row r="503" spans="3:6" x14ac:dyDescent="0.25">
      <c r="C503" s="2" t="s">
        <v>1140</v>
      </c>
      <c r="D503" s="2" t="s">
        <v>82</v>
      </c>
      <c r="E503" s="2">
        <v>64</v>
      </c>
      <c r="F503" s="2">
        <v>1313.7</v>
      </c>
    </row>
    <row r="504" spans="3:6" x14ac:dyDescent="0.25">
      <c r="C504" s="2" t="s">
        <v>1141</v>
      </c>
      <c r="D504" s="2" t="s">
        <v>82</v>
      </c>
      <c r="E504" s="2">
        <v>102</v>
      </c>
      <c r="F504" s="2">
        <v>1941.44</v>
      </c>
    </row>
    <row r="505" spans="3:6" x14ac:dyDescent="0.25">
      <c r="C505" s="2" t="s">
        <v>1142</v>
      </c>
      <c r="D505" s="2" t="s">
        <v>82</v>
      </c>
      <c r="E505" s="2">
        <v>102</v>
      </c>
      <c r="F505" s="2">
        <v>2093.059</v>
      </c>
    </row>
    <row r="506" spans="3:6" x14ac:dyDescent="0.25">
      <c r="C506" s="2" t="s">
        <v>1143</v>
      </c>
      <c r="D506" s="2" t="s">
        <v>82</v>
      </c>
      <c r="E506" s="2">
        <v>103</v>
      </c>
      <c r="F506" s="2">
        <v>1865.43</v>
      </c>
    </row>
    <row r="507" spans="3:6" x14ac:dyDescent="0.25">
      <c r="C507" s="2" t="s">
        <v>1144</v>
      </c>
      <c r="D507" s="2" t="s">
        <v>82</v>
      </c>
      <c r="E507" s="2">
        <v>28</v>
      </c>
      <c r="F507" s="2">
        <v>498.05</v>
      </c>
    </row>
    <row r="508" spans="3:6" x14ac:dyDescent="0.25">
      <c r="C508" s="2" t="s">
        <v>1145</v>
      </c>
      <c r="D508" s="2" t="s">
        <v>82</v>
      </c>
      <c r="E508" s="2">
        <v>74</v>
      </c>
      <c r="F508" s="2">
        <v>1461.26</v>
      </c>
    </row>
    <row r="509" spans="3:6" x14ac:dyDescent="0.25">
      <c r="C509" s="2" t="s">
        <v>1146</v>
      </c>
      <c r="D509" s="2" t="s">
        <v>82</v>
      </c>
      <c r="E509" s="2">
        <v>102</v>
      </c>
      <c r="F509" s="2">
        <v>1976.587</v>
      </c>
    </row>
    <row r="510" spans="3:6" x14ac:dyDescent="0.25">
      <c r="C510" s="2" t="s">
        <v>1147</v>
      </c>
      <c r="D510" s="2" t="s">
        <v>82</v>
      </c>
      <c r="E510" s="2">
        <v>75</v>
      </c>
      <c r="F510" s="2">
        <v>1487.88</v>
      </c>
    </row>
    <row r="511" spans="3:6" x14ac:dyDescent="0.25">
      <c r="C511" s="2" t="s">
        <v>1148</v>
      </c>
      <c r="D511" s="2" t="s">
        <v>82</v>
      </c>
      <c r="E511" s="2">
        <v>141</v>
      </c>
      <c r="F511" s="2">
        <v>2835.13</v>
      </c>
    </row>
    <row r="512" spans="3:6" x14ac:dyDescent="0.25">
      <c r="C512" s="2" t="s">
        <v>1149</v>
      </c>
      <c r="D512" s="2" t="s">
        <v>82</v>
      </c>
      <c r="E512" s="2">
        <v>126</v>
      </c>
      <c r="F512" s="2">
        <v>2582.22</v>
      </c>
    </row>
    <row r="513" spans="3:6" x14ac:dyDescent="0.25">
      <c r="C513" s="2" t="s">
        <v>1150</v>
      </c>
      <c r="D513" s="2" t="s">
        <v>82</v>
      </c>
      <c r="E513" s="2">
        <v>15</v>
      </c>
      <c r="F513" s="2">
        <v>307.27</v>
      </c>
    </row>
    <row r="514" spans="3:6" x14ac:dyDescent="0.25">
      <c r="C514" s="2" t="s">
        <v>1151</v>
      </c>
      <c r="D514" s="2" t="s">
        <v>82</v>
      </c>
      <c r="E514" s="2">
        <v>141</v>
      </c>
      <c r="F514" s="2">
        <v>2811.109</v>
      </c>
    </row>
    <row r="515" spans="3:6" x14ac:dyDescent="0.25">
      <c r="C515" s="2" t="s">
        <v>1152</v>
      </c>
      <c r="D515" s="2" t="s">
        <v>82</v>
      </c>
      <c r="E515" s="2">
        <v>66</v>
      </c>
      <c r="F515" s="2">
        <v>1326.72</v>
      </c>
    </row>
    <row r="516" spans="3:6" x14ac:dyDescent="0.25">
      <c r="C516" s="2" t="s">
        <v>1153</v>
      </c>
      <c r="D516" s="2" t="s">
        <v>82</v>
      </c>
      <c r="E516" s="2">
        <v>58</v>
      </c>
      <c r="F516" s="2">
        <v>1129.589</v>
      </c>
    </row>
    <row r="517" spans="3:6" x14ac:dyDescent="0.25">
      <c r="C517" s="2" t="s">
        <v>1154</v>
      </c>
      <c r="D517" s="2" t="s">
        <v>82</v>
      </c>
      <c r="E517" s="2">
        <v>17</v>
      </c>
      <c r="F517" s="2">
        <v>338.49</v>
      </c>
    </row>
    <row r="518" spans="3:6" x14ac:dyDescent="0.25">
      <c r="C518" s="2" t="s">
        <v>1155</v>
      </c>
      <c r="D518" s="2" t="s">
        <v>82</v>
      </c>
      <c r="E518" s="2">
        <v>45</v>
      </c>
      <c r="F518" s="2">
        <v>190.828</v>
      </c>
    </row>
    <row r="519" spans="3:6" x14ac:dyDescent="0.25">
      <c r="C519" s="2" t="s">
        <v>1156</v>
      </c>
      <c r="D519" s="2" t="s">
        <v>82</v>
      </c>
      <c r="E519" s="2">
        <v>16</v>
      </c>
      <c r="F519" s="2">
        <v>315.63</v>
      </c>
    </row>
    <row r="520" spans="3:6" x14ac:dyDescent="0.25">
      <c r="C520" s="2" t="s">
        <v>1157</v>
      </c>
      <c r="D520" s="2" t="s">
        <v>82</v>
      </c>
      <c r="E520" s="2">
        <v>66</v>
      </c>
      <c r="F520" s="2">
        <v>1334.95</v>
      </c>
    </row>
    <row r="521" spans="3:6" x14ac:dyDescent="0.25">
      <c r="C521" s="2" t="s">
        <v>1158</v>
      </c>
      <c r="D521" s="2" t="s">
        <v>82</v>
      </c>
      <c r="E521" s="2">
        <v>59</v>
      </c>
      <c r="F521" s="2">
        <v>1119.179</v>
      </c>
    </row>
    <row r="522" spans="3:6" x14ac:dyDescent="0.25">
      <c r="C522" s="2" t="s">
        <v>1159</v>
      </c>
      <c r="D522" s="2" t="s">
        <v>82</v>
      </c>
      <c r="E522" s="2">
        <v>83</v>
      </c>
      <c r="F522" s="2">
        <v>1627.718</v>
      </c>
    </row>
    <row r="523" spans="3:6" x14ac:dyDescent="0.25">
      <c r="C523" s="2" t="s">
        <v>1160</v>
      </c>
      <c r="D523" s="2" t="s">
        <v>82</v>
      </c>
      <c r="E523" s="2">
        <v>58</v>
      </c>
      <c r="F523" s="2">
        <v>1161.049</v>
      </c>
    </row>
    <row r="524" spans="3:6" x14ac:dyDescent="0.25">
      <c r="C524" s="2" t="s">
        <v>1161</v>
      </c>
      <c r="D524" s="2" t="s">
        <v>82</v>
      </c>
      <c r="E524" s="2">
        <v>100</v>
      </c>
      <c r="F524" s="2">
        <v>1982.67</v>
      </c>
    </row>
    <row r="525" spans="3:6" x14ac:dyDescent="0.25">
      <c r="C525" s="2" t="s">
        <v>1162</v>
      </c>
      <c r="D525" s="2" t="s">
        <v>82</v>
      </c>
      <c r="E525" s="2">
        <v>28</v>
      </c>
      <c r="F525" s="2">
        <v>569.98</v>
      </c>
    </row>
    <row r="526" spans="3:6" x14ac:dyDescent="0.25">
      <c r="C526" s="2" t="s">
        <v>1163</v>
      </c>
      <c r="D526" s="2" t="s">
        <v>82</v>
      </c>
      <c r="E526" s="2">
        <v>13</v>
      </c>
      <c r="F526" s="2">
        <v>271.94</v>
      </c>
    </row>
    <row r="527" spans="3:6" x14ac:dyDescent="0.25">
      <c r="C527" s="2" t="s">
        <v>1164</v>
      </c>
      <c r="D527" s="2" t="s">
        <v>82</v>
      </c>
      <c r="E527" s="2">
        <v>141</v>
      </c>
      <c r="F527" s="2">
        <v>2792.58</v>
      </c>
    </row>
    <row r="528" spans="3:6" x14ac:dyDescent="0.25">
      <c r="C528" s="2" t="s">
        <v>1165</v>
      </c>
      <c r="D528" s="2" t="s">
        <v>82</v>
      </c>
      <c r="E528" s="2">
        <v>71</v>
      </c>
      <c r="F528" s="2">
        <v>1137.129</v>
      </c>
    </row>
    <row r="529" spans="3:6" x14ac:dyDescent="0.25">
      <c r="C529" s="2" t="s">
        <v>1166</v>
      </c>
      <c r="D529" s="2" t="s">
        <v>82</v>
      </c>
      <c r="E529" s="2">
        <v>41</v>
      </c>
      <c r="F529" s="2">
        <v>754.439</v>
      </c>
    </row>
    <row r="530" spans="3:6" x14ac:dyDescent="0.25">
      <c r="C530" s="2" t="s">
        <v>1167</v>
      </c>
      <c r="D530" s="2" t="s">
        <v>82</v>
      </c>
      <c r="E530" s="2">
        <v>30</v>
      </c>
      <c r="F530" s="2">
        <v>573.749</v>
      </c>
    </row>
    <row r="531" spans="3:6" x14ac:dyDescent="0.25">
      <c r="C531" s="2" t="s">
        <v>1168</v>
      </c>
      <c r="D531" s="2" t="s">
        <v>82</v>
      </c>
      <c r="E531" s="2">
        <v>47</v>
      </c>
      <c r="F531" s="2">
        <v>790.55</v>
      </c>
    </row>
    <row r="532" spans="3:6" x14ac:dyDescent="0.25">
      <c r="C532" s="2" t="s">
        <v>1169</v>
      </c>
      <c r="D532" s="2" t="s">
        <v>82</v>
      </c>
      <c r="E532" s="2">
        <v>28</v>
      </c>
      <c r="F532" s="2">
        <v>617.61</v>
      </c>
    </row>
    <row r="533" spans="3:6" x14ac:dyDescent="0.25">
      <c r="C533" s="2" t="s">
        <v>1170</v>
      </c>
      <c r="D533" s="2" t="s">
        <v>82</v>
      </c>
      <c r="E533" s="2">
        <v>19</v>
      </c>
      <c r="F533" s="2">
        <v>396.81</v>
      </c>
    </row>
    <row r="534" spans="3:6" x14ac:dyDescent="0.25">
      <c r="C534" s="2" t="s">
        <v>1171</v>
      </c>
      <c r="D534" s="2" t="s">
        <v>82</v>
      </c>
      <c r="E534" s="2">
        <v>47</v>
      </c>
      <c r="F534" s="2">
        <v>933.769</v>
      </c>
    </row>
    <row r="535" spans="3:6" x14ac:dyDescent="0.25">
      <c r="C535" s="2" t="s">
        <v>1172</v>
      </c>
      <c r="D535" s="2" t="s">
        <v>82</v>
      </c>
      <c r="E535" s="2">
        <v>74</v>
      </c>
      <c r="F535" s="2">
        <v>1500.62</v>
      </c>
    </row>
    <row r="536" spans="3:6" x14ac:dyDescent="0.25">
      <c r="C536" s="2" t="s">
        <v>1173</v>
      </c>
      <c r="D536" s="2" t="s">
        <v>82</v>
      </c>
      <c r="E536" s="2">
        <v>20</v>
      </c>
      <c r="F536" s="2">
        <v>377.25</v>
      </c>
    </row>
    <row r="537" spans="3:6" x14ac:dyDescent="0.25">
      <c r="C537" s="2" t="s">
        <v>1174</v>
      </c>
      <c r="D537" s="2" t="s">
        <v>82</v>
      </c>
      <c r="E537" s="2">
        <v>23</v>
      </c>
      <c r="F537" s="2">
        <v>454.07</v>
      </c>
    </row>
    <row r="538" spans="3:6" x14ac:dyDescent="0.25">
      <c r="C538" s="2" t="s">
        <v>1175</v>
      </c>
      <c r="D538" s="2" t="s">
        <v>82</v>
      </c>
      <c r="E538" s="2">
        <v>24</v>
      </c>
      <c r="F538" s="2">
        <v>474.15</v>
      </c>
    </row>
    <row r="539" spans="3:6" x14ac:dyDescent="0.25">
      <c r="C539" s="2" t="s">
        <v>1176</v>
      </c>
      <c r="D539" s="2" t="s">
        <v>82</v>
      </c>
      <c r="E539" s="2">
        <v>22</v>
      </c>
      <c r="F539" s="2">
        <v>489.53</v>
      </c>
    </row>
    <row r="540" spans="3:6" x14ac:dyDescent="0.25">
      <c r="C540" s="2" t="s">
        <v>1177</v>
      </c>
      <c r="D540" s="2" t="s">
        <v>82</v>
      </c>
      <c r="E540" s="2">
        <v>63</v>
      </c>
      <c r="F540" s="2">
        <v>1259.79</v>
      </c>
    </row>
    <row r="541" spans="3:6" x14ac:dyDescent="0.25">
      <c r="C541" s="2" t="s">
        <v>1178</v>
      </c>
      <c r="D541" s="2" t="s">
        <v>82</v>
      </c>
      <c r="E541" s="2">
        <v>22</v>
      </c>
      <c r="F541" s="2">
        <v>454.599</v>
      </c>
    </row>
    <row r="542" spans="3:6" x14ac:dyDescent="0.25">
      <c r="C542" s="2" t="s">
        <v>1179</v>
      </c>
      <c r="D542" s="2" t="s">
        <v>82</v>
      </c>
      <c r="E542" s="2">
        <v>15</v>
      </c>
      <c r="F542" s="2">
        <v>316.52</v>
      </c>
    </row>
    <row r="543" spans="3:6" x14ac:dyDescent="0.25">
      <c r="C543" s="2" t="s">
        <v>1180</v>
      </c>
      <c r="D543" s="2" t="s">
        <v>82</v>
      </c>
      <c r="E543" s="2">
        <v>19</v>
      </c>
      <c r="F543" s="2">
        <v>381.09</v>
      </c>
    </row>
    <row r="545" spans="1:7" x14ac:dyDescent="0.25">
      <c r="A545" s="1">
        <v>46209</v>
      </c>
      <c r="B545" s="2" t="s">
        <v>290</v>
      </c>
      <c r="C545" s="2" t="s">
        <v>1181</v>
      </c>
      <c r="D545" s="2" t="s">
        <v>292</v>
      </c>
      <c r="E545" s="2">
        <v>123</v>
      </c>
      <c r="F545" s="2">
        <v>2408.7</v>
      </c>
      <c r="G545" s="1">
        <v>46209</v>
      </c>
    </row>
    <row r="546" spans="3:6" x14ac:dyDescent="0.25">
      <c r="C546" s="2" t="s">
        <v>1182</v>
      </c>
      <c r="D546" s="2" t="s">
        <v>292</v>
      </c>
      <c r="E546" s="2">
        <v>123</v>
      </c>
      <c r="F546" s="2">
        <v>2466.258</v>
      </c>
    </row>
    <row r="547" spans="3:6" x14ac:dyDescent="0.25">
      <c r="C547" s="2" t="s">
        <v>1183</v>
      </c>
      <c r="D547" s="2" t="s">
        <v>292</v>
      </c>
      <c r="E547" s="2">
        <v>123</v>
      </c>
      <c r="F547" s="2">
        <v>2594.39</v>
      </c>
    </row>
    <row r="548" spans="3:6" x14ac:dyDescent="0.25">
      <c r="C548" s="2" t="s">
        <v>1184</v>
      </c>
      <c r="D548" s="2" t="s">
        <v>292</v>
      </c>
      <c r="E548" s="2">
        <v>84</v>
      </c>
      <c r="F548" s="2">
        <v>1746.37</v>
      </c>
    </row>
    <row r="549" spans="3:6" x14ac:dyDescent="0.25">
      <c r="C549" s="2" t="s">
        <v>1185</v>
      </c>
      <c r="D549" s="2" t="s">
        <v>292</v>
      </c>
      <c r="E549" s="2">
        <v>39</v>
      </c>
      <c r="F549" s="2">
        <v>756.2</v>
      </c>
    </row>
    <row r="550" spans="3:6" x14ac:dyDescent="0.25">
      <c r="C550" s="2" t="s">
        <v>1186</v>
      </c>
      <c r="D550" s="2" t="s">
        <v>292</v>
      </c>
      <c r="E550" s="2">
        <v>141</v>
      </c>
      <c r="F550" s="2">
        <v>2858.87</v>
      </c>
    </row>
    <row r="551" spans="3:6" x14ac:dyDescent="0.25">
      <c r="C551" s="2" t="s">
        <v>1187</v>
      </c>
      <c r="D551" s="2" t="s">
        <v>292</v>
      </c>
      <c r="E551" s="2">
        <v>141</v>
      </c>
      <c r="F551" s="2">
        <v>2717.91</v>
      </c>
    </row>
    <row r="552" spans="3:6" x14ac:dyDescent="0.25">
      <c r="C552" s="2" t="s">
        <v>1188</v>
      </c>
      <c r="D552" s="2" t="s">
        <v>292</v>
      </c>
      <c r="E552" s="2">
        <v>50</v>
      </c>
      <c r="F552" s="2">
        <v>238.74</v>
      </c>
    </row>
    <row r="553" spans="3:6" x14ac:dyDescent="0.25">
      <c r="C553" s="2" t="s">
        <v>1189</v>
      </c>
      <c r="D553" s="2" t="s">
        <v>292</v>
      </c>
      <c r="E553" s="2">
        <v>141</v>
      </c>
      <c r="F553" s="2">
        <v>2808.52</v>
      </c>
    </row>
    <row r="554" spans="3:6" x14ac:dyDescent="0.25">
      <c r="C554" s="2" t="s">
        <v>1190</v>
      </c>
      <c r="D554" s="2" t="s">
        <v>292</v>
      </c>
      <c r="E554" s="2">
        <v>127</v>
      </c>
      <c r="F554" s="2">
        <v>1730.412</v>
      </c>
    </row>
    <row r="555" spans="3:6" x14ac:dyDescent="0.25">
      <c r="C555" s="2" t="s">
        <v>1191</v>
      </c>
      <c r="D555" s="2" t="s">
        <v>292</v>
      </c>
      <c r="E555" s="2">
        <v>89</v>
      </c>
      <c r="F555" s="2">
        <v>1671.419</v>
      </c>
    </row>
    <row r="556" spans="3:6" x14ac:dyDescent="0.25">
      <c r="C556" s="2" t="s">
        <v>1192</v>
      </c>
      <c r="D556" s="2" t="s">
        <v>292</v>
      </c>
      <c r="E556" s="2">
        <v>33</v>
      </c>
      <c r="F556" s="2">
        <v>645</v>
      </c>
    </row>
    <row r="557" spans="3:6" x14ac:dyDescent="0.25">
      <c r="C557" s="2" t="s">
        <v>1193</v>
      </c>
      <c r="D557" s="2" t="s">
        <v>292</v>
      </c>
      <c r="E557" s="2">
        <v>141</v>
      </c>
      <c r="F557" s="2">
        <v>2606.77</v>
      </c>
    </row>
    <row r="558" spans="3:6" x14ac:dyDescent="0.25">
      <c r="C558" s="2" t="s">
        <v>1194</v>
      </c>
      <c r="D558" s="2" t="s">
        <v>292</v>
      </c>
      <c r="E558" s="2">
        <v>60</v>
      </c>
      <c r="F558" s="2">
        <v>290.52</v>
      </c>
    </row>
    <row r="559" spans="3:6" x14ac:dyDescent="0.25">
      <c r="C559" s="2" t="s">
        <v>1195</v>
      </c>
      <c r="D559" s="2" t="s">
        <v>292</v>
      </c>
      <c r="E559" s="2">
        <v>141</v>
      </c>
      <c r="F559" s="2">
        <v>2819.269</v>
      </c>
    </row>
    <row r="560" spans="3:6" x14ac:dyDescent="0.25">
      <c r="C560" s="2" t="s">
        <v>1196</v>
      </c>
      <c r="D560" s="2" t="s">
        <v>292</v>
      </c>
      <c r="E560" s="2">
        <v>105</v>
      </c>
      <c r="F560" s="2">
        <v>1933.904</v>
      </c>
    </row>
    <row r="561" spans="3:6" x14ac:dyDescent="0.25">
      <c r="C561" s="2" t="s">
        <v>1197</v>
      </c>
      <c r="D561" s="2" t="s">
        <v>292</v>
      </c>
      <c r="E561" s="2">
        <v>36</v>
      </c>
      <c r="F561" s="2">
        <v>692.05</v>
      </c>
    </row>
    <row r="562" spans="3:6" x14ac:dyDescent="0.25">
      <c r="C562" s="2" t="s">
        <v>1198</v>
      </c>
      <c r="D562" s="2" t="s">
        <v>292</v>
      </c>
      <c r="E562" s="2">
        <v>71</v>
      </c>
      <c r="F562" s="2">
        <v>1335.369</v>
      </c>
    </row>
    <row r="563" spans="3:6" x14ac:dyDescent="0.25">
      <c r="C563" s="2" t="s">
        <v>1199</v>
      </c>
      <c r="D563" s="2" t="s">
        <v>292</v>
      </c>
      <c r="E563" s="2">
        <v>30</v>
      </c>
      <c r="F563" s="2">
        <v>613.56</v>
      </c>
    </row>
    <row r="564" spans="3:6" x14ac:dyDescent="0.25">
      <c r="C564" s="2" t="s">
        <v>1200</v>
      </c>
      <c r="D564" s="2" t="s">
        <v>292</v>
      </c>
      <c r="E564" s="2">
        <v>40</v>
      </c>
      <c r="F564" s="2">
        <v>784.7</v>
      </c>
    </row>
    <row r="565" spans="3:6" x14ac:dyDescent="0.25">
      <c r="C565" s="2" t="s">
        <v>1201</v>
      </c>
      <c r="D565" s="2" t="s">
        <v>292</v>
      </c>
      <c r="E565" s="2">
        <v>102</v>
      </c>
      <c r="F565" s="2">
        <v>1972.393</v>
      </c>
    </row>
    <row r="566" spans="3:6" x14ac:dyDescent="0.25">
      <c r="C566" s="2" t="s">
        <v>1202</v>
      </c>
      <c r="D566" s="2" t="s">
        <v>292</v>
      </c>
      <c r="E566" s="2">
        <v>15</v>
      </c>
      <c r="F566" s="2">
        <v>291.57</v>
      </c>
    </row>
    <row r="567" spans="3:6" x14ac:dyDescent="0.25">
      <c r="C567" s="2" t="s">
        <v>1203</v>
      </c>
      <c r="D567" s="2" t="s">
        <v>292</v>
      </c>
      <c r="E567" s="2">
        <v>60</v>
      </c>
      <c r="F567" s="2">
        <v>307.42</v>
      </c>
    </row>
    <row r="568" spans="3:6" x14ac:dyDescent="0.25">
      <c r="C568" s="2" t="s">
        <v>1204</v>
      </c>
      <c r="D568" s="2" t="s">
        <v>292</v>
      </c>
      <c r="E568" s="2">
        <v>116</v>
      </c>
      <c r="F568" s="2">
        <v>2158.849</v>
      </c>
    </row>
    <row r="569" spans="3:6" x14ac:dyDescent="0.25">
      <c r="C569" s="2" t="s">
        <v>1205</v>
      </c>
      <c r="D569" s="2" t="s">
        <v>292</v>
      </c>
      <c r="E569" s="2">
        <v>10</v>
      </c>
      <c r="F569" s="2">
        <v>139.38</v>
      </c>
    </row>
    <row r="570" spans="3:6" x14ac:dyDescent="0.25">
      <c r="C570" s="2" t="s">
        <v>1206</v>
      </c>
      <c r="D570" s="2" t="s">
        <v>292</v>
      </c>
      <c r="E570" s="2">
        <v>16</v>
      </c>
      <c r="F570" s="2">
        <v>306.14</v>
      </c>
    </row>
    <row r="571" spans="3:6" x14ac:dyDescent="0.25">
      <c r="C571" s="2" t="s">
        <v>1207</v>
      </c>
      <c r="D571" s="2" t="s">
        <v>292</v>
      </c>
      <c r="E571" s="2">
        <v>79</v>
      </c>
      <c r="F571" s="2">
        <v>1611.98</v>
      </c>
    </row>
    <row r="572" spans="3:6" x14ac:dyDescent="0.25">
      <c r="C572" s="2" t="s">
        <v>1208</v>
      </c>
      <c r="D572" s="2" t="s">
        <v>292</v>
      </c>
      <c r="E572" s="2">
        <v>55</v>
      </c>
      <c r="F572" s="2">
        <v>1054.549</v>
      </c>
    </row>
    <row r="573" spans="3:6" x14ac:dyDescent="0.25">
      <c r="C573" s="2" t="s">
        <v>1209</v>
      </c>
      <c r="D573" s="2" t="s">
        <v>292</v>
      </c>
      <c r="E573" s="2">
        <v>100</v>
      </c>
      <c r="F573" s="2">
        <v>1877.08</v>
      </c>
    </row>
    <row r="574" spans="3:6" x14ac:dyDescent="0.25">
      <c r="C574" s="2" t="s">
        <v>1210</v>
      </c>
      <c r="D574" s="2" t="s">
        <v>292</v>
      </c>
      <c r="E574" s="2">
        <v>35</v>
      </c>
      <c r="F574" s="2">
        <v>609.51</v>
      </c>
    </row>
    <row r="575" spans="3:6" x14ac:dyDescent="0.25">
      <c r="C575" s="2" t="s">
        <v>1211</v>
      </c>
      <c r="D575" s="2" t="s">
        <v>292</v>
      </c>
      <c r="E575" s="2">
        <v>18</v>
      </c>
      <c r="F575" s="2">
        <v>364.74</v>
      </c>
    </row>
    <row r="576" spans="3:6" x14ac:dyDescent="0.25">
      <c r="C576" s="2" t="s">
        <v>1212</v>
      </c>
      <c r="D576" s="2" t="s">
        <v>292</v>
      </c>
      <c r="E576" s="2">
        <v>47</v>
      </c>
      <c r="F576" s="2">
        <v>987.19</v>
      </c>
    </row>
    <row r="577" spans="3:6" x14ac:dyDescent="0.25">
      <c r="C577" s="2" t="s">
        <v>1213</v>
      </c>
      <c r="D577" s="2" t="s">
        <v>292</v>
      </c>
      <c r="E577" s="2">
        <v>67</v>
      </c>
      <c r="F577" s="2">
        <v>1495.69</v>
      </c>
    </row>
    <row r="578" spans="3:6" x14ac:dyDescent="0.25">
      <c r="C578" s="2" t="s">
        <v>1214</v>
      </c>
      <c r="D578" s="2" t="s">
        <v>292</v>
      </c>
      <c r="E578" s="2">
        <v>17</v>
      </c>
      <c r="F578" s="2">
        <v>176.34</v>
      </c>
    </row>
    <row r="579" spans="3:6" x14ac:dyDescent="0.25">
      <c r="C579" s="2" t="s">
        <v>1215</v>
      </c>
      <c r="D579" s="2" t="s">
        <v>292</v>
      </c>
      <c r="E579" s="2">
        <v>20</v>
      </c>
      <c r="F579" s="2">
        <v>346.34</v>
      </c>
    </row>
    <row r="580" spans="3:6" x14ac:dyDescent="0.25">
      <c r="C580" s="2" t="s">
        <v>1216</v>
      </c>
      <c r="D580" s="2" t="s">
        <v>292</v>
      </c>
      <c r="E580" s="2">
        <v>58</v>
      </c>
      <c r="F580" s="2">
        <v>1156.58</v>
      </c>
    </row>
    <row r="581" spans="3:6" x14ac:dyDescent="0.25">
      <c r="C581" s="2" t="s">
        <v>1217</v>
      </c>
      <c r="D581" s="2" t="s">
        <v>292</v>
      </c>
      <c r="E581" s="2">
        <v>15</v>
      </c>
      <c r="F581" s="2">
        <v>244.029</v>
      </c>
    </row>
    <row r="582" spans="3:6" x14ac:dyDescent="0.25">
      <c r="C582" s="2" t="s">
        <v>1218</v>
      </c>
      <c r="D582" s="2" t="s">
        <v>292</v>
      </c>
      <c r="E582" s="2">
        <v>27</v>
      </c>
      <c r="F582" s="2">
        <v>448.199</v>
      </c>
    </row>
    <row r="583" spans="3:6" x14ac:dyDescent="0.25">
      <c r="C583" s="2" t="s">
        <v>1219</v>
      </c>
      <c r="D583" s="2" t="s">
        <v>292</v>
      </c>
      <c r="E583" s="2">
        <v>41</v>
      </c>
      <c r="F583" s="2">
        <v>820</v>
      </c>
    </row>
    <row r="584" spans="3:6" x14ac:dyDescent="0.25">
      <c r="C584" s="2" t="s">
        <v>1220</v>
      </c>
      <c r="D584" s="2" t="s">
        <v>292</v>
      </c>
      <c r="E584" s="2">
        <v>44</v>
      </c>
      <c r="F584" s="2">
        <v>896.69</v>
      </c>
    </row>
    <row r="585" spans="3:6" x14ac:dyDescent="0.25">
      <c r="C585" s="2" t="s">
        <v>1221</v>
      </c>
      <c r="D585" s="2" t="s">
        <v>292</v>
      </c>
      <c r="E585" s="2">
        <v>15</v>
      </c>
      <c r="F585" s="2">
        <v>262.21</v>
      </c>
    </row>
    <row r="586" spans="3:6" x14ac:dyDescent="0.25">
      <c r="C586" s="2" t="s">
        <v>1222</v>
      </c>
      <c r="D586" s="2" t="s">
        <v>292</v>
      </c>
      <c r="E586" s="2">
        <v>5</v>
      </c>
      <c r="F586" s="2">
        <v>136.77</v>
      </c>
    </row>
    <row r="587" spans="3:6" x14ac:dyDescent="0.25">
      <c r="C587" s="2" t="s">
        <v>1223</v>
      </c>
      <c r="D587" s="2" t="s">
        <v>292</v>
      </c>
      <c r="E587" s="2">
        <v>38</v>
      </c>
      <c r="F587" s="2">
        <v>843.31</v>
      </c>
    </row>
    <row r="588" spans="3:6" x14ac:dyDescent="0.25">
      <c r="C588" s="2" t="s">
        <v>1224</v>
      </c>
      <c r="D588" s="2" t="s">
        <v>292</v>
      </c>
      <c r="E588" s="2">
        <v>79</v>
      </c>
      <c r="F588" s="2">
        <v>1361.98</v>
      </c>
    </row>
    <row r="589" spans="3:6" x14ac:dyDescent="0.25">
      <c r="C589" s="2" t="s">
        <v>1225</v>
      </c>
      <c r="D589" s="2" t="s">
        <v>292</v>
      </c>
      <c r="E589" s="2">
        <v>21</v>
      </c>
      <c r="F589" s="2">
        <v>379.58</v>
      </c>
    </row>
    <row r="590" spans="3:6" x14ac:dyDescent="0.25">
      <c r="C590" s="2" t="s">
        <v>1226</v>
      </c>
      <c r="D590" s="2" t="s">
        <v>292</v>
      </c>
      <c r="E590" s="2">
        <v>8</v>
      </c>
      <c r="F590" s="2">
        <v>158.08</v>
      </c>
    </row>
    <row r="591" spans="3:6" x14ac:dyDescent="0.25">
      <c r="C591" s="2" t="s">
        <v>1227</v>
      </c>
      <c r="D591" s="2" t="s">
        <v>292</v>
      </c>
      <c r="E591" s="2">
        <v>53</v>
      </c>
      <c r="F591" s="2">
        <v>1037.39</v>
      </c>
    </row>
    <row r="592" spans="3:6" x14ac:dyDescent="0.25">
      <c r="C592" s="2" t="s">
        <v>1228</v>
      </c>
      <c r="D592" s="2" t="s">
        <v>292</v>
      </c>
      <c r="E592" s="2">
        <v>12</v>
      </c>
      <c r="F592" s="2">
        <v>224.07</v>
      </c>
    </row>
    <row r="593" spans="3:6" x14ac:dyDescent="0.25">
      <c r="C593" s="2" t="s">
        <v>1229</v>
      </c>
      <c r="D593" s="2" t="s">
        <v>292</v>
      </c>
      <c r="E593" s="2">
        <v>27</v>
      </c>
      <c r="F593" s="2">
        <v>509.005</v>
      </c>
    </row>
    <row r="594" spans="3:6" x14ac:dyDescent="0.25">
      <c r="C594" s="2" t="s">
        <v>1230</v>
      </c>
      <c r="D594" s="2" t="s">
        <v>292</v>
      </c>
      <c r="E594" s="2">
        <v>54</v>
      </c>
      <c r="F594" s="2">
        <v>1060.464</v>
      </c>
    </row>
    <row r="595" spans="3:6" x14ac:dyDescent="0.25">
      <c r="C595" s="2" t="s">
        <v>1231</v>
      </c>
      <c r="D595" s="2" t="s">
        <v>292</v>
      </c>
      <c r="E595" s="2">
        <v>87</v>
      </c>
      <c r="F595" s="2">
        <v>1684.71</v>
      </c>
    </row>
    <row r="596" spans="3:6" x14ac:dyDescent="0.25">
      <c r="C596" s="2" t="s">
        <v>1232</v>
      </c>
      <c r="D596" s="2" t="s">
        <v>292</v>
      </c>
      <c r="E596" s="2">
        <v>98</v>
      </c>
      <c r="F596" s="2">
        <v>1781.889</v>
      </c>
    </row>
    <row r="597" spans="3:6" x14ac:dyDescent="0.25">
      <c r="C597" s="2" t="s">
        <v>1233</v>
      </c>
      <c r="D597" s="2" t="s">
        <v>292</v>
      </c>
      <c r="E597" s="2">
        <v>43</v>
      </c>
      <c r="F597" s="2">
        <v>874.4</v>
      </c>
    </row>
    <row r="598" spans="3:6" x14ac:dyDescent="0.25">
      <c r="C598" s="2" t="s">
        <v>1234</v>
      </c>
      <c r="D598" s="2" t="s">
        <v>292</v>
      </c>
      <c r="E598" s="2">
        <v>141</v>
      </c>
      <c r="F598" s="2">
        <v>2934.69</v>
      </c>
    </row>
    <row r="600" spans="1:7" x14ac:dyDescent="0.25">
      <c r="A600" s="1">
        <v>46209</v>
      </c>
      <c r="B600" s="2" t="s">
        <v>7</v>
      </c>
      <c r="C600" s="2" t="s">
        <v>1235</v>
      </c>
      <c r="D600" s="2" t="s">
        <v>9</v>
      </c>
      <c r="E600" s="2">
        <v>99</v>
      </c>
      <c r="F600" s="2">
        <v>2044.739</v>
      </c>
      <c r="G600" s="1">
        <v>46209</v>
      </c>
    </row>
    <row r="601" spans="3:6" x14ac:dyDescent="0.25">
      <c r="C601" s="2" t="s">
        <v>1236</v>
      </c>
      <c r="D601" s="2" t="s">
        <v>9</v>
      </c>
      <c r="E601" s="2">
        <v>99</v>
      </c>
      <c r="F601" s="2">
        <v>2092.98</v>
      </c>
    </row>
    <row r="603" spans="1:7" x14ac:dyDescent="0.25">
      <c r="A603" s="1">
        <v>46209</v>
      </c>
      <c r="B603" s="2" t="s">
        <v>1237</v>
      </c>
      <c r="C603" s="2" t="s">
        <v>1238</v>
      </c>
      <c r="D603" s="2" t="s">
        <v>15</v>
      </c>
      <c r="E603" s="2">
        <v>141</v>
      </c>
      <c r="F603" s="2">
        <v>2813.118</v>
      </c>
      <c r="G603" s="1">
        <v>46118</v>
      </c>
    </row>
    <row r="604" spans="3:6" x14ac:dyDescent="0.25">
      <c r="C604" s="2" t="s">
        <v>1239</v>
      </c>
      <c r="D604" s="2" t="s">
        <v>15</v>
      </c>
      <c r="E604" s="2">
        <v>141</v>
      </c>
      <c r="F604" s="2">
        <v>2806.998</v>
      </c>
    </row>
    <row r="606" spans="1:7" x14ac:dyDescent="0.25">
      <c r="A606" s="1">
        <v>46209</v>
      </c>
      <c r="B606" s="2" t="s">
        <v>128</v>
      </c>
      <c r="C606" s="2" t="s">
        <v>1240</v>
      </c>
      <c r="D606" s="2" t="s">
        <v>15</v>
      </c>
      <c r="E606" s="2">
        <v>163</v>
      </c>
      <c r="F606" s="2">
        <v>3205.3</v>
      </c>
      <c r="G606" s="1">
        <v>46209</v>
      </c>
    </row>
    <row r="607" spans="3:6" x14ac:dyDescent="0.25">
      <c r="C607" s="2" t="s">
        <v>1241</v>
      </c>
      <c r="D607" s="2" t="s">
        <v>15</v>
      </c>
      <c r="E607" s="2">
        <v>105</v>
      </c>
      <c r="F607" s="2">
        <v>2137.15</v>
      </c>
    </row>
    <row r="608" spans="3:6" x14ac:dyDescent="0.25">
      <c r="C608" s="2" t="s">
        <v>1242</v>
      </c>
      <c r="D608" s="2" t="s">
        <v>15</v>
      </c>
      <c r="E608" s="2">
        <v>156</v>
      </c>
      <c r="F608" s="2">
        <v>3212.98</v>
      </c>
    </row>
    <row r="609" spans="3:4" x14ac:dyDescent="0.25">
      <c r="C609" s="2" t="s">
        <v>1243</v>
      </c>
      <c r="D609" s="2" t="s">
        <v>15</v>
      </c>
    </row>
    <row r="610" spans="3:6" x14ac:dyDescent="0.25">
      <c r="C610" s="2" t="s">
        <v>1244</v>
      </c>
      <c r="D610" s="2" t="s">
        <v>15</v>
      </c>
      <c r="E610" s="2">
        <v>28</v>
      </c>
      <c r="F610" s="2">
        <v>575.03</v>
      </c>
    </row>
    <row r="611" spans="3:4" x14ac:dyDescent="0.25">
      <c r="C611" s="2" t="s">
        <v>1245</v>
      </c>
      <c r="D611" s="2" t="s">
        <v>26</v>
      </c>
    </row>
    <row r="612" spans="3:6" x14ac:dyDescent="0.25">
      <c r="C612" s="2" t="s">
        <v>1246</v>
      </c>
      <c r="D612" s="2" t="s">
        <v>26</v>
      </c>
      <c r="E612" s="2">
        <v>100</v>
      </c>
      <c r="F612" s="2">
        <v>2125.25</v>
      </c>
    </row>
    <row r="613" spans="3:6" x14ac:dyDescent="0.25">
      <c r="C613" s="2" t="s">
        <v>1247</v>
      </c>
      <c r="D613" s="2" t="s">
        <v>26</v>
      </c>
      <c r="E613" s="2">
        <v>56</v>
      </c>
      <c r="F613" s="2">
        <v>1090.07</v>
      </c>
    </row>
    <row r="614" spans="3:6" x14ac:dyDescent="0.25">
      <c r="C614" s="2" t="s">
        <v>1248</v>
      </c>
      <c r="D614" s="2" t="s">
        <v>26</v>
      </c>
      <c r="E614" s="2">
        <v>56</v>
      </c>
      <c r="F614" s="2">
        <v>1125.57</v>
      </c>
    </row>
    <row r="615" spans="3:6" x14ac:dyDescent="0.25">
      <c r="C615" s="2" t="s">
        <v>1249</v>
      </c>
      <c r="D615" s="2" t="s">
        <v>26</v>
      </c>
      <c r="E615" s="2">
        <v>100</v>
      </c>
      <c r="F615" s="2">
        <v>1984.76</v>
      </c>
    </row>
    <row r="616" spans="3:6" x14ac:dyDescent="0.25">
      <c r="C616" s="2" t="s">
        <v>1250</v>
      </c>
      <c r="D616" s="2" t="s">
        <v>30</v>
      </c>
      <c r="E616" s="2">
        <v>134</v>
      </c>
      <c r="F616" s="2">
        <v>2756.85</v>
      </c>
    </row>
    <row r="617" spans="3:6" x14ac:dyDescent="0.25">
      <c r="C617" s="2" t="s">
        <v>1251</v>
      </c>
      <c r="D617" s="2" t="s">
        <v>30</v>
      </c>
      <c r="E617" s="2">
        <v>134</v>
      </c>
      <c r="F617" s="2">
        <v>2764.76</v>
      </c>
    </row>
    <row r="618" spans="3:6" x14ac:dyDescent="0.25">
      <c r="C618" s="2" t="s">
        <v>1252</v>
      </c>
      <c r="D618" s="2" t="s">
        <v>30</v>
      </c>
      <c r="E618" s="2">
        <v>134</v>
      </c>
      <c r="F618" s="2">
        <v>2606.94</v>
      </c>
    </row>
    <row r="619" spans="3:6" x14ac:dyDescent="0.25">
      <c r="C619" s="2" t="s">
        <v>1253</v>
      </c>
      <c r="D619" s="2" t="s">
        <v>30</v>
      </c>
      <c r="E619" s="2">
        <v>134</v>
      </c>
      <c r="F619" s="2">
        <v>2729.3</v>
      </c>
    </row>
    <row r="620" spans="3:6" x14ac:dyDescent="0.25">
      <c r="C620" s="2" t="s">
        <v>1254</v>
      </c>
      <c r="D620" s="2" t="s">
        <v>30</v>
      </c>
      <c r="E620" s="2">
        <v>134</v>
      </c>
      <c r="F620" s="2">
        <v>2770.04</v>
      </c>
    </row>
    <row r="621" spans="3:6" x14ac:dyDescent="0.25">
      <c r="C621" s="2" t="s">
        <v>1255</v>
      </c>
      <c r="D621" s="2" t="s">
        <v>30</v>
      </c>
      <c r="E621" s="2">
        <v>105</v>
      </c>
      <c r="F621" s="2">
        <v>2138.47</v>
      </c>
    </row>
    <row r="622" spans="3:6" x14ac:dyDescent="0.25">
      <c r="C622" s="2" t="s">
        <v>1256</v>
      </c>
      <c r="D622" s="2" t="s">
        <v>30</v>
      </c>
      <c r="E622" s="2">
        <v>105</v>
      </c>
      <c r="F622" s="2">
        <v>2127.15</v>
      </c>
    </row>
    <row r="623" spans="3:6" x14ac:dyDescent="0.25">
      <c r="C623" s="2" t="s">
        <v>1257</v>
      </c>
      <c r="D623" s="2" t="s">
        <v>36</v>
      </c>
      <c r="E623" s="2">
        <v>25</v>
      </c>
      <c r="F623" s="2">
        <v>501.69</v>
      </c>
    </row>
    <row r="624" spans="3:6" x14ac:dyDescent="0.25">
      <c r="C624" s="2" t="s">
        <v>1258</v>
      </c>
      <c r="D624" s="2" t="s">
        <v>36</v>
      </c>
      <c r="E624" s="2">
        <v>80</v>
      </c>
      <c r="F624" s="2">
        <v>1612.2</v>
      </c>
    </row>
    <row r="625" spans="3:6" x14ac:dyDescent="0.25">
      <c r="C625" s="2" t="s">
        <v>1259</v>
      </c>
      <c r="D625" s="2" t="s">
        <v>36</v>
      </c>
      <c r="E625" s="2">
        <v>60</v>
      </c>
      <c r="F625" s="2">
        <v>1116.64</v>
      </c>
    </row>
    <row r="626" spans="3:6" x14ac:dyDescent="0.25">
      <c r="C626" s="2" t="s">
        <v>1260</v>
      </c>
      <c r="D626" s="2" t="s">
        <v>36</v>
      </c>
      <c r="E626" s="2">
        <v>45</v>
      </c>
      <c r="F626" s="2">
        <v>879.67</v>
      </c>
    </row>
    <row r="627" spans="3:6" x14ac:dyDescent="0.25">
      <c r="C627" s="2" t="s">
        <v>1261</v>
      </c>
      <c r="D627" s="2" t="s">
        <v>136</v>
      </c>
      <c r="E627" s="2">
        <v>75</v>
      </c>
      <c r="F627" s="2">
        <v>1435.62</v>
      </c>
    </row>
    <row r="628" spans="3:6" x14ac:dyDescent="0.25">
      <c r="C628" s="2" t="s">
        <v>1262</v>
      </c>
      <c r="D628" s="2" t="s">
        <v>136</v>
      </c>
      <c r="E628" s="2">
        <v>30</v>
      </c>
      <c r="F628" s="2">
        <v>498.01</v>
      </c>
    </row>
    <row r="629" spans="3:6" x14ac:dyDescent="0.25">
      <c r="C629" s="2" t="s">
        <v>1263</v>
      </c>
      <c r="D629" s="2" t="s">
        <v>42</v>
      </c>
      <c r="E629" s="2">
        <v>100</v>
      </c>
      <c r="F629" s="2">
        <v>1949.809</v>
      </c>
    </row>
    <row r="630" spans="3:6" x14ac:dyDescent="0.25">
      <c r="C630" s="2" t="s">
        <v>1264</v>
      </c>
      <c r="D630" s="2" t="s">
        <v>42</v>
      </c>
      <c r="E630" s="2">
        <v>56</v>
      </c>
      <c r="F630" s="2">
        <v>1102.49</v>
      </c>
    </row>
    <row r="631" spans="3:6" x14ac:dyDescent="0.25">
      <c r="C631" s="2" t="s">
        <v>1265</v>
      </c>
      <c r="D631" s="2" t="s">
        <v>42</v>
      </c>
      <c r="E631" s="2">
        <v>86</v>
      </c>
      <c r="F631" s="2">
        <v>1696.049</v>
      </c>
    </row>
    <row r="632" spans="3:6" x14ac:dyDescent="0.25">
      <c r="C632" s="2" t="s">
        <v>1266</v>
      </c>
      <c r="D632" s="2" t="s">
        <v>42</v>
      </c>
      <c r="E632" s="2">
        <v>48</v>
      </c>
      <c r="F632" s="2">
        <v>901.979</v>
      </c>
    </row>
    <row r="633" spans="3:6" x14ac:dyDescent="0.25">
      <c r="C633" s="2" t="s">
        <v>1267</v>
      </c>
      <c r="D633" s="2" t="s">
        <v>42</v>
      </c>
      <c r="E633" s="2">
        <v>38</v>
      </c>
      <c r="F633" s="2">
        <v>756.51</v>
      </c>
    </row>
    <row r="634" spans="3:6" x14ac:dyDescent="0.25">
      <c r="C634" s="2" t="s">
        <v>1268</v>
      </c>
      <c r="D634" s="2" t="s">
        <v>42</v>
      </c>
      <c r="E634" s="2">
        <v>50</v>
      </c>
      <c r="F634" s="2">
        <v>954.72</v>
      </c>
    </row>
    <row r="635" spans="3:6" x14ac:dyDescent="0.25">
      <c r="C635" s="2" t="s">
        <v>1269</v>
      </c>
      <c r="D635" s="2" t="s">
        <v>42</v>
      </c>
      <c r="E635" s="2">
        <v>17</v>
      </c>
      <c r="F635" s="2">
        <v>335.35</v>
      </c>
    </row>
    <row r="637" spans="2:7" x14ac:dyDescent="0.25">
      <c r="B637" s="2" t="s">
        <v>136</v>
      </c>
      <c r="C637" s="2" t="s">
        <v>1270</v>
      </c>
      <c r="D637" s="2" t="s">
        <v>136</v>
      </c>
      <c r="E637" s="2">
        <v>143</v>
      </c>
      <c r="F637" s="2">
        <v>2898.438</v>
      </c>
      <c r="G637" s="1">
        <v>46209</v>
      </c>
    </row>
    <row r="638" spans="3:6" x14ac:dyDescent="0.25">
      <c r="C638" s="2" t="s">
        <v>1271</v>
      </c>
      <c r="D638" s="2" t="s">
        <v>136</v>
      </c>
      <c r="E638" s="2">
        <v>13</v>
      </c>
      <c r="F638" s="2">
        <v>253.06</v>
      </c>
    </row>
    <row r="639" spans="3:6" x14ac:dyDescent="0.25">
      <c r="C639" s="2" t="s">
        <v>1272</v>
      </c>
      <c r="D639" s="2" t="s">
        <v>136</v>
      </c>
      <c r="E639" s="2">
        <v>156</v>
      </c>
      <c r="F639" s="2">
        <v>3282.1</v>
      </c>
    </row>
    <row r="641" spans="2:7" x14ac:dyDescent="0.25">
      <c r="B641" s="2" t="s">
        <v>1273</v>
      </c>
      <c r="C641" s="2" t="s">
        <v>1274</v>
      </c>
      <c r="D641" s="2" t="s">
        <v>30</v>
      </c>
      <c r="E641" s="2">
        <v>105</v>
      </c>
      <c r="F641" s="2">
        <v>1846.628</v>
      </c>
      <c r="G641" s="1">
        <v>46209</v>
      </c>
    </row>
    <row r="642" spans="3:6" x14ac:dyDescent="0.25">
      <c r="C642" s="2" t="s">
        <v>1275</v>
      </c>
      <c r="D642" s="2" t="s">
        <v>30</v>
      </c>
      <c r="E642" s="2">
        <v>156</v>
      </c>
      <c r="F642" s="2">
        <v>2786.057</v>
      </c>
    </row>
    <row r="643" spans="3:6" x14ac:dyDescent="0.25">
      <c r="C643" s="2" t="s">
        <v>1276</v>
      </c>
      <c r="D643" s="2" t="s">
        <v>30</v>
      </c>
      <c r="E643" s="2">
        <v>156</v>
      </c>
      <c r="F643" s="2">
        <v>2570.44</v>
      </c>
    </row>
    <row r="645" spans="1:7" x14ac:dyDescent="0.25">
      <c r="A645" s="1">
        <v>46209</v>
      </c>
      <c r="B645" s="2" t="s">
        <v>347</v>
      </c>
      <c r="C645" s="2" t="s">
        <v>1277</v>
      </c>
      <c r="D645" s="2" t="s">
        <v>59</v>
      </c>
      <c r="E645" s="2">
        <v>142</v>
      </c>
      <c r="F645" s="2">
        <v>2801.04</v>
      </c>
      <c r="G645" s="1">
        <v>46209</v>
      </c>
    </row>
    <row r="646" spans="3:6" x14ac:dyDescent="0.25">
      <c r="C646" s="2" t="s">
        <v>1278</v>
      </c>
      <c r="D646" s="2" t="s">
        <v>59</v>
      </c>
      <c r="E646" s="2">
        <v>142</v>
      </c>
      <c r="F646" s="2">
        <v>2810.319</v>
      </c>
    </row>
    <row r="647" spans="3:6" x14ac:dyDescent="0.25">
      <c r="C647" s="2" t="s">
        <v>1279</v>
      </c>
      <c r="D647" s="2" t="s">
        <v>59</v>
      </c>
      <c r="E647" s="2">
        <v>102</v>
      </c>
      <c r="F647" s="2">
        <v>1965.81</v>
      </c>
    </row>
    <row r="648" spans="3:6" x14ac:dyDescent="0.25">
      <c r="C648" s="2" t="s">
        <v>1280</v>
      </c>
      <c r="D648" s="2" t="s">
        <v>59</v>
      </c>
      <c r="E648" s="2">
        <v>281</v>
      </c>
      <c r="F648" s="2">
        <v>5550.01</v>
      </c>
    </row>
    <row r="649" spans="3:6" x14ac:dyDescent="0.25">
      <c r="C649" s="2" t="s">
        <v>1281</v>
      </c>
      <c r="D649" s="2" t="s">
        <v>59</v>
      </c>
      <c r="E649" s="2">
        <v>102</v>
      </c>
      <c r="F649" s="2">
        <v>2028.84</v>
      </c>
    </row>
    <row r="650" spans="3:6" x14ac:dyDescent="0.25">
      <c r="C650" s="2" t="s">
        <v>1282</v>
      </c>
      <c r="D650" s="2" t="s">
        <v>59</v>
      </c>
      <c r="E650" s="2">
        <v>102</v>
      </c>
      <c r="F650" s="2">
        <v>2126.78</v>
      </c>
    </row>
    <row r="651" spans="3:6" x14ac:dyDescent="0.25">
      <c r="C651" s="2" t="s">
        <v>1283</v>
      </c>
      <c r="D651" s="2" t="s">
        <v>59</v>
      </c>
      <c r="E651" s="2">
        <v>244</v>
      </c>
      <c r="F651" s="2">
        <v>4902.219</v>
      </c>
    </row>
    <row r="652" spans="3:6" x14ac:dyDescent="0.25">
      <c r="C652" s="2" t="s">
        <v>1284</v>
      </c>
      <c r="D652" s="2" t="s">
        <v>59</v>
      </c>
      <c r="E652" s="2">
        <v>141</v>
      </c>
      <c r="F652" s="2">
        <v>2813.109</v>
      </c>
    </row>
    <row r="653" spans="3:6" x14ac:dyDescent="0.25">
      <c r="C653" s="2" t="s">
        <v>1285</v>
      </c>
      <c r="D653" s="2" t="s">
        <v>59</v>
      </c>
      <c r="E653" s="2">
        <v>102</v>
      </c>
      <c r="F653" s="2">
        <v>2013.24</v>
      </c>
    </row>
    <row r="655" spans="1:7" x14ac:dyDescent="0.25">
      <c r="A655" s="1">
        <v>46210</v>
      </c>
      <c r="B655" s="2" t="s">
        <v>1012</v>
      </c>
      <c r="C655" s="2" t="s">
        <v>1286</v>
      </c>
      <c r="D655" s="2" t="s">
        <v>73</v>
      </c>
      <c r="E655" s="2">
        <v>57</v>
      </c>
      <c r="F655" s="2">
        <v>1106.69</v>
      </c>
      <c r="G655" s="1">
        <v>46210</v>
      </c>
    </row>
    <row r="656" spans="3:6" x14ac:dyDescent="0.25">
      <c r="C656" s="2" t="s">
        <v>1287</v>
      </c>
      <c r="D656" s="2" t="s">
        <v>73</v>
      </c>
      <c r="E656" s="2">
        <v>44</v>
      </c>
      <c r="F656" s="2">
        <v>767.39</v>
      </c>
    </row>
    <row r="657" spans="3:6" x14ac:dyDescent="0.25">
      <c r="C657" s="2" t="s">
        <v>1288</v>
      </c>
      <c r="D657" s="2" t="s">
        <v>73</v>
      </c>
      <c r="E657" s="2">
        <v>87</v>
      </c>
      <c r="F657" s="2">
        <v>1777.93</v>
      </c>
    </row>
    <row r="658" spans="3:6" x14ac:dyDescent="0.25">
      <c r="C658" s="2" t="s">
        <v>1289</v>
      </c>
      <c r="D658" s="2" t="s">
        <v>73</v>
      </c>
      <c r="E658" s="2">
        <v>93</v>
      </c>
      <c r="F658" s="2">
        <v>1854.2</v>
      </c>
    </row>
    <row r="659" spans="3:6" x14ac:dyDescent="0.25">
      <c r="C659" s="2" t="s">
        <v>1290</v>
      </c>
      <c r="D659" s="2" t="s">
        <v>73</v>
      </c>
      <c r="E659" s="2">
        <v>89</v>
      </c>
      <c r="F659" s="2">
        <v>1802.77</v>
      </c>
    </row>
    <row r="660" spans="3:6" x14ac:dyDescent="0.25">
      <c r="C660" s="2" t="s">
        <v>1291</v>
      </c>
      <c r="D660" s="2" t="s">
        <v>73</v>
      </c>
      <c r="E660" s="2">
        <v>14</v>
      </c>
      <c r="F660" s="2">
        <v>257.1</v>
      </c>
    </row>
    <row r="661" spans="3:6" x14ac:dyDescent="0.25">
      <c r="C661" s="2" t="s">
        <v>1292</v>
      </c>
      <c r="D661" s="2" t="s">
        <v>73</v>
      </c>
      <c r="E661" s="2">
        <v>47</v>
      </c>
      <c r="F661" s="2">
        <v>769.929</v>
      </c>
    </row>
    <row r="662" spans="3:6" x14ac:dyDescent="0.25">
      <c r="C662" s="2" t="s">
        <v>1293</v>
      </c>
      <c r="D662" s="2" t="s">
        <v>73</v>
      </c>
      <c r="E662" s="2">
        <v>26</v>
      </c>
      <c r="F662" s="2">
        <v>549.46</v>
      </c>
    </row>
    <row r="663" spans="3:6" x14ac:dyDescent="0.25">
      <c r="C663" s="2" t="s">
        <v>1294</v>
      </c>
      <c r="D663" s="2" t="s">
        <v>73</v>
      </c>
      <c r="E663" s="2">
        <v>41</v>
      </c>
      <c r="F663" s="2">
        <v>756.809</v>
      </c>
    </row>
    <row r="664" spans="3:6" x14ac:dyDescent="0.25">
      <c r="C664" s="2" t="s">
        <v>1295</v>
      </c>
      <c r="D664" s="2" t="s">
        <v>73</v>
      </c>
      <c r="E664" s="2">
        <v>83</v>
      </c>
      <c r="F664" s="2">
        <v>1614.569</v>
      </c>
    </row>
    <row r="665" spans="3:6" x14ac:dyDescent="0.25">
      <c r="C665" s="2" t="s">
        <v>1296</v>
      </c>
      <c r="D665" s="2" t="s">
        <v>73</v>
      </c>
      <c r="E665" s="2">
        <v>51</v>
      </c>
      <c r="F665" s="2">
        <v>941.38</v>
      </c>
    </row>
    <row r="667" spans="1:7" x14ac:dyDescent="0.25">
      <c r="A667" s="1">
        <v>46210</v>
      </c>
      <c r="B667" s="2" t="s">
        <v>7</v>
      </c>
      <c r="C667" s="2" t="s">
        <v>1297</v>
      </c>
      <c r="D667" s="2" t="s">
        <v>9</v>
      </c>
      <c r="E667" s="2">
        <v>85</v>
      </c>
      <c r="F667" s="2">
        <v>1808.8</v>
      </c>
      <c r="G667" s="1">
        <v>46210</v>
      </c>
    </row>
    <row r="668" spans="3:6" x14ac:dyDescent="0.25">
      <c r="C668" s="2" t="s">
        <v>1298</v>
      </c>
      <c r="D668" s="2" t="s">
        <v>9</v>
      </c>
      <c r="E668" s="2">
        <v>89</v>
      </c>
      <c r="F668" s="2">
        <v>1797.93</v>
      </c>
    </row>
    <row r="670" spans="1:7" x14ac:dyDescent="0.25">
      <c r="A670" s="1">
        <v>46210</v>
      </c>
      <c r="B670" s="2" t="s">
        <v>1299</v>
      </c>
      <c r="C670" s="2" t="s">
        <v>1300</v>
      </c>
      <c r="D670" s="2" t="s">
        <v>136</v>
      </c>
      <c r="E670" s="2">
        <v>156</v>
      </c>
      <c r="F670" s="2">
        <v>3193.539</v>
      </c>
      <c r="G670" s="1">
        <v>46210</v>
      </c>
    </row>
    <row r="671" spans="3:6" x14ac:dyDescent="0.25">
      <c r="C671" s="2" t="s">
        <v>1301</v>
      </c>
      <c r="D671" s="2" t="s">
        <v>136</v>
      </c>
      <c r="E671" s="2">
        <v>156</v>
      </c>
      <c r="F671" s="2">
        <v>3196.99</v>
      </c>
    </row>
    <row r="673" spans="1:7" x14ac:dyDescent="0.25">
      <c r="A673" s="1">
        <v>46210</v>
      </c>
      <c r="B673" s="2" t="s">
        <v>420</v>
      </c>
      <c r="C673" s="2" t="s">
        <v>1302</v>
      </c>
      <c r="D673" s="2" t="s">
        <v>59</v>
      </c>
      <c r="E673" s="2">
        <v>210</v>
      </c>
      <c r="F673" s="2">
        <v>4197.54</v>
      </c>
      <c r="G673" s="1">
        <v>46210</v>
      </c>
    </row>
    <row r="674" spans="3:6" x14ac:dyDescent="0.25">
      <c r="C674" s="2" t="s">
        <v>1303</v>
      </c>
      <c r="D674" s="2" t="s">
        <v>59</v>
      </c>
      <c r="E674" s="2">
        <v>63</v>
      </c>
      <c r="F674" s="2">
        <v>1417.091</v>
      </c>
    </row>
    <row r="675" spans="3:6" x14ac:dyDescent="0.25">
      <c r="C675" s="2" t="s">
        <v>1304</v>
      </c>
      <c r="D675" s="2" t="s">
        <v>59</v>
      </c>
      <c r="E675" s="2">
        <v>163</v>
      </c>
      <c r="F675" s="2">
        <v>3159.23</v>
      </c>
    </row>
    <row r="676" spans="3:6" x14ac:dyDescent="0.25">
      <c r="C676" s="2" t="s">
        <v>1305</v>
      </c>
      <c r="D676" s="2" t="s">
        <v>59</v>
      </c>
      <c r="E676" s="2">
        <v>163</v>
      </c>
      <c r="F676" s="2">
        <v>3120.94</v>
      </c>
    </row>
    <row r="677" spans="3:6" x14ac:dyDescent="0.25">
      <c r="C677" s="2" t="s">
        <v>1306</v>
      </c>
      <c r="D677" s="2" t="s">
        <v>59</v>
      </c>
      <c r="E677" s="2">
        <v>105</v>
      </c>
      <c r="F677" s="2">
        <v>2104.6</v>
      </c>
    </row>
    <row r="678" spans="3:6" x14ac:dyDescent="0.25">
      <c r="C678" s="2" t="s">
        <v>1307</v>
      </c>
      <c r="D678" s="2" t="s">
        <v>59</v>
      </c>
      <c r="E678" s="2">
        <v>163</v>
      </c>
      <c r="F678" s="2">
        <v>3057.959</v>
      </c>
    </row>
    <row r="679" spans="3:6" x14ac:dyDescent="0.25">
      <c r="C679" s="2" t="s">
        <v>1308</v>
      </c>
      <c r="D679" s="2" t="s">
        <v>59</v>
      </c>
      <c r="E679" s="2">
        <v>163</v>
      </c>
      <c r="F679" s="2">
        <v>3146.98</v>
      </c>
    </row>
    <row r="681" spans="1:7" x14ac:dyDescent="0.25">
      <c r="A681" s="1">
        <v>46211</v>
      </c>
      <c r="B681" s="2" t="s">
        <v>7</v>
      </c>
      <c r="C681" s="2" t="s">
        <v>1309</v>
      </c>
      <c r="D681" s="2" t="s">
        <v>9</v>
      </c>
      <c r="E681" s="2">
        <v>96</v>
      </c>
      <c r="F681" s="2">
        <v>1988.61</v>
      </c>
      <c r="G681" s="1">
        <v>46210</v>
      </c>
    </row>
    <row r="682" spans="3:6" x14ac:dyDescent="0.25">
      <c r="C682" s="2" t="s">
        <v>1310</v>
      </c>
      <c r="D682" s="2" t="s">
        <v>9</v>
      </c>
      <c r="E682" s="2">
        <v>96</v>
      </c>
      <c r="F682" s="2">
        <v>2007.1</v>
      </c>
    </row>
    <row r="684" spans="1:7" x14ac:dyDescent="0.25">
      <c r="A684" s="1">
        <v>46211</v>
      </c>
      <c r="B684" s="2" t="s">
        <v>229</v>
      </c>
      <c r="C684" s="2" t="s">
        <v>1311</v>
      </c>
      <c r="D684" s="2" t="s">
        <v>292</v>
      </c>
      <c r="E684" s="2">
        <v>50</v>
      </c>
      <c r="F684" s="2">
        <v>243.33</v>
      </c>
      <c r="G684" s="1">
        <v>46210</v>
      </c>
    </row>
    <row r="685" spans="3:6" x14ac:dyDescent="0.25">
      <c r="C685" s="2" t="s">
        <v>1312</v>
      </c>
      <c r="D685" s="2" t="s">
        <v>292</v>
      </c>
      <c r="E685" s="2">
        <v>123</v>
      </c>
      <c r="F685" s="2">
        <v>2540.288</v>
      </c>
    </row>
    <row r="686" spans="3:6" x14ac:dyDescent="0.25">
      <c r="C686" s="2" t="s">
        <v>1313</v>
      </c>
      <c r="D686" s="2" t="s">
        <v>292</v>
      </c>
      <c r="E686" s="2">
        <v>60</v>
      </c>
      <c r="F686" s="2">
        <v>316.96</v>
      </c>
    </row>
    <row r="687" spans="3:6" x14ac:dyDescent="0.25">
      <c r="C687" s="2" t="s">
        <v>1314</v>
      </c>
      <c r="D687" s="2" t="s">
        <v>292</v>
      </c>
      <c r="E687" s="2">
        <v>141</v>
      </c>
      <c r="F687" s="2">
        <v>2703.64</v>
      </c>
    </row>
    <row r="688" spans="3:6" x14ac:dyDescent="0.25">
      <c r="C688" s="2" t="s">
        <v>1315</v>
      </c>
      <c r="D688" s="2" t="s">
        <v>292</v>
      </c>
      <c r="E688" s="2">
        <v>141</v>
      </c>
      <c r="F688" s="2">
        <v>3110.27</v>
      </c>
    </row>
    <row r="689" spans="3:6" x14ac:dyDescent="0.25">
      <c r="C689" s="2" t="s">
        <v>1316</v>
      </c>
      <c r="D689" s="2" t="s">
        <v>292</v>
      </c>
      <c r="E689" s="2">
        <v>131</v>
      </c>
      <c r="F689" s="2">
        <v>1840.745</v>
      </c>
    </row>
    <row r="690" spans="3:6" x14ac:dyDescent="0.25">
      <c r="C690" s="2" t="s">
        <v>1317</v>
      </c>
      <c r="D690" s="2" t="s">
        <v>292</v>
      </c>
      <c r="E690" s="2">
        <v>141</v>
      </c>
      <c r="F690" s="2">
        <v>2796.15</v>
      </c>
    </row>
    <row r="691" spans="3:6" x14ac:dyDescent="0.25">
      <c r="C691" s="2" t="s">
        <v>1318</v>
      </c>
      <c r="D691" s="2" t="s">
        <v>292</v>
      </c>
      <c r="E691" s="2">
        <v>65</v>
      </c>
      <c r="F691" s="2">
        <v>1318.969</v>
      </c>
    </row>
    <row r="692" spans="3:6" x14ac:dyDescent="0.25">
      <c r="C692" s="2" t="s">
        <v>1319</v>
      </c>
      <c r="D692" s="2" t="s">
        <v>292</v>
      </c>
      <c r="E692" s="2">
        <v>10</v>
      </c>
      <c r="F692" s="2">
        <v>198.61</v>
      </c>
    </row>
    <row r="693" spans="3:6" x14ac:dyDescent="0.25">
      <c r="C693" s="2" t="s">
        <v>1320</v>
      </c>
      <c r="D693" s="2" t="s">
        <v>292</v>
      </c>
      <c r="E693" s="2">
        <v>123</v>
      </c>
      <c r="F693" s="2">
        <v>2492.279</v>
      </c>
    </row>
    <row r="694" spans="3:6" x14ac:dyDescent="0.25">
      <c r="C694" s="2" t="s">
        <v>1321</v>
      </c>
      <c r="D694" s="2" t="s">
        <v>292</v>
      </c>
      <c r="E694" s="2">
        <v>141</v>
      </c>
      <c r="F694" s="2">
        <v>2779.63</v>
      </c>
    </row>
    <row r="695" spans="3:6" x14ac:dyDescent="0.25">
      <c r="C695" s="2" t="s">
        <v>1322</v>
      </c>
      <c r="D695" s="2" t="s">
        <v>292</v>
      </c>
      <c r="E695" s="2">
        <v>125</v>
      </c>
      <c r="F695" s="2">
        <v>2746.57</v>
      </c>
    </row>
    <row r="696" spans="3:6" x14ac:dyDescent="0.25">
      <c r="C696" s="2" t="s">
        <v>1323</v>
      </c>
      <c r="D696" s="2" t="s">
        <v>292</v>
      </c>
      <c r="E696" s="2">
        <v>16</v>
      </c>
      <c r="F696" s="2">
        <v>263.69</v>
      </c>
    </row>
    <row r="697" spans="3:6" x14ac:dyDescent="0.25">
      <c r="C697" s="2" t="s">
        <v>1324</v>
      </c>
      <c r="D697" s="2" t="s">
        <v>292</v>
      </c>
      <c r="E697" s="2">
        <v>141</v>
      </c>
      <c r="F697" s="2">
        <v>2699.06</v>
      </c>
    </row>
    <row r="698" spans="3:6" x14ac:dyDescent="0.25">
      <c r="C698" s="2" t="s">
        <v>1325</v>
      </c>
      <c r="D698" s="2" t="s">
        <v>292</v>
      </c>
      <c r="E698" s="2">
        <v>54</v>
      </c>
      <c r="F698" s="2">
        <v>1098.399</v>
      </c>
    </row>
    <row r="699" spans="3:6" x14ac:dyDescent="0.25">
      <c r="C699" s="2" t="s">
        <v>1326</v>
      </c>
      <c r="D699" s="2" t="s">
        <v>292</v>
      </c>
      <c r="E699" s="2">
        <v>38</v>
      </c>
      <c r="F699" s="2">
        <v>659.149</v>
      </c>
    </row>
    <row r="700" spans="3:6" x14ac:dyDescent="0.25">
      <c r="C700" s="2" t="s">
        <v>1327</v>
      </c>
      <c r="D700" s="2" t="s">
        <v>292</v>
      </c>
      <c r="E700" s="2">
        <v>100</v>
      </c>
      <c r="F700" s="2">
        <v>2040.509</v>
      </c>
    </row>
    <row r="701" spans="3:6" x14ac:dyDescent="0.25">
      <c r="C701" s="2" t="s">
        <v>1328</v>
      </c>
      <c r="D701" s="2" t="s">
        <v>292</v>
      </c>
      <c r="E701" s="2">
        <v>62</v>
      </c>
      <c r="F701" s="2">
        <v>1200.1</v>
      </c>
    </row>
    <row r="702" spans="3:6" x14ac:dyDescent="0.25">
      <c r="C702" s="2" t="s">
        <v>1329</v>
      </c>
      <c r="D702" s="2" t="s">
        <v>292</v>
      </c>
      <c r="E702" s="2">
        <v>36</v>
      </c>
      <c r="F702" s="2">
        <v>662.575</v>
      </c>
    </row>
    <row r="703" spans="3:6" x14ac:dyDescent="0.25">
      <c r="C703" s="2" t="s">
        <v>1330</v>
      </c>
      <c r="D703" s="2" t="s">
        <v>292</v>
      </c>
      <c r="E703" s="2">
        <v>40</v>
      </c>
      <c r="F703" s="2">
        <v>779.34</v>
      </c>
    </row>
    <row r="704" spans="3:6" x14ac:dyDescent="0.25">
      <c r="C704" s="2" t="s">
        <v>1331</v>
      </c>
      <c r="D704" s="2" t="s">
        <v>292</v>
      </c>
      <c r="E704" s="2">
        <v>17</v>
      </c>
      <c r="F704" s="2">
        <v>324.025</v>
      </c>
    </row>
    <row r="705" spans="3:6" x14ac:dyDescent="0.25">
      <c r="C705" s="2" t="s">
        <v>1332</v>
      </c>
      <c r="D705" s="2" t="s">
        <v>292</v>
      </c>
      <c r="E705" s="2">
        <v>42</v>
      </c>
      <c r="F705" s="2">
        <v>882.51</v>
      </c>
    </row>
    <row r="706" spans="3:6" x14ac:dyDescent="0.25">
      <c r="C706" s="2" t="s">
        <v>1333</v>
      </c>
      <c r="D706" s="2" t="s">
        <v>292</v>
      </c>
      <c r="E706" s="2">
        <v>42</v>
      </c>
      <c r="F706" s="2">
        <v>785.975</v>
      </c>
    </row>
    <row r="707" spans="3:6" x14ac:dyDescent="0.25">
      <c r="C707" s="2" t="s">
        <v>1334</v>
      </c>
      <c r="D707" s="2" t="s">
        <v>292</v>
      </c>
      <c r="E707" s="2">
        <v>21</v>
      </c>
      <c r="F707" s="2">
        <v>418.135</v>
      </c>
    </row>
    <row r="708" spans="3:6" x14ac:dyDescent="0.25">
      <c r="C708" s="2" t="s">
        <v>1335</v>
      </c>
      <c r="D708" s="2" t="s">
        <v>292</v>
      </c>
      <c r="E708" s="2">
        <v>61</v>
      </c>
      <c r="F708" s="2">
        <v>1151.393</v>
      </c>
    </row>
    <row r="709" spans="3:6" x14ac:dyDescent="0.25">
      <c r="C709" s="2" t="s">
        <v>1336</v>
      </c>
      <c r="D709" s="2" t="s">
        <v>292</v>
      </c>
      <c r="E709" s="2">
        <v>23</v>
      </c>
      <c r="F709" s="2">
        <v>496.879</v>
      </c>
    </row>
    <row r="710" spans="3:6" x14ac:dyDescent="0.25">
      <c r="C710" s="2" t="s">
        <v>1337</v>
      </c>
      <c r="D710" s="2" t="s">
        <v>292</v>
      </c>
      <c r="E710" s="2">
        <v>77</v>
      </c>
      <c r="F710" s="2">
        <v>1655.819</v>
      </c>
    </row>
    <row r="711" spans="3:6" x14ac:dyDescent="0.25">
      <c r="C711" s="2" t="s">
        <v>1338</v>
      </c>
      <c r="D711" s="2" t="s">
        <v>292</v>
      </c>
      <c r="E711" s="2">
        <v>90</v>
      </c>
      <c r="F711" s="2">
        <v>1771.21</v>
      </c>
    </row>
    <row r="712" spans="3:6" x14ac:dyDescent="0.25">
      <c r="C712" s="2" t="s">
        <v>1339</v>
      </c>
      <c r="D712" s="2" t="s">
        <v>292</v>
      </c>
      <c r="E712" s="2">
        <v>51</v>
      </c>
      <c r="F712" s="2">
        <v>885.5</v>
      </c>
    </row>
    <row r="713" spans="3:6" x14ac:dyDescent="0.25">
      <c r="C713" s="2" t="s">
        <v>1340</v>
      </c>
      <c r="D713" s="2" t="s">
        <v>292</v>
      </c>
      <c r="E713" s="2">
        <v>45</v>
      </c>
      <c r="F713" s="2">
        <v>223.71</v>
      </c>
    </row>
    <row r="714" spans="3:6" x14ac:dyDescent="0.25">
      <c r="C714" s="2" t="s">
        <v>1341</v>
      </c>
      <c r="D714" s="2" t="s">
        <v>292</v>
      </c>
      <c r="E714" s="2">
        <v>39</v>
      </c>
      <c r="F714" s="2">
        <v>915.92</v>
      </c>
    </row>
    <row r="715" spans="3:6" x14ac:dyDescent="0.25">
      <c r="C715" s="2" t="s">
        <v>1342</v>
      </c>
      <c r="D715" s="2" t="s">
        <v>292</v>
      </c>
      <c r="E715" s="2">
        <v>134</v>
      </c>
      <c r="F715" s="2">
        <v>3020.23</v>
      </c>
    </row>
    <row r="716" spans="3:6" x14ac:dyDescent="0.25">
      <c r="C716" s="2" t="s">
        <v>1343</v>
      </c>
      <c r="D716" s="2" t="s">
        <v>292</v>
      </c>
      <c r="E716" s="2">
        <v>37</v>
      </c>
      <c r="F716" s="2">
        <v>732.03</v>
      </c>
    </row>
    <row r="717" spans="3:6" x14ac:dyDescent="0.25">
      <c r="C717" s="2" t="s">
        <v>1344</v>
      </c>
      <c r="D717" s="2" t="s">
        <v>292</v>
      </c>
      <c r="E717" s="2">
        <v>63</v>
      </c>
      <c r="F717" s="2">
        <v>1255.95</v>
      </c>
    </row>
    <row r="718" spans="3:6" x14ac:dyDescent="0.25">
      <c r="C718" s="2" t="s">
        <v>1345</v>
      </c>
      <c r="D718" s="2" t="s">
        <v>292</v>
      </c>
      <c r="E718" s="2">
        <v>69</v>
      </c>
      <c r="F718" s="2">
        <v>1331.03</v>
      </c>
    </row>
    <row r="719" spans="3:6" x14ac:dyDescent="0.25">
      <c r="C719" s="2" t="s">
        <v>1346</v>
      </c>
      <c r="D719" s="2" t="s">
        <v>292</v>
      </c>
      <c r="E719" s="2">
        <v>33</v>
      </c>
      <c r="F719" s="2">
        <v>648.06</v>
      </c>
    </row>
    <row r="720" spans="3:6" x14ac:dyDescent="0.25">
      <c r="C720" s="2" t="s">
        <v>1347</v>
      </c>
      <c r="D720" s="2" t="s">
        <v>292</v>
      </c>
      <c r="E720" s="2">
        <v>60</v>
      </c>
      <c r="F720" s="2">
        <v>818.467</v>
      </c>
    </row>
    <row r="721" spans="3:6" x14ac:dyDescent="0.25">
      <c r="C721" s="2" t="s">
        <v>1348</v>
      </c>
      <c r="D721" s="2" t="s">
        <v>292</v>
      </c>
      <c r="E721" s="2">
        <v>30</v>
      </c>
      <c r="F721" s="2">
        <v>569.47</v>
      </c>
    </row>
    <row r="722" spans="3:6" x14ac:dyDescent="0.25">
      <c r="C722" s="2" t="s">
        <v>1349</v>
      </c>
      <c r="D722" s="2" t="s">
        <v>292</v>
      </c>
      <c r="E722" s="2">
        <v>45</v>
      </c>
      <c r="F722" s="2">
        <v>224.43</v>
      </c>
    </row>
    <row r="723" spans="3:6" x14ac:dyDescent="0.25">
      <c r="C723" s="2" t="s">
        <v>1350</v>
      </c>
      <c r="D723" s="2" t="s">
        <v>292</v>
      </c>
      <c r="E723" s="2">
        <v>11</v>
      </c>
      <c r="F723" s="2">
        <v>221.6</v>
      </c>
    </row>
    <row r="724" spans="3:6" x14ac:dyDescent="0.25">
      <c r="C724" s="2" t="s">
        <v>1351</v>
      </c>
      <c r="D724" s="2" t="s">
        <v>292</v>
      </c>
      <c r="E724" s="2">
        <v>130</v>
      </c>
      <c r="F724" s="2">
        <v>2625.28</v>
      </c>
    </row>
    <row r="725" spans="3:6" x14ac:dyDescent="0.25">
      <c r="C725" s="2" t="s">
        <v>1352</v>
      </c>
      <c r="D725" s="2" t="s">
        <v>292</v>
      </c>
      <c r="E725" s="2">
        <v>64</v>
      </c>
      <c r="F725" s="2">
        <v>1396.54</v>
      </c>
    </row>
    <row r="726" spans="3:6" x14ac:dyDescent="0.25">
      <c r="C726" s="2" t="s">
        <v>1353</v>
      </c>
      <c r="D726" s="2" t="s">
        <v>292</v>
      </c>
      <c r="E726" s="2">
        <v>74</v>
      </c>
      <c r="F726" s="2">
        <v>1441.52</v>
      </c>
    </row>
    <row r="727" spans="3:6" x14ac:dyDescent="0.25">
      <c r="C727" s="2" t="s">
        <v>1354</v>
      </c>
      <c r="D727" s="2" t="s">
        <v>292</v>
      </c>
      <c r="E727" s="2">
        <v>52</v>
      </c>
      <c r="F727" s="2">
        <v>1106.5</v>
      </c>
    </row>
    <row r="728" spans="3:6" x14ac:dyDescent="0.25">
      <c r="C728" s="2" t="s">
        <v>1355</v>
      </c>
      <c r="D728" s="2" t="s">
        <v>292</v>
      </c>
      <c r="E728" s="2">
        <v>72</v>
      </c>
      <c r="F728" s="2">
        <v>1509.59</v>
      </c>
    </row>
    <row r="729" spans="3:6" x14ac:dyDescent="0.25">
      <c r="C729" s="2" t="s">
        <v>1356</v>
      </c>
      <c r="D729" s="2" t="s">
        <v>292</v>
      </c>
      <c r="E729" s="2">
        <v>25</v>
      </c>
      <c r="F729" s="2">
        <v>526.17</v>
      </c>
    </row>
    <row r="730" spans="3:6" x14ac:dyDescent="0.25">
      <c r="C730" s="2" t="s">
        <v>1357</v>
      </c>
      <c r="D730" s="2" t="s">
        <v>292</v>
      </c>
      <c r="E730" s="2">
        <v>42</v>
      </c>
      <c r="F730" s="2">
        <v>875.4</v>
      </c>
    </row>
    <row r="731" spans="3:6" x14ac:dyDescent="0.25">
      <c r="C731" s="2" t="s">
        <v>1358</v>
      </c>
      <c r="D731" s="2" t="s">
        <v>292</v>
      </c>
      <c r="E731" s="2">
        <v>26</v>
      </c>
      <c r="F731" s="2">
        <v>566.9</v>
      </c>
    </row>
    <row r="732" spans="3:6" x14ac:dyDescent="0.25">
      <c r="C732" s="2" t="s">
        <v>1359</v>
      </c>
      <c r="D732" s="2" t="s">
        <v>292</v>
      </c>
      <c r="E732" s="2">
        <v>41</v>
      </c>
      <c r="F732" s="2">
        <v>804.79</v>
      </c>
    </row>
    <row r="733" spans="3:6" x14ac:dyDescent="0.25">
      <c r="C733" s="2" t="s">
        <v>1360</v>
      </c>
      <c r="D733" s="2" t="s">
        <v>292</v>
      </c>
      <c r="E733" s="2">
        <v>2</v>
      </c>
      <c r="F733" s="2">
        <v>14.25</v>
      </c>
    </row>
    <row r="734" spans="3:6" x14ac:dyDescent="0.25">
      <c r="C734" s="2" t="s">
        <v>1361</v>
      </c>
      <c r="D734" s="2" t="s">
        <v>292</v>
      </c>
      <c r="E734" s="2">
        <v>18</v>
      </c>
      <c r="F734" s="2">
        <v>327.85</v>
      </c>
    </row>
    <row r="735" spans="3:6" x14ac:dyDescent="0.25">
      <c r="C735" s="2" t="s">
        <v>1362</v>
      </c>
      <c r="D735" s="2" t="s">
        <v>292</v>
      </c>
      <c r="E735" s="2">
        <v>37</v>
      </c>
      <c r="F735" s="2">
        <v>780.21</v>
      </c>
    </row>
    <row r="736" spans="3:6" x14ac:dyDescent="0.25">
      <c r="C736" s="2" t="s">
        <v>1363</v>
      </c>
      <c r="D736" s="2" t="s">
        <v>292</v>
      </c>
      <c r="E736" s="2">
        <v>62</v>
      </c>
      <c r="F736" s="2">
        <v>850.798</v>
      </c>
    </row>
    <row r="737" spans="3:6" x14ac:dyDescent="0.25">
      <c r="C737" s="2" t="s">
        <v>1364</v>
      </c>
      <c r="D737" s="2" t="s">
        <v>292</v>
      </c>
      <c r="E737" s="2">
        <v>80</v>
      </c>
      <c r="F737" s="2">
        <v>1610.24</v>
      </c>
    </row>
    <row r="738" spans="3:6" x14ac:dyDescent="0.25">
      <c r="C738" s="2" t="s">
        <v>1365</v>
      </c>
      <c r="D738" s="2" t="s">
        <v>292</v>
      </c>
      <c r="E738" s="2">
        <v>56</v>
      </c>
      <c r="F738" s="2">
        <v>1147.47</v>
      </c>
    </row>
    <row r="740" spans="1:7" x14ac:dyDescent="0.25">
      <c r="A740" s="1">
        <v>46211</v>
      </c>
      <c r="B740" s="2" t="s">
        <v>378</v>
      </c>
      <c r="C740" s="2" t="s">
        <v>1366</v>
      </c>
      <c r="D740" s="2" t="s">
        <v>15</v>
      </c>
      <c r="E740" s="2">
        <v>50</v>
      </c>
      <c r="F740" s="2">
        <v>1032.669</v>
      </c>
      <c r="G740" s="1">
        <v>46210</v>
      </c>
    </row>
    <row r="741" spans="3:6" x14ac:dyDescent="0.25">
      <c r="C741" s="2" t="s">
        <v>1367</v>
      </c>
      <c r="D741" s="2" t="s">
        <v>15</v>
      </c>
      <c r="E741" s="2">
        <v>72</v>
      </c>
      <c r="F741" s="2">
        <v>1462.33</v>
      </c>
    </row>
    <row r="742" spans="3:6" x14ac:dyDescent="0.25">
      <c r="C742" s="2" t="s">
        <v>1368</v>
      </c>
      <c r="D742" s="2" t="s">
        <v>36</v>
      </c>
      <c r="E742" s="2">
        <v>25</v>
      </c>
      <c r="F742" s="2">
        <v>527.31</v>
      </c>
    </row>
    <row r="743" spans="3:6" x14ac:dyDescent="0.25">
      <c r="C743" s="2" t="s">
        <v>1369</v>
      </c>
      <c r="D743" s="2" t="s">
        <v>36</v>
      </c>
      <c r="E743" s="2">
        <v>80</v>
      </c>
      <c r="F743" s="2">
        <v>1621.12</v>
      </c>
    </row>
    <row r="744" spans="3:6" x14ac:dyDescent="0.25">
      <c r="C744" s="2" t="s">
        <v>1370</v>
      </c>
      <c r="D744" s="2" t="s">
        <v>36</v>
      </c>
      <c r="E744" s="2">
        <v>45</v>
      </c>
      <c r="F744" s="2">
        <v>815.959</v>
      </c>
    </row>
    <row r="745" spans="3:6" x14ac:dyDescent="0.25">
      <c r="C745" s="2" t="s">
        <v>1371</v>
      </c>
      <c r="D745" s="2" t="s">
        <v>36</v>
      </c>
      <c r="E745" s="2">
        <v>60</v>
      </c>
      <c r="F745" s="2">
        <v>1133.35</v>
      </c>
    </row>
    <row r="746" spans="3:6" x14ac:dyDescent="0.25">
      <c r="C746" s="2" t="s">
        <v>1372</v>
      </c>
      <c r="D746" s="2" t="s">
        <v>26</v>
      </c>
      <c r="E746" s="2">
        <v>105</v>
      </c>
      <c r="F746" s="2">
        <v>2140.95</v>
      </c>
    </row>
    <row r="747" spans="3:6" x14ac:dyDescent="0.25">
      <c r="C747" s="2" t="s">
        <v>1373</v>
      </c>
      <c r="D747" s="2" t="s">
        <v>30</v>
      </c>
      <c r="E747" s="2">
        <v>134</v>
      </c>
      <c r="F747" s="2">
        <v>2646.58</v>
      </c>
    </row>
    <row r="748" spans="3:6" x14ac:dyDescent="0.25">
      <c r="C748" s="2" t="s">
        <v>1374</v>
      </c>
      <c r="D748" s="2" t="s">
        <v>30</v>
      </c>
      <c r="E748" s="2">
        <v>134</v>
      </c>
      <c r="F748" s="2">
        <v>2687.6</v>
      </c>
    </row>
    <row r="749" spans="3:6" x14ac:dyDescent="0.25">
      <c r="C749" s="2" t="s">
        <v>1375</v>
      </c>
      <c r="D749" s="2" t="s">
        <v>30</v>
      </c>
      <c r="E749" s="2">
        <v>134</v>
      </c>
      <c r="F749" s="2">
        <v>2822.47</v>
      </c>
    </row>
    <row r="750" spans="3:6" x14ac:dyDescent="0.25">
      <c r="C750" s="2" t="s">
        <v>1376</v>
      </c>
      <c r="D750" s="2" t="s">
        <v>30</v>
      </c>
      <c r="E750" s="2">
        <v>134</v>
      </c>
      <c r="F750" s="2">
        <v>2828.32</v>
      </c>
    </row>
    <row r="751" spans="3:6" x14ac:dyDescent="0.25">
      <c r="C751" s="2" t="s">
        <v>1377</v>
      </c>
      <c r="D751" s="2" t="s">
        <v>30</v>
      </c>
      <c r="E751" s="2">
        <v>134</v>
      </c>
      <c r="F751" s="2">
        <v>2629.838</v>
      </c>
    </row>
    <row r="752" spans="3:6" x14ac:dyDescent="0.25">
      <c r="C752" s="2" t="s">
        <v>1378</v>
      </c>
      <c r="D752" s="2" t="s">
        <v>30</v>
      </c>
      <c r="E752" s="2">
        <v>134</v>
      </c>
      <c r="F752" s="2">
        <v>2583.97</v>
      </c>
    </row>
    <row r="753" spans="3:6" x14ac:dyDescent="0.25">
      <c r="C753" s="2" t="s">
        <v>1379</v>
      </c>
      <c r="D753" s="2" t="s">
        <v>15</v>
      </c>
      <c r="E753" s="2">
        <v>163</v>
      </c>
      <c r="F753" s="2">
        <v>2982.11</v>
      </c>
    </row>
    <row r="754" spans="3:6" x14ac:dyDescent="0.25">
      <c r="C754" s="2" t="s">
        <v>1380</v>
      </c>
      <c r="D754" s="2" t="s">
        <v>15</v>
      </c>
      <c r="E754" s="2">
        <v>163</v>
      </c>
      <c r="F754" s="2">
        <v>3109.209</v>
      </c>
    </row>
    <row r="755" spans="3:6" x14ac:dyDescent="0.25">
      <c r="C755" s="2" t="s">
        <v>1381</v>
      </c>
      <c r="D755" s="2" t="s">
        <v>15</v>
      </c>
      <c r="E755" s="2">
        <v>163</v>
      </c>
      <c r="F755" s="2">
        <v>3171.37</v>
      </c>
    </row>
    <row r="756" spans="3:6" x14ac:dyDescent="0.25">
      <c r="C756" s="2" t="s">
        <v>1382</v>
      </c>
      <c r="D756" s="2" t="s">
        <v>15</v>
      </c>
      <c r="E756" s="2">
        <v>163</v>
      </c>
      <c r="F756" s="2">
        <v>3189.75</v>
      </c>
    </row>
    <row r="757" spans="3:6" x14ac:dyDescent="0.25">
      <c r="C757" s="2" t="s">
        <v>1383</v>
      </c>
      <c r="D757" s="2" t="s">
        <v>15</v>
      </c>
      <c r="E757" s="2">
        <v>163</v>
      </c>
      <c r="F757" s="2">
        <v>3119.39</v>
      </c>
    </row>
    <row r="758" spans="3:6" x14ac:dyDescent="0.25">
      <c r="C758" s="2" t="s">
        <v>1384</v>
      </c>
      <c r="D758" s="2" t="s">
        <v>15</v>
      </c>
      <c r="E758" s="2">
        <v>163</v>
      </c>
      <c r="F758" s="2">
        <v>3158.48</v>
      </c>
    </row>
    <row r="759" spans="3:6" x14ac:dyDescent="0.25">
      <c r="C759" s="2" t="s">
        <v>1385</v>
      </c>
      <c r="D759" s="2" t="s">
        <v>15</v>
      </c>
      <c r="E759" s="2">
        <v>163</v>
      </c>
      <c r="F759" s="2">
        <v>3132.7</v>
      </c>
    </row>
    <row r="760" spans="3:6" x14ac:dyDescent="0.25">
      <c r="C760" s="2" t="s">
        <v>1386</v>
      </c>
      <c r="D760" s="2" t="s">
        <v>15</v>
      </c>
      <c r="E760" s="2">
        <v>163</v>
      </c>
      <c r="F760" s="2">
        <v>3231.23</v>
      </c>
    </row>
    <row r="761" spans="3:6" x14ac:dyDescent="0.25">
      <c r="C761" s="2" t="s">
        <v>1387</v>
      </c>
      <c r="D761" s="2" t="s">
        <v>15</v>
      </c>
      <c r="E761" s="2">
        <v>163</v>
      </c>
      <c r="F761" s="2">
        <v>2967.24</v>
      </c>
    </row>
    <row r="762" spans="3:6" x14ac:dyDescent="0.25">
      <c r="C762" s="2" t="s">
        <v>1388</v>
      </c>
      <c r="D762" s="2" t="s">
        <v>15</v>
      </c>
      <c r="E762" s="2">
        <v>36</v>
      </c>
      <c r="F762" s="2">
        <v>722.249</v>
      </c>
    </row>
    <row r="763" spans="3:6" x14ac:dyDescent="0.25">
      <c r="C763" s="2" t="s">
        <v>1389</v>
      </c>
      <c r="D763" s="2" t="s">
        <v>15</v>
      </c>
      <c r="E763" s="2">
        <v>163</v>
      </c>
      <c r="F763" s="2">
        <v>3147.07</v>
      </c>
    </row>
    <row r="764" spans="3:6" x14ac:dyDescent="0.25">
      <c r="C764" s="2" t="s">
        <v>1390</v>
      </c>
      <c r="D764" s="2" t="s">
        <v>15</v>
      </c>
      <c r="E764" s="2">
        <v>163</v>
      </c>
      <c r="F764" s="2">
        <v>3192.749</v>
      </c>
    </row>
    <row r="765" spans="3:6" x14ac:dyDescent="0.25">
      <c r="C765" s="2" t="s">
        <v>1391</v>
      </c>
      <c r="D765" s="2" t="s">
        <v>15</v>
      </c>
      <c r="E765" s="2">
        <v>163</v>
      </c>
      <c r="F765" s="2">
        <v>3006.727</v>
      </c>
    </row>
    <row r="766" spans="3:6" x14ac:dyDescent="0.25">
      <c r="C766" s="2" t="s">
        <v>1392</v>
      </c>
      <c r="D766" s="2" t="s">
        <v>36</v>
      </c>
      <c r="E766" s="2">
        <v>45</v>
      </c>
      <c r="F766" s="2">
        <v>867.06</v>
      </c>
    </row>
    <row r="767" spans="3:6" x14ac:dyDescent="0.25">
      <c r="C767" s="2" t="s">
        <v>1393</v>
      </c>
      <c r="D767" s="2" t="s">
        <v>36</v>
      </c>
      <c r="E767" s="2">
        <v>60</v>
      </c>
      <c r="F767" s="2">
        <v>1206.45</v>
      </c>
    </row>
    <row r="768" spans="3:6" x14ac:dyDescent="0.25">
      <c r="C768" s="2" t="s">
        <v>1394</v>
      </c>
      <c r="D768" s="2" t="s">
        <v>15</v>
      </c>
      <c r="E768" s="2">
        <v>33</v>
      </c>
      <c r="F768" s="2">
        <v>628</v>
      </c>
    </row>
    <row r="770" spans="2:7" x14ac:dyDescent="0.25">
      <c r="B770" s="2" t="s">
        <v>48</v>
      </c>
      <c r="C770" s="2" t="s">
        <v>1395</v>
      </c>
      <c r="D770" s="2" t="s">
        <v>53</v>
      </c>
      <c r="E770" s="2">
        <v>156</v>
      </c>
      <c r="F770" s="2">
        <v>2953.17</v>
      </c>
      <c r="G770" s="1">
        <v>46210</v>
      </c>
    </row>
    <row r="771" spans="3:6" x14ac:dyDescent="0.25">
      <c r="C771" s="2" t="s">
        <v>1396</v>
      </c>
      <c r="D771" s="2" t="s">
        <v>30</v>
      </c>
      <c r="E771" s="2">
        <v>156</v>
      </c>
      <c r="F771" s="2">
        <v>2802.688</v>
      </c>
    </row>
    <row r="772" spans="3:6" x14ac:dyDescent="0.25">
      <c r="C772" s="2" t="s">
        <v>1397</v>
      </c>
      <c r="D772" s="2" t="s">
        <v>53</v>
      </c>
      <c r="E772" s="2">
        <v>106</v>
      </c>
      <c r="F772" s="2">
        <v>2015.04</v>
      </c>
    </row>
    <row r="774" spans="1:7" x14ac:dyDescent="0.25">
      <c r="A774" s="1">
        <v>46211</v>
      </c>
      <c r="B774" s="2" t="s">
        <v>427</v>
      </c>
      <c r="C774" s="2" t="s">
        <v>1398</v>
      </c>
      <c r="D774" s="2" t="s">
        <v>59</v>
      </c>
      <c r="E774" s="2">
        <v>149</v>
      </c>
      <c r="F774" s="2">
        <v>3009.018</v>
      </c>
      <c r="G774" s="1">
        <v>46210</v>
      </c>
    </row>
    <row r="776" spans="1:7" x14ac:dyDescent="0.25">
      <c r="A776" s="1">
        <v>46211</v>
      </c>
      <c r="B776" s="2" t="s">
        <v>358</v>
      </c>
      <c r="C776" s="2" t="s">
        <v>1399</v>
      </c>
      <c r="D776" s="2" t="s">
        <v>136</v>
      </c>
      <c r="E776" s="2">
        <v>134</v>
      </c>
      <c r="F776" s="2">
        <v>2780.64</v>
      </c>
      <c r="G776" s="1">
        <v>46211</v>
      </c>
    </row>
    <row r="778" spans="1:7" x14ac:dyDescent="0.25">
      <c r="A778" s="1">
        <v>46212</v>
      </c>
      <c r="B778" s="2" t="s">
        <v>1400</v>
      </c>
      <c r="C778" s="2" t="s">
        <v>1401</v>
      </c>
      <c r="D778" s="2" t="s">
        <v>82</v>
      </c>
      <c r="E778" s="2">
        <v>71</v>
      </c>
      <c r="F778" s="2">
        <v>1434.95</v>
      </c>
      <c r="G778" s="1">
        <v>46210</v>
      </c>
    </row>
    <row r="779" spans="3:6" x14ac:dyDescent="0.25">
      <c r="C779" s="2" t="s">
        <v>1402</v>
      </c>
      <c r="D779" s="2" t="s">
        <v>82</v>
      </c>
      <c r="E779" s="2">
        <v>12</v>
      </c>
      <c r="F779" s="2">
        <v>201.29</v>
      </c>
    </row>
    <row r="780" spans="3:6" x14ac:dyDescent="0.25">
      <c r="C780" s="2" t="s">
        <v>1403</v>
      </c>
      <c r="D780" s="2" t="s">
        <v>82</v>
      </c>
      <c r="E780" s="2">
        <v>43</v>
      </c>
      <c r="F780" s="2">
        <v>867.74</v>
      </c>
    </row>
    <row r="781" spans="3:6" x14ac:dyDescent="0.25">
      <c r="C781" s="2" t="s">
        <v>1404</v>
      </c>
      <c r="D781" s="2" t="s">
        <v>82</v>
      </c>
      <c r="E781" s="2">
        <v>15</v>
      </c>
      <c r="F781" s="2">
        <v>271.75</v>
      </c>
    </row>
    <row r="783" spans="1:7" x14ac:dyDescent="0.25">
      <c r="A783" s="1">
        <v>46212</v>
      </c>
      <c r="B783" s="2" t="s">
        <v>495</v>
      </c>
      <c r="C783" s="2" t="s">
        <v>1405</v>
      </c>
      <c r="D783" s="2" t="s">
        <v>82</v>
      </c>
      <c r="E783" s="2">
        <v>121</v>
      </c>
      <c r="F783" s="2">
        <v>2301.719</v>
      </c>
      <c r="G783" s="1">
        <v>46211</v>
      </c>
    </row>
    <row r="784" spans="3:6" x14ac:dyDescent="0.25">
      <c r="C784" s="2" t="s">
        <v>1406</v>
      </c>
      <c r="D784" s="2" t="s">
        <v>82</v>
      </c>
      <c r="E784" s="2">
        <v>141</v>
      </c>
      <c r="F784" s="2">
        <v>2863.96</v>
      </c>
    </row>
    <row r="785" spans="3:6" x14ac:dyDescent="0.25">
      <c r="C785" s="2" t="s">
        <v>1407</v>
      </c>
      <c r="D785" s="2" t="s">
        <v>82</v>
      </c>
      <c r="E785" s="2">
        <v>141</v>
      </c>
      <c r="F785" s="2">
        <v>2862.548</v>
      </c>
    </row>
    <row r="786" spans="3:6" x14ac:dyDescent="0.25">
      <c r="C786" s="2" t="s">
        <v>1408</v>
      </c>
      <c r="D786" s="2" t="s">
        <v>82</v>
      </c>
      <c r="E786" s="2">
        <v>141</v>
      </c>
      <c r="F786" s="2">
        <v>2760.849</v>
      </c>
    </row>
    <row r="787" spans="3:6" x14ac:dyDescent="0.25">
      <c r="C787" s="2" t="s">
        <v>1409</v>
      </c>
      <c r="D787" s="2" t="s">
        <v>82</v>
      </c>
      <c r="E787" s="2">
        <v>141</v>
      </c>
      <c r="F787" s="2">
        <v>2707.948</v>
      </c>
    </row>
    <row r="788" spans="3:6" x14ac:dyDescent="0.25">
      <c r="C788" s="2" t="s">
        <v>1410</v>
      </c>
      <c r="D788" s="2" t="s">
        <v>82</v>
      </c>
      <c r="E788" s="2">
        <v>141</v>
      </c>
      <c r="F788" s="2">
        <v>2908.64</v>
      </c>
    </row>
    <row r="789" spans="3:6" x14ac:dyDescent="0.25">
      <c r="C789" s="2" t="s">
        <v>1411</v>
      </c>
      <c r="D789" s="2" t="s">
        <v>82</v>
      </c>
      <c r="E789" s="2">
        <v>102</v>
      </c>
      <c r="F789" s="2">
        <v>2026.98</v>
      </c>
    </row>
    <row r="790" spans="3:6" x14ac:dyDescent="0.25">
      <c r="C790" s="2" t="s">
        <v>1412</v>
      </c>
      <c r="D790" s="2" t="s">
        <v>82</v>
      </c>
      <c r="E790" s="2">
        <v>74</v>
      </c>
      <c r="F790" s="2">
        <v>329.197</v>
      </c>
    </row>
    <row r="791" spans="3:6" x14ac:dyDescent="0.25">
      <c r="C791" s="2" t="s">
        <v>1413</v>
      </c>
      <c r="D791" s="2" t="s">
        <v>82</v>
      </c>
      <c r="E791" s="2">
        <v>52</v>
      </c>
      <c r="F791" s="2">
        <v>1076.3</v>
      </c>
    </row>
    <row r="792" spans="3:6" x14ac:dyDescent="0.25">
      <c r="C792" s="2" t="s">
        <v>1414</v>
      </c>
      <c r="D792" s="2" t="s">
        <v>82</v>
      </c>
      <c r="E792" s="2">
        <v>50</v>
      </c>
      <c r="F792" s="2">
        <v>1021.36</v>
      </c>
    </row>
    <row r="793" spans="3:6" x14ac:dyDescent="0.25">
      <c r="C793" s="2" t="s">
        <v>1415</v>
      </c>
      <c r="D793" s="2" t="s">
        <v>82</v>
      </c>
      <c r="E793" s="2">
        <v>141</v>
      </c>
      <c r="F793" s="2">
        <v>2855.88</v>
      </c>
    </row>
    <row r="794" spans="3:6" x14ac:dyDescent="0.25">
      <c r="C794" s="2" t="s">
        <v>1416</v>
      </c>
      <c r="D794" s="2" t="s">
        <v>82</v>
      </c>
      <c r="E794" s="2">
        <v>30</v>
      </c>
      <c r="F794" s="2">
        <v>614.01</v>
      </c>
    </row>
    <row r="795" spans="3:6" x14ac:dyDescent="0.25">
      <c r="C795" s="2" t="s">
        <v>1417</v>
      </c>
      <c r="D795" s="2" t="s">
        <v>82</v>
      </c>
      <c r="E795" s="2">
        <v>43</v>
      </c>
      <c r="F795" s="2">
        <v>869.98</v>
      </c>
    </row>
    <row r="796" spans="3:6" x14ac:dyDescent="0.25">
      <c r="C796" s="2" t="s">
        <v>1418</v>
      </c>
      <c r="D796" s="2" t="s">
        <v>82</v>
      </c>
      <c r="E796" s="2">
        <v>68</v>
      </c>
      <c r="F796" s="2">
        <v>1431.61</v>
      </c>
    </row>
    <row r="797" spans="3:6" x14ac:dyDescent="0.25">
      <c r="C797" s="2" t="s">
        <v>1419</v>
      </c>
      <c r="D797" s="2" t="s">
        <v>82</v>
      </c>
      <c r="E797" s="2">
        <v>75</v>
      </c>
      <c r="F797" s="2">
        <v>1570.99</v>
      </c>
    </row>
    <row r="798" spans="3:6" x14ac:dyDescent="0.25">
      <c r="C798" s="2" t="s">
        <v>1420</v>
      </c>
      <c r="D798" s="2" t="s">
        <v>82</v>
      </c>
      <c r="E798" s="2">
        <v>72</v>
      </c>
      <c r="F798" s="2">
        <v>1377.22</v>
      </c>
    </row>
    <row r="799" spans="3:6" x14ac:dyDescent="0.25">
      <c r="C799" s="2" t="s">
        <v>1421</v>
      </c>
      <c r="D799" s="2" t="s">
        <v>82</v>
      </c>
      <c r="E799" s="2">
        <v>29</v>
      </c>
      <c r="F799" s="2">
        <v>501.28</v>
      </c>
    </row>
    <row r="800" spans="3:6" x14ac:dyDescent="0.25">
      <c r="C800" s="2" t="s">
        <v>1422</v>
      </c>
      <c r="D800" s="2" t="s">
        <v>82</v>
      </c>
      <c r="E800" s="2">
        <v>20</v>
      </c>
      <c r="F800" s="2">
        <v>393.39</v>
      </c>
    </row>
    <row r="801" spans="3:6" x14ac:dyDescent="0.25">
      <c r="C801" s="2" t="s">
        <v>1423</v>
      </c>
      <c r="D801" s="2" t="s">
        <v>82</v>
      </c>
      <c r="E801" s="2">
        <v>30</v>
      </c>
      <c r="F801" s="2">
        <v>508.62</v>
      </c>
    </row>
    <row r="802" spans="3:6" x14ac:dyDescent="0.25">
      <c r="C802" s="2" t="s">
        <v>1424</v>
      </c>
      <c r="D802" s="2" t="s">
        <v>82</v>
      </c>
      <c r="E802" s="2">
        <v>31</v>
      </c>
      <c r="F802" s="2">
        <v>627.36</v>
      </c>
    </row>
    <row r="803" spans="3:6" x14ac:dyDescent="0.25">
      <c r="C803" s="2" t="s">
        <v>1425</v>
      </c>
      <c r="D803" s="2" t="s">
        <v>82</v>
      </c>
      <c r="E803" s="2">
        <v>15</v>
      </c>
      <c r="F803" s="2">
        <v>319.41</v>
      </c>
    </row>
    <row r="804" spans="3:6" x14ac:dyDescent="0.25">
      <c r="C804" s="2" t="s">
        <v>1426</v>
      </c>
      <c r="D804" s="2" t="s">
        <v>82</v>
      </c>
      <c r="E804" s="2">
        <v>45</v>
      </c>
      <c r="F804" s="2">
        <v>902.88</v>
      </c>
    </row>
    <row r="805" spans="3:6" x14ac:dyDescent="0.25">
      <c r="C805" s="2" t="s">
        <v>1427</v>
      </c>
      <c r="D805" s="2" t="s">
        <v>82</v>
      </c>
      <c r="E805" s="2">
        <v>50</v>
      </c>
      <c r="F805" s="2">
        <v>1070.17</v>
      </c>
    </row>
    <row r="806" spans="3:6" x14ac:dyDescent="0.25">
      <c r="C806" s="2" t="s">
        <v>1428</v>
      </c>
      <c r="D806" s="2" t="s">
        <v>82</v>
      </c>
      <c r="E806" s="2">
        <v>50</v>
      </c>
      <c r="F806" s="2">
        <v>1019.73</v>
      </c>
    </row>
    <row r="807" spans="3:6" x14ac:dyDescent="0.25">
      <c r="C807" s="2" t="s">
        <v>1429</v>
      </c>
      <c r="D807" s="2" t="s">
        <v>82</v>
      </c>
      <c r="E807" s="2">
        <v>21</v>
      </c>
      <c r="F807" s="2">
        <v>405.44</v>
      </c>
    </row>
    <row r="808" spans="3:6" x14ac:dyDescent="0.25">
      <c r="C808" s="2" t="s">
        <v>1430</v>
      </c>
      <c r="D808" s="2" t="s">
        <v>82</v>
      </c>
      <c r="E808" s="2">
        <v>15</v>
      </c>
      <c r="F808" s="2">
        <v>286.76</v>
      </c>
    </row>
    <row r="809" spans="3:6" x14ac:dyDescent="0.25">
      <c r="C809" s="2" t="s">
        <v>1431</v>
      </c>
      <c r="D809" s="2" t="s">
        <v>82</v>
      </c>
      <c r="E809" s="2">
        <v>8</v>
      </c>
      <c r="F809" s="2">
        <v>158.94</v>
      </c>
    </row>
    <row r="810" spans="3:6" x14ac:dyDescent="0.25">
      <c r="C810" s="2" t="s">
        <v>1432</v>
      </c>
      <c r="D810" s="2" t="s">
        <v>82</v>
      </c>
      <c r="E810" s="2">
        <v>47</v>
      </c>
      <c r="F810" s="2">
        <v>922.57</v>
      </c>
    </row>
    <row r="811" spans="3:6" x14ac:dyDescent="0.25">
      <c r="C811" s="2" t="s">
        <v>1433</v>
      </c>
      <c r="D811" s="2" t="s">
        <v>82</v>
      </c>
      <c r="E811" s="2">
        <v>32</v>
      </c>
      <c r="F811" s="2">
        <v>553.25</v>
      </c>
    </row>
    <row r="812" spans="3:6" x14ac:dyDescent="0.25">
      <c r="C812" s="2" t="s">
        <v>1434</v>
      </c>
      <c r="D812" s="2" t="s">
        <v>82</v>
      </c>
      <c r="E812" s="2">
        <v>35</v>
      </c>
      <c r="F812" s="2">
        <v>697.85</v>
      </c>
    </row>
    <row r="813" spans="3:6" x14ac:dyDescent="0.25">
      <c r="C813" s="2" t="s">
        <v>1435</v>
      </c>
      <c r="D813" s="2" t="s">
        <v>82</v>
      </c>
      <c r="E813" s="2">
        <v>33</v>
      </c>
      <c r="F813" s="2">
        <v>647.41</v>
      </c>
    </row>
    <row r="814" spans="3:6" x14ac:dyDescent="0.25">
      <c r="C814" s="2" t="s">
        <v>1436</v>
      </c>
      <c r="D814" s="2" t="s">
        <v>82</v>
      </c>
      <c r="E814" s="2">
        <v>34</v>
      </c>
      <c r="F814" s="2">
        <v>696.76</v>
      </c>
    </row>
    <row r="815" spans="3:6" x14ac:dyDescent="0.25">
      <c r="C815" s="2" t="s">
        <v>1437</v>
      </c>
      <c r="D815" s="2" t="s">
        <v>82</v>
      </c>
      <c r="E815" s="2">
        <v>45</v>
      </c>
      <c r="F815" s="2">
        <v>209.509</v>
      </c>
    </row>
    <row r="816" spans="3:6" x14ac:dyDescent="0.25">
      <c r="C816" s="2" t="s">
        <v>1438</v>
      </c>
      <c r="D816" s="2" t="s">
        <v>82</v>
      </c>
      <c r="E816" s="2">
        <v>27</v>
      </c>
      <c r="F816" s="2">
        <v>119.95</v>
      </c>
    </row>
    <row r="817" spans="3:6" x14ac:dyDescent="0.25">
      <c r="C817" s="2" t="s">
        <v>1439</v>
      </c>
      <c r="D817" s="2" t="s">
        <v>82</v>
      </c>
      <c r="E817" s="2">
        <v>134</v>
      </c>
      <c r="F817" s="2">
        <v>2677.31</v>
      </c>
    </row>
    <row r="818" spans="3:6" x14ac:dyDescent="0.25">
      <c r="C818" s="2" t="s">
        <v>1440</v>
      </c>
      <c r="D818" s="2" t="s">
        <v>82</v>
      </c>
      <c r="E818" s="2">
        <v>141</v>
      </c>
      <c r="F818" s="2">
        <v>2783.96</v>
      </c>
    </row>
    <row r="819" spans="3:6" x14ac:dyDescent="0.25">
      <c r="C819" s="2" t="s">
        <v>1441</v>
      </c>
      <c r="D819" s="2" t="s">
        <v>82</v>
      </c>
      <c r="E819" s="2">
        <v>141</v>
      </c>
      <c r="F819" s="2">
        <v>2894.29</v>
      </c>
    </row>
    <row r="820" spans="3:6" x14ac:dyDescent="0.25">
      <c r="C820" s="2" t="s">
        <v>1442</v>
      </c>
      <c r="D820" s="2" t="s">
        <v>82</v>
      </c>
      <c r="E820" s="2">
        <v>101</v>
      </c>
      <c r="F820" s="2">
        <v>1944.669</v>
      </c>
    </row>
    <row r="821" spans="3:6" x14ac:dyDescent="0.25">
      <c r="C821" s="2" t="s">
        <v>1443</v>
      </c>
      <c r="D821" s="2" t="s">
        <v>82</v>
      </c>
      <c r="E821" s="2">
        <v>40</v>
      </c>
      <c r="F821" s="2">
        <v>814.67</v>
      </c>
    </row>
    <row r="822" spans="3:6" x14ac:dyDescent="0.25">
      <c r="C822" s="2" t="s">
        <v>1444</v>
      </c>
      <c r="D822" s="2" t="s">
        <v>82</v>
      </c>
      <c r="E822" s="2">
        <v>41</v>
      </c>
      <c r="F822" s="2">
        <v>824.71</v>
      </c>
    </row>
    <row r="823" spans="3:6" x14ac:dyDescent="0.25">
      <c r="C823" s="2" t="s">
        <v>1445</v>
      </c>
      <c r="D823" s="2" t="s">
        <v>82</v>
      </c>
      <c r="E823" s="2">
        <v>50</v>
      </c>
      <c r="F823" s="2">
        <v>987.29</v>
      </c>
    </row>
    <row r="824" spans="3:6" x14ac:dyDescent="0.25">
      <c r="C824" s="2" t="s">
        <v>1446</v>
      </c>
      <c r="D824" s="2" t="s">
        <v>82</v>
      </c>
      <c r="E824" s="2">
        <v>50</v>
      </c>
      <c r="F824" s="2">
        <v>1016.06</v>
      </c>
    </row>
    <row r="825" spans="3:6" x14ac:dyDescent="0.25">
      <c r="C825" s="2" t="s">
        <v>1447</v>
      </c>
      <c r="D825" s="2" t="s">
        <v>82</v>
      </c>
      <c r="E825" s="2">
        <v>91</v>
      </c>
      <c r="F825" s="2">
        <v>1813.93</v>
      </c>
    </row>
    <row r="826" spans="3:6" x14ac:dyDescent="0.25">
      <c r="C826" s="2" t="s">
        <v>1448</v>
      </c>
      <c r="D826" s="2" t="s">
        <v>82</v>
      </c>
      <c r="E826" s="2">
        <v>19</v>
      </c>
      <c r="F826" s="2">
        <v>381.76</v>
      </c>
    </row>
    <row r="827" spans="3:6" x14ac:dyDescent="0.25">
      <c r="C827" s="2" t="s">
        <v>1449</v>
      </c>
      <c r="D827" s="2" t="s">
        <v>82</v>
      </c>
      <c r="E827" s="2">
        <v>31</v>
      </c>
      <c r="F827" s="2">
        <v>589.57</v>
      </c>
    </row>
    <row r="828" spans="3:6" x14ac:dyDescent="0.25">
      <c r="C828" s="2" t="s">
        <v>1450</v>
      </c>
      <c r="D828" s="2" t="s">
        <v>82</v>
      </c>
      <c r="E828" s="2">
        <v>102</v>
      </c>
      <c r="F828" s="2">
        <v>2037.32</v>
      </c>
    </row>
    <row r="830" spans="1:7" x14ac:dyDescent="0.25">
      <c r="A830" s="1">
        <v>46212</v>
      </c>
      <c r="B830" s="2" t="s">
        <v>7</v>
      </c>
      <c r="C830" s="2" t="s">
        <v>1451</v>
      </c>
      <c r="D830" s="2" t="s">
        <v>9</v>
      </c>
      <c r="E830" s="2">
        <v>98</v>
      </c>
      <c r="F830" s="2">
        <v>2055.01</v>
      </c>
      <c r="G830" s="1">
        <v>46211</v>
      </c>
    </row>
    <row r="831" spans="3:6" x14ac:dyDescent="0.25">
      <c r="C831" s="2" t="s">
        <v>1452</v>
      </c>
      <c r="D831" s="2" t="s">
        <v>9</v>
      </c>
      <c r="E831" s="2">
        <v>99</v>
      </c>
      <c r="F831" s="2">
        <v>1854.52</v>
      </c>
    </row>
    <row r="833" spans="1:7" x14ac:dyDescent="0.25">
      <c r="A833" s="1">
        <v>46212</v>
      </c>
      <c r="B833" s="2" t="s">
        <v>1453</v>
      </c>
      <c r="C833" s="2" t="s">
        <v>1454</v>
      </c>
      <c r="D833" s="2" t="s">
        <v>59</v>
      </c>
      <c r="E833" s="2">
        <v>268</v>
      </c>
      <c r="F833" s="2">
        <v>5127.51</v>
      </c>
      <c r="G833" s="1">
        <v>46210</v>
      </c>
    </row>
    <row r="834" spans="3:6" x14ac:dyDescent="0.25">
      <c r="C834" s="2" t="s">
        <v>1455</v>
      </c>
      <c r="D834" s="2" t="s">
        <v>59</v>
      </c>
      <c r="E834" s="2">
        <v>266</v>
      </c>
      <c r="F834" s="2">
        <v>5162.499</v>
      </c>
    </row>
    <row r="835" spans="3:6" x14ac:dyDescent="0.25">
      <c r="C835" s="2" t="s">
        <v>1456</v>
      </c>
      <c r="D835" s="2" t="s">
        <v>59</v>
      </c>
      <c r="E835" s="2">
        <v>105</v>
      </c>
      <c r="F835" s="2">
        <v>2093.91</v>
      </c>
    </row>
    <row r="836" spans="3:6" x14ac:dyDescent="0.25">
      <c r="C836" s="2" t="s">
        <v>1457</v>
      </c>
      <c r="D836" s="2" t="s">
        <v>59</v>
      </c>
      <c r="E836" s="2">
        <v>163</v>
      </c>
      <c r="F836" s="2">
        <v>3045.299</v>
      </c>
    </row>
    <row r="837" spans="3:6" x14ac:dyDescent="0.25">
      <c r="C837" s="2" t="s">
        <v>1458</v>
      </c>
      <c r="D837" s="2" t="s">
        <v>59</v>
      </c>
      <c r="E837" s="2">
        <v>206</v>
      </c>
      <c r="F837" s="2">
        <v>4087.249</v>
      </c>
    </row>
    <row r="838" spans="3:6" x14ac:dyDescent="0.25">
      <c r="C838" s="2" t="s">
        <v>1459</v>
      </c>
      <c r="D838" s="2" t="s">
        <v>59</v>
      </c>
      <c r="E838" s="2">
        <v>326</v>
      </c>
      <c r="F838" s="2">
        <v>6411.6</v>
      </c>
    </row>
    <row r="839" spans="3:6" x14ac:dyDescent="0.25">
      <c r="C839" s="2" t="s">
        <v>1460</v>
      </c>
      <c r="D839" s="2" t="s">
        <v>59</v>
      </c>
      <c r="E839" s="2">
        <v>163</v>
      </c>
      <c r="F839" s="2">
        <v>3272.2</v>
      </c>
    </row>
    <row r="841" spans="1:7" x14ac:dyDescent="0.25">
      <c r="A841" s="1">
        <v>46213</v>
      </c>
      <c r="B841" s="2" t="s">
        <v>229</v>
      </c>
      <c r="C841" s="2" t="s">
        <v>1461</v>
      </c>
      <c r="D841" s="2" t="s">
        <v>82</v>
      </c>
      <c r="E841" s="2">
        <v>93</v>
      </c>
      <c r="F841" s="2">
        <v>1796.219</v>
      </c>
      <c r="G841" s="1">
        <v>46212</v>
      </c>
    </row>
    <row r="842" spans="3:6" x14ac:dyDescent="0.25">
      <c r="C842" s="2" t="s">
        <v>1462</v>
      </c>
      <c r="D842" s="2" t="s">
        <v>82</v>
      </c>
      <c r="E842" s="2">
        <v>28</v>
      </c>
      <c r="F842" s="2">
        <v>579.51</v>
      </c>
    </row>
    <row r="843" spans="3:6" x14ac:dyDescent="0.25">
      <c r="C843" s="2" t="s">
        <v>1463</v>
      </c>
      <c r="D843" s="2" t="s">
        <v>82</v>
      </c>
      <c r="E843" s="2">
        <v>93</v>
      </c>
      <c r="F843" s="2">
        <v>1856.73</v>
      </c>
    </row>
    <row r="844" spans="3:6" x14ac:dyDescent="0.25">
      <c r="C844" s="2" t="s">
        <v>1464</v>
      </c>
      <c r="D844" s="2" t="s">
        <v>82</v>
      </c>
      <c r="E844" s="2">
        <v>17</v>
      </c>
      <c r="F844" s="2">
        <v>227.364</v>
      </c>
    </row>
    <row r="845" spans="3:6" x14ac:dyDescent="0.25">
      <c r="C845" s="2" t="s">
        <v>1465</v>
      </c>
      <c r="D845" s="2" t="s">
        <v>82</v>
      </c>
      <c r="E845" s="2">
        <v>71</v>
      </c>
      <c r="F845" s="2">
        <v>1465.49</v>
      </c>
    </row>
    <row r="846" spans="3:6" x14ac:dyDescent="0.25">
      <c r="C846" s="2" t="s">
        <v>1466</v>
      </c>
      <c r="D846" s="2" t="s">
        <v>82</v>
      </c>
      <c r="E846" s="2">
        <v>40</v>
      </c>
      <c r="F846" s="2">
        <v>837.91</v>
      </c>
    </row>
    <row r="847" spans="3:6" x14ac:dyDescent="0.25">
      <c r="C847" s="2" t="s">
        <v>1467</v>
      </c>
      <c r="D847" s="2" t="s">
        <v>82</v>
      </c>
      <c r="E847" s="2">
        <v>10</v>
      </c>
      <c r="F847" s="2">
        <v>212.93</v>
      </c>
    </row>
    <row r="848" spans="3:6" x14ac:dyDescent="0.25">
      <c r="C848" s="2" t="s">
        <v>1468</v>
      </c>
      <c r="D848" s="2" t="s">
        <v>82</v>
      </c>
      <c r="E848" s="2">
        <v>75</v>
      </c>
      <c r="F848" s="2">
        <v>1413.34</v>
      </c>
    </row>
    <row r="849" spans="3:6" x14ac:dyDescent="0.25">
      <c r="C849" s="2" t="s">
        <v>1469</v>
      </c>
      <c r="D849" s="2" t="s">
        <v>82</v>
      </c>
      <c r="E849" s="2">
        <v>60</v>
      </c>
      <c r="F849" s="2">
        <v>1190.42</v>
      </c>
    </row>
    <row r="850" spans="3:6" x14ac:dyDescent="0.25">
      <c r="C850" s="2" t="s">
        <v>1470</v>
      </c>
      <c r="D850" s="2" t="s">
        <v>82</v>
      </c>
      <c r="E850" s="2">
        <v>17</v>
      </c>
      <c r="F850" s="2">
        <v>330.86</v>
      </c>
    </row>
    <row r="851" spans="3:6" x14ac:dyDescent="0.25">
      <c r="C851" s="2" t="s">
        <v>1471</v>
      </c>
      <c r="D851" s="2" t="s">
        <v>82</v>
      </c>
      <c r="E851" s="2">
        <v>75</v>
      </c>
      <c r="F851" s="2">
        <v>1490.4</v>
      </c>
    </row>
    <row r="852" spans="3:6" x14ac:dyDescent="0.25">
      <c r="C852" s="2" t="s">
        <v>1472</v>
      </c>
      <c r="D852" s="2" t="s">
        <v>82</v>
      </c>
      <c r="E852" s="2">
        <v>10</v>
      </c>
      <c r="F852" s="2">
        <v>187.55</v>
      </c>
    </row>
    <row r="853" spans="3:6" x14ac:dyDescent="0.25">
      <c r="C853" s="2" t="s">
        <v>1473</v>
      </c>
      <c r="D853" s="2" t="s">
        <v>82</v>
      </c>
      <c r="E853" s="2">
        <v>3</v>
      </c>
      <c r="F853" s="2">
        <v>44.63</v>
      </c>
    </row>
    <row r="854" spans="3:6" x14ac:dyDescent="0.25">
      <c r="C854" s="2" t="s">
        <v>1474</v>
      </c>
      <c r="D854" s="2" t="s">
        <v>82</v>
      </c>
      <c r="E854" s="2">
        <v>72</v>
      </c>
      <c r="F854" s="2">
        <v>1467.009</v>
      </c>
    </row>
    <row r="855" spans="3:6" x14ac:dyDescent="0.25">
      <c r="C855" s="2" t="s">
        <v>1475</v>
      </c>
      <c r="D855" s="2" t="s">
        <v>82</v>
      </c>
      <c r="E855" s="2">
        <v>121</v>
      </c>
      <c r="F855" s="2">
        <v>2309.329</v>
      </c>
    </row>
    <row r="856" spans="3:6" x14ac:dyDescent="0.25">
      <c r="C856" s="2" t="s">
        <v>1476</v>
      </c>
      <c r="D856" s="2" t="s">
        <v>82</v>
      </c>
      <c r="E856" s="2">
        <v>25</v>
      </c>
      <c r="F856" s="2">
        <v>514.57</v>
      </c>
    </row>
    <row r="857" spans="3:6" x14ac:dyDescent="0.25">
      <c r="C857" s="2" t="s">
        <v>1477</v>
      </c>
      <c r="D857" s="2" t="s">
        <v>82</v>
      </c>
      <c r="E857" s="2">
        <v>25</v>
      </c>
      <c r="F857" s="2">
        <v>514.69</v>
      </c>
    </row>
    <row r="858" spans="3:6" x14ac:dyDescent="0.25">
      <c r="C858" s="2" t="s">
        <v>1478</v>
      </c>
      <c r="D858" s="2" t="s">
        <v>82</v>
      </c>
      <c r="E858" s="2">
        <v>15</v>
      </c>
      <c r="F858" s="2">
        <v>275.389</v>
      </c>
    </row>
    <row r="859" spans="3:6" x14ac:dyDescent="0.25">
      <c r="C859" s="2" t="s">
        <v>1479</v>
      </c>
      <c r="D859" s="2" t="s">
        <v>82</v>
      </c>
      <c r="E859" s="2">
        <v>76</v>
      </c>
      <c r="F859" s="2">
        <v>1471.15</v>
      </c>
    </row>
    <row r="860" spans="3:6" x14ac:dyDescent="0.25">
      <c r="C860" s="2" t="s">
        <v>1480</v>
      </c>
      <c r="D860" s="2" t="s">
        <v>82</v>
      </c>
      <c r="E860" s="2">
        <v>30</v>
      </c>
      <c r="F860" s="2">
        <v>135.31</v>
      </c>
    </row>
    <row r="861" spans="3:6" x14ac:dyDescent="0.25">
      <c r="C861" s="2" t="s">
        <v>1481</v>
      </c>
      <c r="D861" s="2" t="s">
        <v>82</v>
      </c>
      <c r="E861" s="2">
        <v>20</v>
      </c>
      <c r="F861" s="2">
        <v>364.78</v>
      </c>
    </row>
    <row r="862" spans="3:6" x14ac:dyDescent="0.25">
      <c r="C862" s="2" t="s">
        <v>1482</v>
      </c>
      <c r="D862" s="2" t="s">
        <v>82</v>
      </c>
      <c r="E862" s="2">
        <v>52</v>
      </c>
      <c r="F862" s="2">
        <v>1023.01</v>
      </c>
    </row>
    <row r="863" spans="3:6" x14ac:dyDescent="0.25">
      <c r="C863" s="2" t="s">
        <v>1483</v>
      </c>
      <c r="D863" s="2" t="s">
        <v>82</v>
      </c>
      <c r="E863" s="2">
        <v>44</v>
      </c>
      <c r="F863" s="2">
        <v>849.63</v>
      </c>
    </row>
    <row r="864" spans="3:6" x14ac:dyDescent="0.25">
      <c r="C864" s="2" t="s">
        <v>1484</v>
      </c>
      <c r="D864" s="2" t="s">
        <v>82</v>
      </c>
      <c r="E864" s="2">
        <v>24</v>
      </c>
      <c r="F864" s="2">
        <v>446.36</v>
      </c>
    </row>
    <row r="865" spans="3:6" x14ac:dyDescent="0.25">
      <c r="C865" s="2" t="s">
        <v>1485</v>
      </c>
      <c r="D865" s="2" t="s">
        <v>82</v>
      </c>
      <c r="E865" s="2">
        <v>141</v>
      </c>
      <c r="F865" s="2">
        <v>2744.148</v>
      </c>
    </row>
    <row r="866" spans="3:6" x14ac:dyDescent="0.25">
      <c r="C866" s="2" t="s">
        <v>1486</v>
      </c>
      <c r="D866" s="2" t="s">
        <v>82</v>
      </c>
      <c r="E866" s="2">
        <v>71</v>
      </c>
      <c r="F866" s="2">
        <v>1419.55</v>
      </c>
    </row>
    <row r="867" spans="3:6" x14ac:dyDescent="0.25">
      <c r="C867" s="2" t="s">
        <v>1487</v>
      </c>
      <c r="D867" s="2" t="s">
        <v>82</v>
      </c>
      <c r="E867" s="2">
        <v>70</v>
      </c>
      <c r="F867" s="2">
        <v>1244.979</v>
      </c>
    </row>
    <row r="868" spans="3:6" x14ac:dyDescent="0.25">
      <c r="C868" s="2" t="s">
        <v>1488</v>
      </c>
      <c r="D868" s="2" t="s">
        <v>82</v>
      </c>
      <c r="E868" s="2">
        <v>141</v>
      </c>
      <c r="F868" s="2">
        <v>2766.71</v>
      </c>
    </row>
    <row r="869" spans="3:6" x14ac:dyDescent="0.25">
      <c r="C869" s="2" t="s">
        <v>1489</v>
      </c>
      <c r="D869" s="2" t="s">
        <v>82</v>
      </c>
      <c r="E869" s="2">
        <v>42</v>
      </c>
      <c r="F869" s="2">
        <v>183.509</v>
      </c>
    </row>
    <row r="870" spans="3:6" x14ac:dyDescent="0.25">
      <c r="C870" s="2" t="s">
        <v>1490</v>
      </c>
      <c r="D870" s="2" t="s">
        <v>82</v>
      </c>
      <c r="E870" s="2">
        <v>37</v>
      </c>
      <c r="F870" s="2">
        <v>162.96</v>
      </c>
    </row>
    <row r="871" spans="3:6" x14ac:dyDescent="0.25">
      <c r="C871" s="2" t="s">
        <v>1491</v>
      </c>
      <c r="D871" s="2" t="s">
        <v>82</v>
      </c>
      <c r="E871" s="2">
        <v>27</v>
      </c>
      <c r="F871" s="2">
        <v>465.7</v>
      </c>
    </row>
    <row r="872" spans="3:6" x14ac:dyDescent="0.25">
      <c r="C872" s="2" t="s">
        <v>1492</v>
      </c>
      <c r="D872" s="2" t="s">
        <v>82</v>
      </c>
      <c r="E872" s="2">
        <v>29</v>
      </c>
      <c r="F872" s="2">
        <v>600.9</v>
      </c>
    </row>
    <row r="873" spans="3:6" x14ac:dyDescent="0.25">
      <c r="C873" s="2" t="s">
        <v>1493</v>
      </c>
      <c r="D873" s="2" t="s">
        <v>82</v>
      </c>
      <c r="E873" s="2">
        <v>85</v>
      </c>
      <c r="F873" s="2">
        <v>1703.05</v>
      </c>
    </row>
    <row r="874" spans="3:6" x14ac:dyDescent="0.25">
      <c r="C874" s="2" t="s">
        <v>1494</v>
      </c>
      <c r="D874" s="2" t="s">
        <v>82</v>
      </c>
      <c r="E874" s="2">
        <v>51</v>
      </c>
      <c r="F874" s="2">
        <v>908.549</v>
      </c>
    </row>
    <row r="875" spans="3:6" x14ac:dyDescent="0.25">
      <c r="C875" s="2" t="s">
        <v>1495</v>
      </c>
      <c r="D875" s="2" t="s">
        <v>82</v>
      </c>
      <c r="E875" s="2">
        <v>51</v>
      </c>
      <c r="F875" s="2">
        <v>993.34</v>
      </c>
    </row>
    <row r="876" spans="3:6" x14ac:dyDescent="0.25">
      <c r="C876" s="2" t="s">
        <v>1496</v>
      </c>
      <c r="D876" s="2" t="s">
        <v>82</v>
      </c>
      <c r="E876" s="2">
        <v>40</v>
      </c>
      <c r="F876" s="2">
        <v>778.91</v>
      </c>
    </row>
    <row r="877" spans="3:6" x14ac:dyDescent="0.25">
      <c r="C877" s="2" t="s">
        <v>1497</v>
      </c>
      <c r="D877" s="2" t="s">
        <v>82</v>
      </c>
      <c r="E877" s="2">
        <v>62</v>
      </c>
      <c r="F877" s="2">
        <v>1190.53</v>
      </c>
    </row>
    <row r="878" spans="3:6" x14ac:dyDescent="0.25">
      <c r="C878" s="2" t="s">
        <v>1498</v>
      </c>
      <c r="D878" s="2" t="s">
        <v>82</v>
      </c>
      <c r="E878" s="2">
        <v>62</v>
      </c>
      <c r="F878" s="2">
        <v>1024.619</v>
      </c>
    </row>
    <row r="879" spans="3:6" x14ac:dyDescent="0.25">
      <c r="C879" s="2" t="s">
        <v>1499</v>
      </c>
      <c r="D879" s="2" t="s">
        <v>82</v>
      </c>
      <c r="E879" s="2">
        <v>8</v>
      </c>
      <c r="F879" s="2">
        <v>152.41</v>
      </c>
    </row>
    <row r="880" spans="3:6" x14ac:dyDescent="0.25">
      <c r="C880" s="2" t="s">
        <v>1500</v>
      </c>
      <c r="D880" s="2" t="s">
        <v>82</v>
      </c>
      <c r="E880" s="2">
        <v>22</v>
      </c>
      <c r="F880" s="2">
        <v>344.57</v>
      </c>
    </row>
    <row r="881" spans="3:6" x14ac:dyDescent="0.25">
      <c r="C881" s="2" t="s">
        <v>1501</v>
      </c>
      <c r="D881" s="2" t="s">
        <v>82</v>
      </c>
      <c r="E881" s="2">
        <v>10</v>
      </c>
      <c r="F881" s="2">
        <v>170.12</v>
      </c>
    </row>
    <row r="882" spans="3:6" x14ac:dyDescent="0.25">
      <c r="C882" s="2" t="s">
        <v>1502</v>
      </c>
      <c r="D882" s="2" t="s">
        <v>82</v>
      </c>
      <c r="E882" s="2">
        <v>141</v>
      </c>
      <c r="F882" s="2">
        <v>2881.149</v>
      </c>
    </row>
    <row r="883" spans="3:6" x14ac:dyDescent="0.25">
      <c r="C883" s="2" t="s">
        <v>1503</v>
      </c>
      <c r="D883" s="2" t="s">
        <v>82</v>
      </c>
      <c r="E883" s="2">
        <v>141</v>
      </c>
      <c r="F883" s="2">
        <v>2769.789</v>
      </c>
    </row>
    <row r="884" spans="3:6" x14ac:dyDescent="0.25">
      <c r="C884" s="2" t="s">
        <v>1504</v>
      </c>
      <c r="D884" s="2" t="s">
        <v>82</v>
      </c>
      <c r="E884" s="2">
        <v>141</v>
      </c>
      <c r="F884" s="2">
        <v>2835.58</v>
      </c>
    </row>
    <row r="885" spans="3:6" x14ac:dyDescent="0.25">
      <c r="C885" s="2" t="s">
        <v>1505</v>
      </c>
      <c r="D885" s="2" t="s">
        <v>82</v>
      </c>
      <c r="E885" s="2">
        <v>64</v>
      </c>
      <c r="F885" s="2">
        <v>1312.9</v>
      </c>
    </row>
    <row r="886" spans="3:6" x14ac:dyDescent="0.25">
      <c r="C886" s="2" t="s">
        <v>1506</v>
      </c>
      <c r="D886" s="2" t="s">
        <v>82</v>
      </c>
      <c r="E886" s="2">
        <v>31</v>
      </c>
      <c r="F886" s="2">
        <v>651.23</v>
      </c>
    </row>
    <row r="887" spans="3:6" x14ac:dyDescent="0.25">
      <c r="C887" s="2" t="s">
        <v>1507</v>
      </c>
      <c r="D887" s="2" t="s">
        <v>82</v>
      </c>
      <c r="E887" s="2">
        <v>46</v>
      </c>
      <c r="F887" s="2">
        <v>941.02</v>
      </c>
    </row>
    <row r="888" spans="3:6" x14ac:dyDescent="0.25">
      <c r="C888" s="2" t="s">
        <v>1508</v>
      </c>
      <c r="D888" s="2" t="s">
        <v>82</v>
      </c>
      <c r="E888" s="2">
        <v>38</v>
      </c>
      <c r="F888" s="2">
        <v>748.62</v>
      </c>
    </row>
    <row r="889" spans="3:6" x14ac:dyDescent="0.25">
      <c r="C889" s="2" t="s">
        <v>1509</v>
      </c>
      <c r="D889" s="2" t="s">
        <v>82</v>
      </c>
      <c r="E889" s="2">
        <v>34</v>
      </c>
      <c r="F889" s="2">
        <v>666.33</v>
      </c>
    </row>
    <row r="890" spans="3:6" x14ac:dyDescent="0.25">
      <c r="C890" s="2" t="s">
        <v>1510</v>
      </c>
      <c r="D890" s="2" t="s">
        <v>82</v>
      </c>
      <c r="E890" s="2">
        <v>30</v>
      </c>
      <c r="F890" s="2">
        <v>575.63</v>
      </c>
    </row>
    <row r="891" spans="3:6" x14ac:dyDescent="0.25">
      <c r="C891" s="2" t="s">
        <v>1511</v>
      </c>
      <c r="D891" s="2" t="s">
        <v>82</v>
      </c>
      <c r="E891" s="2">
        <v>82</v>
      </c>
      <c r="F891" s="2">
        <v>1617.61</v>
      </c>
    </row>
    <row r="892" spans="3:6" x14ac:dyDescent="0.25">
      <c r="C892" s="2" t="s">
        <v>1512</v>
      </c>
      <c r="D892" s="2" t="s">
        <v>82</v>
      </c>
      <c r="E892" s="2">
        <v>53</v>
      </c>
      <c r="F892" s="2">
        <v>1047.11</v>
      </c>
    </row>
    <row r="893" spans="3:6" x14ac:dyDescent="0.25">
      <c r="C893" s="2" t="s">
        <v>1513</v>
      </c>
      <c r="D893" s="2" t="s">
        <v>82</v>
      </c>
      <c r="E893" s="2">
        <v>6</v>
      </c>
      <c r="F893" s="2">
        <v>112.01</v>
      </c>
    </row>
    <row r="894" spans="3:6" x14ac:dyDescent="0.25">
      <c r="C894" s="2" t="s">
        <v>1514</v>
      </c>
      <c r="D894" s="2" t="s">
        <v>82</v>
      </c>
      <c r="E894" s="2">
        <v>61</v>
      </c>
      <c r="F894" s="2">
        <v>1315.83</v>
      </c>
    </row>
    <row r="895" spans="3:6" x14ac:dyDescent="0.25">
      <c r="C895" s="2" t="s">
        <v>1515</v>
      </c>
      <c r="D895" s="2" t="s">
        <v>82</v>
      </c>
      <c r="E895" s="2">
        <v>37</v>
      </c>
      <c r="F895" s="2">
        <v>758.16</v>
      </c>
    </row>
    <row r="896" spans="3:6" x14ac:dyDescent="0.25">
      <c r="C896" s="2" t="s">
        <v>1516</v>
      </c>
      <c r="D896" s="2" t="s">
        <v>82</v>
      </c>
      <c r="E896" s="2">
        <v>34</v>
      </c>
      <c r="F896" s="2">
        <v>657.02</v>
      </c>
    </row>
    <row r="897" spans="3:6" x14ac:dyDescent="0.25">
      <c r="C897" s="2" t="s">
        <v>1517</v>
      </c>
      <c r="D897" s="2" t="s">
        <v>82</v>
      </c>
      <c r="E897" s="2">
        <v>9</v>
      </c>
      <c r="F897" s="2">
        <v>189.33</v>
      </c>
    </row>
    <row r="899" spans="1:7" x14ac:dyDescent="0.25">
      <c r="A899" s="1">
        <v>46213</v>
      </c>
      <c r="B899" s="2" t="s">
        <v>897</v>
      </c>
      <c r="C899" s="2" t="s">
        <v>1518</v>
      </c>
      <c r="D899" s="2" t="s">
        <v>292</v>
      </c>
      <c r="E899" s="2">
        <v>69</v>
      </c>
      <c r="F899" s="2">
        <v>1282.538</v>
      </c>
      <c r="G899" s="1">
        <v>46212</v>
      </c>
    </row>
    <row r="900" spans="3:6" x14ac:dyDescent="0.25">
      <c r="C900" s="2" t="s">
        <v>1519</v>
      </c>
      <c r="D900" s="2" t="s">
        <v>292</v>
      </c>
      <c r="E900" s="2">
        <v>31</v>
      </c>
      <c r="F900" s="2">
        <v>613.1</v>
      </c>
    </row>
    <row r="901" spans="3:6" x14ac:dyDescent="0.25">
      <c r="C901" s="2" t="s">
        <v>1520</v>
      </c>
      <c r="D901" s="2" t="s">
        <v>292</v>
      </c>
      <c r="E901" s="2">
        <v>50</v>
      </c>
      <c r="F901" s="2">
        <v>234.65</v>
      </c>
    </row>
    <row r="902" spans="3:6" x14ac:dyDescent="0.25">
      <c r="C902" s="2" t="s">
        <v>1521</v>
      </c>
      <c r="D902" s="2" t="s">
        <v>292</v>
      </c>
      <c r="E902" s="2">
        <v>141</v>
      </c>
      <c r="F902" s="2">
        <v>3140.35</v>
      </c>
    </row>
    <row r="903" spans="3:6" x14ac:dyDescent="0.25">
      <c r="C903" s="2" t="s">
        <v>1522</v>
      </c>
      <c r="D903" s="2" t="s">
        <v>292</v>
      </c>
      <c r="E903" s="2">
        <v>141</v>
      </c>
      <c r="F903" s="2">
        <v>2716.088</v>
      </c>
    </row>
    <row r="904" spans="3:6" x14ac:dyDescent="0.25">
      <c r="C904" s="2" t="s">
        <v>1523</v>
      </c>
      <c r="D904" s="2" t="s">
        <v>292</v>
      </c>
      <c r="E904" s="2">
        <v>141</v>
      </c>
      <c r="F904" s="2">
        <v>3107.74</v>
      </c>
    </row>
    <row r="905" spans="3:6" x14ac:dyDescent="0.25">
      <c r="C905" s="2" t="s">
        <v>1524</v>
      </c>
      <c r="D905" s="2" t="s">
        <v>292</v>
      </c>
      <c r="E905" s="2">
        <v>141</v>
      </c>
      <c r="F905" s="2">
        <v>2820.72</v>
      </c>
    </row>
    <row r="906" spans="3:6" x14ac:dyDescent="0.25">
      <c r="C906" s="2" t="s">
        <v>1525</v>
      </c>
      <c r="D906" s="2" t="s">
        <v>292</v>
      </c>
      <c r="E906" s="2">
        <v>43</v>
      </c>
      <c r="F906" s="2">
        <v>841.29</v>
      </c>
    </row>
    <row r="907" spans="3:6" x14ac:dyDescent="0.25">
      <c r="C907" s="2" t="s">
        <v>1526</v>
      </c>
      <c r="D907" s="2" t="s">
        <v>292</v>
      </c>
      <c r="E907" s="2">
        <v>32</v>
      </c>
      <c r="F907" s="2">
        <v>763.15</v>
      </c>
    </row>
    <row r="908" spans="3:6" x14ac:dyDescent="0.25">
      <c r="C908" s="2" t="s">
        <v>1527</v>
      </c>
      <c r="D908" s="2" t="s">
        <v>292</v>
      </c>
      <c r="E908" s="2">
        <v>123</v>
      </c>
      <c r="F908" s="2">
        <v>2408.03</v>
      </c>
    </row>
    <row r="909" spans="3:6" x14ac:dyDescent="0.25">
      <c r="C909" s="2" t="s">
        <v>1528</v>
      </c>
      <c r="D909" s="2" t="s">
        <v>292</v>
      </c>
      <c r="E909" s="2">
        <v>134</v>
      </c>
      <c r="F909" s="2">
        <v>2532.77</v>
      </c>
    </row>
    <row r="910" spans="3:6" x14ac:dyDescent="0.25">
      <c r="C910" s="2" t="s">
        <v>1529</v>
      </c>
      <c r="D910" s="2" t="s">
        <v>292</v>
      </c>
      <c r="E910" s="2">
        <v>45</v>
      </c>
      <c r="F910" s="2">
        <v>229.99</v>
      </c>
    </row>
    <row r="911" spans="3:6" x14ac:dyDescent="0.25">
      <c r="C911" s="2" t="s">
        <v>1530</v>
      </c>
      <c r="D911" s="2" t="s">
        <v>292</v>
      </c>
      <c r="E911" s="2">
        <v>21</v>
      </c>
      <c r="F911" s="2">
        <v>375.87</v>
      </c>
    </row>
    <row r="912" spans="3:6" x14ac:dyDescent="0.25">
      <c r="C912" s="2" t="s">
        <v>1531</v>
      </c>
      <c r="D912" s="2" t="s">
        <v>292</v>
      </c>
      <c r="E912" s="2">
        <v>34</v>
      </c>
      <c r="F912" s="2">
        <v>676.59</v>
      </c>
    </row>
    <row r="913" spans="3:6" x14ac:dyDescent="0.25">
      <c r="C913" s="2" t="s">
        <v>1532</v>
      </c>
      <c r="D913" s="2" t="s">
        <v>292</v>
      </c>
      <c r="E913" s="2">
        <v>107</v>
      </c>
      <c r="F913" s="2">
        <v>2074.13</v>
      </c>
    </row>
    <row r="914" spans="3:6" x14ac:dyDescent="0.25">
      <c r="C914" s="2" t="s">
        <v>1533</v>
      </c>
      <c r="D914" s="2" t="s">
        <v>292</v>
      </c>
      <c r="E914" s="2">
        <v>80</v>
      </c>
      <c r="F914" s="2">
        <v>1734.73</v>
      </c>
    </row>
    <row r="915" spans="3:6" x14ac:dyDescent="0.25">
      <c r="C915" s="2" t="s">
        <v>1534</v>
      </c>
      <c r="D915" s="2" t="s">
        <v>292</v>
      </c>
      <c r="E915" s="2">
        <v>34</v>
      </c>
      <c r="F915" s="2">
        <v>629.209</v>
      </c>
    </row>
    <row r="916" spans="3:6" x14ac:dyDescent="0.25">
      <c r="C916" s="2" t="s">
        <v>1535</v>
      </c>
      <c r="D916" s="2" t="s">
        <v>292</v>
      </c>
      <c r="E916" s="2">
        <v>61</v>
      </c>
      <c r="F916" s="2">
        <v>1234.12</v>
      </c>
    </row>
    <row r="917" spans="3:6" x14ac:dyDescent="0.25">
      <c r="C917" s="2" t="s">
        <v>1536</v>
      </c>
      <c r="D917" s="2" t="s">
        <v>292</v>
      </c>
      <c r="E917" s="2">
        <v>123</v>
      </c>
      <c r="F917" s="2">
        <v>2441.999</v>
      </c>
    </row>
    <row r="918" spans="3:6" x14ac:dyDescent="0.25">
      <c r="C918" s="2" t="s">
        <v>1537</v>
      </c>
      <c r="D918" s="2" t="s">
        <v>292</v>
      </c>
      <c r="E918" s="2">
        <v>65</v>
      </c>
      <c r="F918" s="2">
        <v>1276.79</v>
      </c>
    </row>
    <row r="919" spans="3:6" x14ac:dyDescent="0.25">
      <c r="C919" s="2" t="s">
        <v>1538</v>
      </c>
      <c r="D919" s="2" t="s">
        <v>292</v>
      </c>
      <c r="E919" s="2">
        <v>10</v>
      </c>
      <c r="F919" s="2">
        <v>195.15</v>
      </c>
    </row>
    <row r="920" spans="3:6" x14ac:dyDescent="0.25">
      <c r="C920" s="2" t="s">
        <v>1539</v>
      </c>
      <c r="D920" s="2" t="s">
        <v>292</v>
      </c>
      <c r="E920" s="2">
        <v>42</v>
      </c>
      <c r="F920" s="2">
        <v>939.15</v>
      </c>
    </row>
    <row r="921" spans="3:6" x14ac:dyDescent="0.25">
      <c r="C921" s="2" t="s">
        <v>1540</v>
      </c>
      <c r="D921" s="2" t="s">
        <v>292</v>
      </c>
      <c r="E921" s="2">
        <v>58</v>
      </c>
      <c r="F921" s="2">
        <v>1152.4</v>
      </c>
    </row>
    <row r="922" spans="3:6" x14ac:dyDescent="0.25">
      <c r="C922" s="2" t="s">
        <v>1541</v>
      </c>
      <c r="D922" s="2" t="s">
        <v>292</v>
      </c>
      <c r="E922" s="2">
        <v>99</v>
      </c>
      <c r="F922" s="2">
        <v>1825.26</v>
      </c>
    </row>
    <row r="923" spans="3:6" x14ac:dyDescent="0.25">
      <c r="C923" s="2" t="s">
        <v>1542</v>
      </c>
      <c r="D923" s="2" t="s">
        <v>292</v>
      </c>
      <c r="E923" s="2">
        <v>83</v>
      </c>
      <c r="F923" s="2">
        <v>1576.77</v>
      </c>
    </row>
    <row r="924" spans="3:6" x14ac:dyDescent="0.25">
      <c r="C924" s="2" t="s">
        <v>1543</v>
      </c>
      <c r="D924" s="2" t="s">
        <v>292</v>
      </c>
      <c r="E924" s="2">
        <v>33</v>
      </c>
      <c r="F924" s="2">
        <v>636.79</v>
      </c>
    </row>
    <row r="925" spans="3:6" x14ac:dyDescent="0.25">
      <c r="C925" s="2" t="s">
        <v>1544</v>
      </c>
      <c r="D925" s="2" t="s">
        <v>292</v>
      </c>
      <c r="E925" s="2">
        <v>23</v>
      </c>
      <c r="F925" s="2">
        <v>438.17</v>
      </c>
    </row>
    <row r="926" spans="3:6" x14ac:dyDescent="0.25">
      <c r="C926" s="2" t="s">
        <v>1545</v>
      </c>
      <c r="D926" s="2" t="s">
        <v>292</v>
      </c>
      <c r="E926" s="2">
        <v>22</v>
      </c>
      <c r="F926" s="2">
        <v>389.91</v>
      </c>
    </row>
    <row r="927" spans="3:6" x14ac:dyDescent="0.25">
      <c r="C927" s="2" t="s">
        <v>1546</v>
      </c>
      <c r="D927" s="2" t="s">
        <v>292</v>
      </c>
      <c r="E927" s="2">
        <v>60</v>
      </c>
      <c r="F927" s="2">
        <v>292.03</v>
      </c>
    </row>
    <row r="928" spans="3:6" x14ac:dyDescent="0.25">
      <c r="C928" s="2" t="s">
        <v>1547</v>
      </c>
      <c r="D928" s="2" t="s">
        <v>292</v>
      </c>
      <c r="E928" s="2">
        <v>100</v>
      </c>
      <c r="F928" s="2">
        <v>1822.959</v>
      </c>
    </row>
    <row r="929" spans="3:6" x14ac:dyDescent="0.25">
      <c r="C929" s="2" t="s">
        <v>1548</v>
      </c>
      <c r="D929" s="2" t="s">
        <v>292</v>
      </c>
      <c r="E929" s="2">
        <v>15</v>
      </c>
      <c r="F929" s="2">
        <v>279.895</v>
      </c>
    </row>
    <row r="930" spans="3:6" x14ac:dyDescent="0.25">
      <c r="C930" s="2" t="s">
        <v>1549</v>
      </c>
      <c r="D930" s="2" t="s">
        <v>292</v>
      </c>
      <c r="E930" s="2">
        <v>49</v>
      </c>
      <c r="F930" s="2">
        <v>909.51</v>
      </c>
    </row>
    <row r="931" spans="3:6" x14ac:dyDescent="0.25">
      <c r="C931" s="2" t="s">
        <v>1550</v>
      </c>
      <c r="D931" s="2" t="s">
        <v>292</v>
      </c>
      <c r="E931" s="2">
        <v>55</v>
      </c>
      <c r="F931" s="2">
        <v>1051.539</v>
      </c>
    </row>
    <row r="932" spans="3:6" x14ac:dyDescent="0.25">
      <c r="C932" s="2" t="s">
        <v>1551</v>
      </c>
      <c r="D932" s="2" t="s">
        <v>292</v>
      </c>
      <c r="E932" s="2">
        <v>22</v>
      </c>
      <c r="F932" s="2">
        <v>524.11</v>
      </c>
    </row>
    <row r="933" spans="3:6" x14ac:dyDescent="0.25">
      <c r="C933" s="2" t="s">
        <v>1552</v>
      </c>
      <c r="D933" s="2" t="s">
        <v>292</v>
      </c>
      <c r="E933" s="2">
        <v>36</v>
      </c>
      <c r="F933" s="2">
        <v>692.529</v>
      </c>
    </row>
    <row r="934" spans="3:6" x14ac:dyDescent="0.25">
      <c r="C934" s="2" t="s">
        <v>1553</v>
      </c>
      <c r="D934" s="2" t="s">
        <v>292</v>
      </c>
      <c r="E934" s="2">
        <v>48</v>
      </c>
      <c r="F934" s="2">
        <v>925.289</v>
      </c>
    </row>
    <row r="935" spans="3:6" x14ac:dyDescent="0.25">
      <c r="C935" s="2" t="s">
        <v>1554</v>
      </c>
      <c r="D935" s="2" t="s">
        <v>292</v>
      </c>
      <c r="E935" s="2">
        <v>21</v>
      </c>
      <c r="F935" s="2">
        <v>331.91</v>
      </c>
    </row>
    <row r="936" spans="3:6" x14ac:dyDescent="0.25">
      <c r="C936" s="2" t="s">
        <v>1555</v>
      </c>
      <c r="D936" s="2" t="s">
        <v>292</v>
      </c>
      <c r="E936" s="2">
        <v>36</v>
      </c>
      <c r="F936" s="2">
        <v>729.02</v>
      </c>
    </row>
    <row r="937" spans="3:6" x14ac:dyDescent="0.25">
      <c r="C937" s="2" t="s">
        <v>1556</v>
      </c>
      <c r="D937" s="2" t="s">
        <v>292</v>
      </c>
      <c r="E937" s="2">
        <v>42</v>
      </c>
      <c r="F937" s="2">
        <v>866.49</v>
      </c>
    </row>
    <row r="938" spans="3:6" x14ac:dyDescent="0.25">
      <c r="C938" s="2" t="s">
        <v>1557</v>
      </c>
      <c r="D938" s="2" t="s">
        <v>292</v>
      </c>
      <c r="E938" s="2">
        <v>33</v>
      </c>
      <c r="F938" s="2">
        <v>588.09</v>
      </c>
    </row>
    <row r="939" spans="3:6" x14ac:dyDescent="0.25">
      <c r="C939" s="2" t="s">
        <v>1558</v>
      </c>
      <c r="D939" s="2" t="s">
        <v>292</v>
      </c>
      <c r="E939" s="2">
        <v>8</v>
      </c>
      <c r="F939" s="2">
        <v>138.1</v>
      </c>
    </row>
    <row r="940" spans="3:6" x14ac:dyDescent="0.25">
      <c r="C940" s="2" t="s">
        <v>1559</v>
      </c>
      <c r="D940" s="2" t="s">
        <v>292</v>
      </c>
      <c r="E940" s="2">
        <v>92</v>
      </c>
      <c r="F940" s="2">
        <v>2012.24</v>
      </c>
    </row>
    <row r="941" spans="3:6" x14ac:dyDescent="0.25">
      <c r="C941" s="2" t="s">
        <v>1560</v>
      </c>
      <c r="D941" s="2" t="s">
        <v>292</v>
      </c>
      <c r="E941" s="2">
        <v>58</v>
      </c>
      <c r="F941" s="2">
        <v>1162.92</v>
      </c>
    </row>
    <row r="942" spans="3:6" x14ac:dyDescent="0.25">
      <c r="C942" s="2" t="s">
        <v>1561</v>
      </c>
      <c r="D942" s="2" t="s">
        <v>292</v>
      </c>
      <c r="E942" s="2">
        <v>55</v>
      </c>
      <c r="F942" s="2">
        <v>1104.009</v>
      </c>
    </row>
    <row r="943" spans="3:6" x14ac:dyDescent="0.25">
      <c r="C943" s="2" t="s">
        <v>1562</v>
      </c>
      <c r="D943" s="2" t="s">
        <v>292</v>
      </c>
      <c r="E943" s="2">
        <v>10</v>
      </c>
      <c r="F943" s="2">
        <v>144.79</v>
      </c>
    </row>
    <row r="944" spans="3:6" x14ac:dyDescent="0.25">
      <c r="C944" s="2" t="s">
        <v>1563</v>
      </c>
      <c r="D944" s="2" t="s">
        <v>292</v>
      </c>
      <c r="E944" s="2">
        <v>67</v>
      </c>
      <c r="F944" s="2">
        <v>1367.41</v>
      </c>
    </row>
    <row r="945" spans="3:6" x14ac:dyDescent="0.25">
      <c r="C945" s="2" t="s">
        <v>1564</v>
      </c>
      <c r="D945" s="2" t="s">
        <v>292</v>
      </c>
      <c r="E945" s="2">
        <v>123</v>
      </c>
      <c r="F945" s="2">
        <v>2363.62</v>
      </c>
    </row>
    <row r="946" spans="3:6" x14ac:dyDescent="0.25">
      <c r="C946" s="2" t="s">
        <v>1565</v>
      </c>
      <c r="D946" s="2" t="s">
        <v>292</v>
      </c>
      <c r="E946" s="2">
        <v>47</v>
      </c>
      <c r="F946" s="2">
        <v>880.38</v>
      </c>
    </row>
    <row r="947" spans="3:6" x14ac:dyDescent="0.25">
      <c r="C947" s="2" t="s">
        <v>1566</v>
      </c>
      <c r="D947" s="2" t="s">
        <v>292</v>
      </c>
      <c r="E947" s="2">
        <v>63</v>
      </c>
      <c r="F947" s="2">
        <v>1383.97</v>
      </c>
    </row>
    <row r="948" spans="3:6" x14ac:dyDescent="0.25">
      <c r="C948" s="2" t="s">
        <v>1567</v>
      </c>
      <c r="D948" s="2" t="s">
        <v>292</v>
      </c>
      <c r="E948" s="2">
        <v>11</v>
      </c>
      <c r="F948" s="2">
        <v>114.01</v>
      </c>
    </row>
    <row r="949" spans="3:6" x14ac:dyDescent="0.25">
      <c r="C949" s="2" t="s">
        <v>1568</v>
      </c>
      <c r="D949" s="2" t="s">
        <v>292</v>
      </c>
      <c r="E949" s="2">
        <v>29</v>
      </c>
      <c r="F949" s="2">
        <v>585.65</v>
      </c>
    </row>
    <row r="951" spans="1:7" x14ac:dyDescent="0.25">
      <c r="A951" s="1">
        <v>46213</v>
      </c>
      <c r="B951" s="2" t="s">
        <v>290</v>
      </c>
      <c r="C951" s="2" t="s">
        <v>1569</v>
      </c>
      <c r="D951" s="2" t="s">
        <v>178</v>
      </c>
      <c r="E951" s="2">
        <v>123</v>
      </c>
      <c r="F951" s="2">
        <v>2476.9</v>
      </c>
      <c r="G951" s="1">
        <v>46213</v>
      </c>
    </row>
    <row r="952" spans="3:6" x14ac:dyDescent="0.25">
      <c r="C952" s="2" t="s">
        <v>1570</v>
      </c>
      <c r="D952" s="2" t="s">
        <v>178</v>
      </c>
      <c r="E952" s="2">
        <v>123</v>
      </c>
      <c r="F952" s="2">
        <v>2419.47</v>
      </c>
    </row>
    <row r="953" spans="3:6" x14ac:dyDescent="0.25">
      <c r="C953" s="2" t="s">
        <v>1571</v>
      </c>
      <c r="D953" s="2" t="s">
        <v>178</v>
      </c>
      <c r="E953" s="2">
        <v>123</v>
      </c>
      <c r="F953" s="2">
        <v>2493.02</v>
      </c>
    </row>
    <row r="954" spans="3:6" x14ac:dyDescent="0.25">
      <c r="C954" s="2" t="s">
        <v>1572</v>
      </c>
      <c r="D954" s="2" t="s">
        <v>178</v>
      </c>
      <c r="E954" s="2">
        <v>134</v>
      </c>
      <c r="F954" s="2">
        <v>2567.99</v>
      </c>
    </row>
    <row r="955" spans="3:6" x14ac:dyDescent="0.25">
      <c r="C955" s="2" t="s">
        <v>1573</v>
      </c>
      <c r="D955" s="2" t="s">
        <v>178</v>
      </c>
      <c r="E955" s="2">
        <v>75</v>
      </c>
      <c r="F955" s="2">
        <v>321.014</v>
      </c>
    </row>
    <row r="956" spans="3:6" x14ac:dyDescent="0.25">
      <c r="C956" s="2" t="s">
        <v>1574</v>
      </c>
      <c r="D956" s="2" t="s">
        <v>178</v>
      </c>
      <c r="E956" s="2">
        <v>102</v>
      </c>
      <c r="F956" s="2">
        <v>2091.14</v>
      </c>
    </row>
    <row r="957" spans="3:6" x14ac:dyDescent="0.25">
      <c r="C957" s="2" t="s">
        <v>1575</v>
      </c>
      <c r="D957" s="2" t="s">
        <v>178</v>
      </c>
      <c r="E957" s="2">
        <v>141</v>
      </c>
      <c r="F957" s="2">
        <v>2878.65</v>
      </c>
    </row>
    <row r="958" spans="3:6" x14ac:dyDescent="0.25">
      <c r="C958" s="2" t="s">
        <v>1576</v>
      </c>
      <c r="D958" s="2" t="s">
        <v>178</v>
      </c>
      <c r="E958" s="2">
        <v>141</v>
      </c>
      <c r="F958" s="2">
        <v>2876.97</v>
      </c>
    </row>
    <row r="959" spans="3:6" x14ac:dyDescent="0.25">
      <c r="C959" s="2" t="s">
        <v>1577</v>
      </c>
      <c r="D959" s="2" t="s">
        <v>178</v>
      </c>
      <c r="E959" s="2">
        <v>123</v>
      </c>
      <c r="F959" s="2">
        <v>2420.76</v>
      </c>
    </row>
    <row r="960" spans="3:6" x14ac:dyDescent="0.25">
      <c r="C960" s="2" t="s">
        <v>1578</v>
      </c>
      <c r="D960" s="2" t="s">
        <v>178</v>
      </c>
      <c r="E960" s="2">
        <v>142</v>
      </c>
      <c r="F960" s="2">
        <v>2933.8</v>
      </c>
    </row>
    <row r="961" spans="3:6" x14ac:dyDescent="0.25">
      <c r="C961" s="2" t="s">
        <v>1579</v>
      </c>
      <c r="D961" s="2" t="s">
        <v>178</v>
      </c>
      <c r="E961" s="2">
        <v>141</v>
      </c>
      <c r="F961" s="2">
        <v>2906.82</v>
      </c>
    </row>
    <row r="962" spans="3:6" x14ac:dyDescent="0.25">
      <c r="C962" s="2" t="s">
        <v>1580</v>
      </c>
      <c r="D962" s="2" t="s">
        <v>178</v>
      </c>
      <c r="E962" s="2">
        <v>142</v>
      </c>
      <c r="F962" s="2">
        <v>2854.21</v>
      </c>
    </row>
    <row r="963" spans="3:6" x14ac:dyDescent="0.25">
      <c r="C963" s="2" t="s">
        <v>1581</v>
      </c>
      <c r="D963" s="2" t="s">
        <v>178</v>
      </c>
      <c r="E963" s="2">
        <v>105</v>
      </c>
      <c r="F963" s="2">
        <v>1909.529</v>
      </c>
    </row>
    <row r="964" spans="3:6" x14ac:dyDescent="0.25">
      <c r="C964" s="2" t="s">
        <v>1582</v>
      </c>
      <c r="D964" s="2" t="s">
        <v>178</v>
      </c>
      <c r="E964" s="2">
        <v>75</v>
      </c>
      <c r="F964" s="2">
        <v>337.82</v>
      </c>
    </row>
    <row r="965" spans="3:6" x14ac:dyDescent="0.25">
      <c r="C965" s="2" t="s">
        <v>1583</v>
      </c>
      <c r="D965" s="2" t="s">
        <v>178</v>
      </c>
      <c r="E965" s="2">
        <v>141</v>
      </c>
      <c r="F965" s="2">
        <v>2760.629</v>
      </c>
    </row>
    <row r="966" spans="3:6" x14ac:dyDescent="0.25">
      <c r="C966" s="2" t="s">
        <v>1584</v>
      </c>
      <c r="D966" s="2" t="s">
        <v>178</v>
      </c>
      <c r="E966" s="2">
        <v>141</v>
      </c>
      <c r="F966" s="2">
        <v>2496.748</v>
      </c>
    </row>
    <row r="967" spans="3:6" x14ac:dyDescent="0.25">
      <c r="C967" s="2" t="s">
        <v>1585</v>
      </c>
      <c r="D967" s="2" t="s">
        <v>178</v>
      </c>
      <c r="E967" s="2">
        <v>141</v>
      </c>
      <c r="F967" s="2">
        <v>2731.419</v>
      </c>
    </row>
    <row r="968" spans="3:6" x14ac:dyDescent="0.25">
      <c r="C968" s="2" t="s">
        <v>1586</v>
      </c>
      <c r="D968" s="2" t="s">
        <v>178</v>
      </c>
      <c r="E968" s="2">
        <v>141</v>
      </c>
      <c r="F968" s="2">
        <v>2702.11</v>
      </c>
    </row>
    <row r="969" spans="3:6" x14ac:dyDescent="0.25">
      <c r="C969" s="2" t="s">
        <v>1587</v>
      </c>
      <c r="D969" s="2" t="s">
        <v>178</v>
      </c>
      <c r="E969" s="2">
        <v>141</v>
      </c>
      <c r="F969" s="2">
        <v>2813.51</v>
      </c>
    </row>
    <row r="970" spans="3:6" x14ac:dyDescent="0.25">
      <c r="C970" s="2" t="s">
        <v>1588</v>
      </c>
      <c r="D970" s="2" t="s">
        <v>178</v>
      </c>
      <c r="E970" s="2">
        <v>143</v>
      </c>
      <c r="F970" s="2">
        <v>2550.779</v>
      </c>
    </row>
    <row r="971" spans="3:6" x14ac:dyDescent="0.25">
      <c r="C971" s="2" t="s">
        <v>1589</v>
      </c>
      <c r="D971" s="2" t="s">
        <v>178</v>
      </c>
      <c r="E971" s="2">
        <v>141</v>
      </c>
      <c r="F971" s="2">
        <v>2552.679</v>
      </c>
    </row>
    <row r="972" spans="3:6" x14ac:dyDescent="0.25">
      <c r="C972" s="2" t="s">
        <v>1590</v>
      </c>
      <c r="D972" s="2" t="s">
        <v>178</v>
      </c>
      <c r="E972" s="2">
        <v>74</v>
      </c>
      <c r="F972" s="2">
        <v>1440.41</v>
      </c>
    </row>
    <row r="973" spans="3:6" x14ac:dyDescent="0.25">
      <c r="C973" s="2" t="s">
        <v>1591</v>
      </c>
      <c r="D973" s="2" t="s">
        <v>178</v>
      </c>
      <c r="E973" s="2">
        <v>28</v>
      </c>
      <c r="F973" s="2">
        <v>574.569</v>
      </c>
    </row>
    <row r="974" spans="3:6" x14ac:dyDescent="0.25">
      <c r="C974" s="2" t="s">
        <v>1592</v>
      </c>
      <c r="D974" s="2" t="s">
        <v>178</v>
      </c>
      <c r="E974" s="2">
        <v>141</v>
      </c>
      <c r="F974" s="2">
        <v>2862.55</v>
      </c>
    </row>
    <row r="975" spans="3:6" x14ac:dyDescent="0.25">
      <c r="C975" s="2" t="s">
        <v>1593</v>
      </c>
      <c r="D975" s="2" t="s">
        <v>178</v>
      </c>
      <c r="E975" s="2">
        <v>141</v>
      </c>
      <c r="F975" s="2">
        <v>2730.468</v>
      </c>
    </row>
    <row r="976" spans="3:6" x14ac:dyDescent="0.25">
      <c r="C976" s="2" t="s">
        <v>1594</v>
      </c>
      <c r="D976" s="2" t="s">
        <v>178</v>
      </c>
      <c r="E976" s="2">
        <v>141</v>
      </c>
      <c r="F976" s="2">
        <v>2723.78</v>
      </c>
    </row>
    <row r="977" spans="3:6" x14ac:dyDescent="0.25">
      <c r="C977" s="2" t="s">
        <v>1595</v>
      </c>
      <c r="D977" s="2" t="s">
        <v>178</v>
      </c>
      <c r="E977" s="2">
        <v>102</v>
      </c>
      <c r="F977" s="2">
        <v>2060.4</v>
      </c>
    </row>
    <row r="978" spans="3:6" x14ac:dyDescent="0.25">
      <c r="C978" s="2" t="s">
        <v>1596</v>
      </c>
      <c r="D978" s="2" t="s">
        <v>178</v>
      </c>
      <c r="E978" s="2">
        <v>44</v>
      </c>
      <c r="F978" s="2">
        <v>893.7</v>
      </c>
    </row>
    <row r="979" spans="3:6" x14ac:dyDescent="0.25">
      <c r="C979" s="2" t="s">
        <v>1597</v>
      </c>
      <c r="D979" s="2" t="s">
        <v>178</v>
      </c>
      <c r="E979" s="2">
        <v>25</v>
      </c>
      <c r="F979" s="2">
        <v>479.79</v>
      </c>
    </row>
    <row r="980" spans="3:6" x14ac:dyDescent="0.25">
      <c r="C980" s="2" t="s">
        <v>1598</v>
      </c>
      <c r="D980" s="2" t="s">
        <v>178</v>
      </c>
      <c r="E980" s="2">
        <v>11</v>
      </c>
      <c r="F980" s="2">
        <v>225.58</v>
      </c>
    </row>
    <row r="981" spans="3:6" x14ac:dyDescent="0.25">
      <c r="C981" s="2" t="s">
        <v>1599</v>
      </c>
      <c r="D981" s="2" t="s">
        <v>178</v>
      </c>
      <c r="E981" s="2">
        <v>23</v>
      </c>
      <c r="F981" s="2">
        <v>401.409</v>
      </c>
    </row>
    <row r="982" spans="3:6" x14ac:dyDescent="0.25">
      <c r="C982" s="2" t="s">
        <v>1600</v>
      </c>
      <c r="D982" s="2" t="s">
        <v>178</v>
      </c>
      <c r="E982" s="2">
        <v>14</v>
      </c>
      <c r="F982" s="2">
        <v>92.91</v>
      </c>
    </row>
    <row r="983" spans="3:6" x14ac:dyDescent="0.25">
      <c r="C983" s="2" t="s">
        <v>1601</v>
      </c>
      <c r="D983" s="2" t="s">
        <v>178</v>
      </c>
      <c r="E983" s="2">
        <v>5</v>
      </c>
      <c r="F983" s="2">
        <v>91.31</v>
      </c>
    </row>
    <row r="984" spans="3:6" x14ac:dyDescent="0.25">
      <c r="C984" s="2" t="s">
        <v>1602</v>
      </c>
      <c r="D984" s="2" t="s">
        <v>178</v>
      </c>
      <c r="E984" s="2">
        <v>3</v>
      </c>
      <c r="F984" s="2">
        <v>49.17</v>
      </c>
    </row>
    <row r="985" spans="3:6" x14ac:dyDescent="0.25">
      <c r="C985" s="2" t="s">
        <v>1603</v>
      </c>
      <c r="D985" s="2" t="s">
        <v>178</v>
      </c>
      <c r="E985" s="2">
        <v>1</v>
      </c>
      <c r="F985" s="2">
        <v>0.83</v>
      </c>
    </row>
    <row r="986" spans="3:6" x14ac:dyDescent="0.25">
      <c r="C986" s="2" t="s">
        <v>1604</v>
      </c>
      <c r="D986" s="2" t="s">
        <v>178</v>
      </c>
      <c r="E986" s="2">
        <v>37</v>
      </c>
      <c r="F986" s="2">
        <v>687.54</v>
      </c>
    </row>
    <row r="987" spans="3:6" x14ac:dyDescent="0.25">
      <c r="C987" s="2" t="s">
        <v>1605</v>
      </c>
      <c r="D987" s="2" t="s">
        <v>178</v>
      </c>
      <c r="E987" s="2">
        <v>20</v>
      </c>
      <c r="F987" s="2">
        <v>394.15</v>
      </c>
    </row>
    <row r="988" spans="3:6" x14ac:dyDescent="0.25">
      <c r="C988" s="2" t="s">
        <v>1606</v>
      </c>
      <c r="D988" s="2" t="s">
        <v>178</v>
      </c>
      <c r="E988" s="2">
        <v>55</v>
      </c>
      <c r="F988" s="2">
        <v>1054.269</v>
      </c>
    </row>
    <row r="989" spans="3:6" x14ac:dyDescent="0.25">
      <c r="C989" s="2" t="s">
        <v>1607</v>
      </c>
      <c r="D989" s="2" t="s">
        <v>178</v>
      </c>
      <c r="E989" s="2">
        <v>47</v>
      </c>
      <c r="F989" s="2">
        <v>806.31</v>
      </c>
    </row>
    <row r="990" spans="3:6" x14ac:dyDescent="0.25">
      <c r="C990" s="2" t="s">
        <v>1608</v>
      </c>
      <c r="D990" s="2" t="s">
        <v>178</v>
      </c>
      <c r="E990" s="2">
        <v>102</v>
      </c>
      <c r="F990" s="2">
        <v>2115.23</v>
      </c>
    </row>
    <row r="991" spans="3:6" x14ac:dyDescent="0.25">
      <c r="C991" s="2" t="s">
        <v>1609</v>
      </c>
      <c r="D991" s="2" t="s">
        <v>178</v>
      </c>
      <c r="E991" s="2">
        <v>90</v>
      </c>
      <c r="F991" s="2">
        <v>1849.65</v>
      </c>
    </row>
    <row r="992" spans="3:6" x14ac:dyDescent="0.25">
      <c r="C992" s="2" t="s">
        <v>1610</v>
      </c>
      <c r="D992" s="2" t="s">
        <v>178</v>
      </c>
      <c r="E992" s="2">
        <v>51</v>
      </c>
      <c r="F992" s="2">
        <v>1074.46</v>
      </c>
    </row>
    <row r="993" spans="3:6" x14ac:dyDescent="0.25">
      <c r="C993" s="2" t="s">
        <v>1611</v>
      </c>
      <c r="D993" s="2" t="s">
        <v>178</v>
      </c>
      <c r="E993" s="2">
        <v>109</v>
      </c>
      <c r="F993" s="2">
        <v>2294.22</v>
      </c>
    </row>
    <row r="994" spans="3:6" x14ac:dyDescent="0.25">
      <c r="C994" s="2" t="s">
        <v>1612</v>
      </c>
      <c r="D994" s="2" t="s">
        <v>178</v>
      </c>
      <c r="E994" s="2">
        <v>32</v>
      </c>
      <c r="F994" s="2">
        <v>659.55</v>
      </c>
    </row>
    <row r="996" spans="1:7" x14ac:dyDescent="0.25">
      <c r="A996" s="1">
        <v>46213</v>
      </c>
      <c r="B996" s="2" t="s">
        <v>7</v>
      </c>
      <c r="C996" s="2" t="s">
        <v>1613</v>
      </c>
      <c r="D996" s="2" t="s">
        <v>9</v>
      </c>
      <c r="E996" s="2">
        <v>150</v>
      </c>
      <c r="F996" s="2">
        <v>3008.018</v>
      </c>
      <c r="G996" s="1">
        <v>46212</v>
      </c>
    </row>
    <row r="997" spans="3:6" x14ac:dyDescent="0.25">
      <c r="C997" s="2" t="s">
        <v>1614</v>
      </c>
      <c r="D997" s="2" t="s">
        <v>9</v>
      </c>
      <c r="E997" s="2">
        <v>150</v>
      </c>
      <c r="F997" s="2">
        <v>3040.388</v>
      </c>
    </row>
    <row r="998" spans="3:6" x14ac:dyDescent="0.25">
      <c r="C998" s="2" t="s">
        <v>1615</v>
      </c>
      <c r="D998" s="2" t="s">
        <v>9</v>
      </c>
      <c r="E998" s="2">
        <v>80</v>
      </c>
      <c r="F998" s="2">
        <v>1672.09</v>
      </c>
    </row>
    <row r="1000" spans="1:7" x14ac:dyDescent="0.25">
      <c r="A1000" s="1">
        <v>46213</v>
      </c>
      <c r="B1000" s="2" t="s">
        <v>7</v>
      </c>
      <c r="C1000" s="2" t="s">
        <v>1616</v>
      </c>
      <c r="D1000" s="2" t="s">
        <v>9</v>
      </c>
      <c r="E1000" s="2">
        <v>99</v>
      </c>
      <c r="F1000" s="2">
        <v>1912.398</v>
      </c>
      <c r="G1000" s="1">
        <v>46213</v>
      </c>
    </row>
    <row r="1001" spans="3:6" x14ac:dyDescent="0.25">
      <c r="C1001" s="2" t="s">
        <v>1617</v>
      </c>
      <c r="D1001" s="2" t="s">
        <v>9</v>
      </c>
      <c r="E1001" s="2">
        <v>99</v>
      </c>
      <c r="F1001" s="2">
        <v>1802.799</v>
      </c>
    </row>
    <row r="1003" spans="1:7" x14ac:dyDescent="0.25">
      <c r="A1003" s="1">
        <v>46213</v>
      </c>
      <c r="B1003" s="2" t="s">
        <v>420</v>
      </c>
      <c r="C1003" s="2" t="s">
        <v>1618</v>
      </c>
      <c r="D1003" s="2" t="s">
        <v>59</v>
      </c>
      <c r="E1003" s="2">
        <v>268</v>
      </c>
      <c r="F1003" s="2">
        <v>5309.069</v>
      </c>
      <c r="G1003" s="1">
        <v>46212</v>
      </c>
    </row>
    <row r="1004" spans="3:6" x14ac:dyDescent="0.25">
      <c r="C1004" s="2" t="s">
        <v>1619</v>
      </c>
      <c r="D1004" s="2" t="s">
        <v>59</v>
      </c>
      <c r="E1004" s="2">
        <v>163</v>
      </c>
      <c r="F1004" s="2">
        <v>3146.31</v>
      </c>
    </row>
    <row r="1005" spans="3:6" x14ac:dyDescent="0.25">
      <c r="C1005" s="2" t="s">
        <v>1620</v>
      </c>
      <c r="D1005" s="2" t="s">
        <v>59</v>
      </c>
      <c r="E1005" s="2">
        <v>105</v>
      </c>
      <c r="F1005" s="2">
        <v>2081.76</v>
      </c>
    </row>
    <row r="1006" spans="3:6" x14ac:dyDescent="0.25">
      <c r="C1006" s="2" t="s">
        <v>1621</v>
      </c>
      <c r="D1006" s="2" t="s">
        <v>59</v>
      </c>
      <c r="E1006" s="2">
        <v>210</v>
      </c>
      <c r="F1006" s="2">
        <v>3945.897</v>
      </c>
    </row>
    <row r="1007" spans="3:6" x14ac:dyDescent="0.25">
      <c r="C1007" s="2" t="s">
        <v>1622</v>
      </c>
      <c r="D1007" s="2" t="s">
        <v>59</v>
      </c>
      <c r="E1007" s="2">
        <v>159</v>
      </c>
      <c r="F1007" s="2">
        <v>2875.719</v>
      </c>
    </row>
    <row r="1008" spans="3:6" x14ac:dyDescent="0.25">
      <c r="C1008" s="2" t="s">
        <v>1623</v>
      </c>
      <c r="D1008" s="2" t="s">
        <v>59</v>
      </c>
      <c r="E1008" s="2">
        <v>163</v>
      </c>
      <c r="F1008" s="2">
        <v>3138.33</v>
      </c>
    </row>
    <row r="1009" spans="3:6" x14ac:dyDescent="0.25">
      <c r="C1009" s="2" t="s">
        <v>1624</v>
      </c>
      <c r="D1009" s="2" t="s">
        <v>59</v>
      </c>
      <c r="E1009" s="2">
        <v>163</v>
      </c>
      <c r="F1009" s="2">
        <v>3203.329</v>
      </c>
    </row>
    <row r="1010" spans="3:6" x14ac:dyDescent="0.25">
      <c r="C1010" s="2" t="s">
        <v>1625</v>
      </c>
      <c r="D1010" s="2" t="s">
        <v>59</v>
      </c>
      <c r="E1010" s="2">
        <v>268</v>
      </c>
      <c r="F1010" s="2">
        <v>5478.94</v>
      </c>
    </row>
    <row r="1012" spans="1:7" x14ac:dyDescent="0.25">
      <c r="A1012" s="1">
        <v>46213</v>
      </c>
      <c r="B1012" s="2" t="s">
        <v>1626</v>
      </c>
      <c r="C1012" s="2" t="s">
        <v>1627</v>
      </c>
      <c r="D1012" s="2" t="s">
        <v>59</v>
      </c>
      <c r="E1012" s="2">
        <v>149</v>
      </c>
      <c r="F1012" s="2">
        <v>2875.869</v>
      </c>
      <c r="G1012" s="1">
        <v>46212</v>
      </c>
    </row>
    <row r="1013" spans="3:6" x14ac:dyDescent="0.25">
      <c r="C1013" s="2" t="s">
        <v>1628</v>
      </c>
      <c r="D1013" s="2" t="s">
        <v>59</v>
      </c>
      <c r="E1013" s="2">
        <v>142</v>
      </c>
      <c r="F1013" s="2">
        <v>2906.01</v>
      </c>
    </row>
    <row r="1014" spans="3:6" x14ac:dyDescent="0.25">
      <c r="C1014" s="2" t="s">
        <v>1629</v>
      </c>
      <c r="D1014" s="2" t="s">
        <v>59</v>
      </c>
      <c r="E1014" s="2">
        <v>249</v>
      </c>
      <c r="F1014" s="2">
        <v>4688.006</v>
      </c>
    </row>
    <row r="1015" spans="3:6" x14ac:dyDescent="0.25">
      <c r="C1015" s="2" t="s">
        <v>1630</v>
      </c>
      <c r="D1015" s="2" t="s">
        <v>59</v>
      </c>
      <c r="E1015" s="2">
        <v>102</v>
      </c>
      <c r="F1015" s="2">
        <v>2053.649</v>
      </c>
    </row>
    <row r="1017" spans="1:7" x14ac:dyDescent="0.25">
      <c r="A1017" s="1">
        <v>46213</v>
      </c>
      <c r="B1017" s="2" t="s">
        <v>1631</v>
      </c>
      <c r="C1017" s="2" t="s">
        <v>1632</v>
      </c>
      <c r="D1017" s="2" t="s">
        <v>59</v>
      </c>
      <c r="E1017" s="2">
        <v>149</v>
      </c>
      <c r="F1017" s="2">
        <v>3035.258</v>
      </c>
      <c r="G1017" s="1">
        <v>46211</v>
      </c>
    </row>
    <row r="1019" spans="1:7" x14ac:dyDescent="0.25">
      <c r="A1019" s="1">
        <v>46214</v>
      </c>
      <c r="B1019" s="2" t="s">
        <v>71</v>
      </c>
      <c r="C1019" s="2" t="s">
        <v>1633</v>
      </c>
      <c r="D1019" s="2" t="s">
        <v>73</v>
      </c>
      <c r="E1019" s="2">
        <v>90</v>
      </c>
      <c r="F1019" s="2">
        <v>1820.78</v>
      </c>
      <c r="G1019" s="1">
        <v>46212</v>
      </c>
    </row>
    <row r="1020" spans="3:6" x14ac:dyDescent="0.25">
      <c r="C1020" s="2" t="s">
        <v>1634</v>
      </c>
      <c r="D1020" s="2" t="s">
        <v>73</v>
      </c>
      <c r="E1020" s="2">
        <v>12</v>
      </c>
      <c r="F1020" s="2">
        <v>168.98</v>
      </c>
    </row>
    <row r="1021" spans="3:6" x14ac:dyDescent="0.25">
      <c r="C1021" s="2" t="s">
        <v>1635</v>
      </c>
      <c r="D1021" s="2" t="s">
        <v>73</v>
      </c>
      <c r="E1021" s="2">
        <v>44</v>
      </c>
      <c r="F1021" s="2">
        <v>705.73</v>
      </c>
    </row>
    <row r="1022" spans="3:6" x14ac:dyDescent="0.25">
      <c r="C1022" s="2" t="s">
        <v>1636</v>
      </c>
      <c r="D1022" s="2" t="s">
        <v>73</v>
      </c>
      <c r="E1022" s="2">
        <v>32</v>
      </c>
      <c r="F1022" s="2">
        <v>572.15</v>
      </c>
    </row>
    <row r="1023" spans="3:6" x14ac:dyDescent="0.25">
      <c r="C1023" s="2" t="s">
        <v>1637</v>
      </c>
      <c r="D1023" s="2" t="s">
        <v>73</v>
      </c>
      <c r="E1023" s="2">
        <v>11</v>
      </c>
      <c r="F1023" s="2">
        <v>235</v>
      </c>
    </row>
    <row r="1024" spans="3:6" x14ac:dyDescent="0.25">
      <c r="C1024" s="2" t="s">
        <v>1638</v>
      </c>
      <c r="D1024" s="2" t="s">
        <v>73</v>
      </c>
      <c r="E1024" s="2">
        <v>101</v>
      </c>
      <c r="F1024" s="2">
        <v>1977.359</v>
      </c>
    </row>
    <row r="1026" spans="1:7" x14ac:dyDescent="0.25">
      <c r="A1026" s="1">
        <v>46214</v>
      </c>
      <c r="B1026" s="2" t="s">
        <v>7</v>
      </c>
      <c r="C1026" s="2" t="s">
        <v>1639</v>
      </c>
      <c r="D1026" s="2" t="s">
        <v>9</v>
      </c>
      <c r="E1026" s="2">
        <v>99</v>
      </c>
      <c r="F1026" s="2">
        <v>2065.658</v>
      </c>
      <c r="G1026" s="1">
        <v>46213</v>
      </c>
    </row>
    <row r="1027" spans="3:6" x14ac:dyDescent="0.25">
      <c r="C1027" s="2" t="s">
        <v>1640</v>
      </c>
      <c r="D1027" s="2" t="s">
        <v>9</v>
      </c>
      <c r="E1027" s="2">
        <v>99</v>
      </c>
      <c r="F1027" s="2">
        <v>2016.679</v>
      </c>
    </row>
    <row r="1029" spans="1:7" x14ac:dyDescent="0.25">
      <c r="A1029" s="1">
        <v>46214</v>
      </c>
      <c r="B1029" s="2" t="s">
        <v>1009</v>
      </c>
      <c r="C1029" s="2" t="s">
        <v>1641</v>
      </c>
      <c r="D1029" s="2" t="s">
        <v>82</v>
      </c>
      <c r="E1029" s="2">
        <v>141</v>
      </c>
      <c r="F1029" s="2">
        <v>2834.66</v>
      </c>
      <c r="G1029" s="1">
        <v>46213</v>
      </c>
    </row>
    <row r="1031" spans="1:7" x14ac:dyDescent="0.25">
      <c r="A1031" s="1">
        <v>46214</v>
      </c>
      <c r="B1031" s="2" t="s">
        <v>57</v>
      </c>
      <c r="C1031" s="2" t="s">
        <v>1642</v>
      </c>
      <c r="D1031" s="2" t="s">
        <v>59</v>
      </c>
      <c r="E1031" s="2">
        <v>163</v>
      </c>
      <c r="F1031" s="2">
        <v>3094.98</v>
      </c>
      <c r="G1031" s="1">
        <v>46216</v>
      </c>
    </row>
    <row r="1032" spans="3:6" x14ac:dyDescent="0.25">
      <c r="C1032" s="2" t="s">
        <v>1643</v>
      </c>
      <c r="D1032" s="2" t="s">
        <v>59</v>
      </c>
      <c r="E1032" s="2">
        <v>65</v>
      </c>
      <c r="F1032" s="2">
        <v>1497.578</v>
      </c>
    </row>
    <row r="1033" spans="3:6" x14ac:dyDescent="0.25">
      <c r="C1033" s="2" t="s">
        <v>1644</v>
      </c>
      <c r="D1033" s="2" t="s">
        <v>59</v>
      </c>
      <c r="E1033" s="2">
        <v>163</v>
      </c>
      <c r="F1033" s="2">
        <v>3097.009</v>
      </c>
    </row>
    <row r="1034" spans="3:6" x14ac:dyDescent="0.25">
      <c r="C1034" s="2" t="s">
        <v>1645</v>
      </c>
      <c r="D1034" s="2" t="s">
        <v>59</v>
      </c>
      <c r="E1034" s="2">
        <v>105</v>
      </c>
      <c r="F1034" s="2">
        <v>2018.799</v>
      </c>
    </row>
    <row r="1035" spans="3:6" x14ac:dyDescent="0.25">
      <c r="C1035" s="2" t="s">
        <v>1646</v>
      </c>
      <c r="D1035" s="2" t="s">
        <v>59</v>
      </c>
      <c r="E1035" s="2">
        <v>319</v>
      </c>
      <c r="F1035" s="2">
        <v>6174.89</v>
      </c>
    </row>
    <row r="1036" spans="3:6" x14ac:dyDescent="0.25">
      <c r="C1036" s="2" t="s">
        <v>1647</v>
      </c>
      <c r="D1036" s="2" t="s">
        <v>59</v>
      </c>
      <c r="E1036" s="2">
        <v>105</v>
      </c>
      <c r="F1036" s="2">
        <v>2031.86</v>
      </c>
    </row>
    <row r="1037" spans="3:6" x14ac:dyDescent="0.25">
      <c r="C1037" s="2" t="s">
        <v>1648</v>
      </c>
      <c r="D1037" s="2" t="s">
        <v>59</v>
      </c>
      <c r="E1037" s="2">
        <v>163</v>
      </c>
      <c r="F1037" s="2">
        <v>3135.829</v>
      </c>
    </row>
    <row r="1038" spans="3:6" x14ac:dyDescent="0.25">
      <c r="C1038" s="2" t="s">
        <v>1649</v>
      </c>
      <c r="D1038" s="2" t="s">
        <v>59</v>
      </c>
      <c r="E1038" s="2">
        <v>268</v>
      </c>
      <c r="F1038" s="2">
        <v>5404.03</v>
      </c>
    </row>
    <row r="1039" spans="3:6" x14ac:dyDescent="0.25">
      <c r="C1039" s="2" t="s">
        <v>1650</v>
      </c>
      <c r="D1039" s="2" t="s">
        <v>59</v>
      </c>
      <c r="E1039" s="2">
        <v>105</v>
      </c>
      <c r="F1039" s="2">
        <v>2144.8</v>
      </c>
    </row>
    <row r="1041" spans="1:7" x14ac:dyDescent="0.25">
      <c r="A1041" s="1">
        <v>46215</v>
      </c>
      <c r="B1041" s="2" t="s">
        <v>1651</v>
      </c>
      <c r="C1041" s="2" t="s">
        <v>1652</v>
      </c>
      <c r="D1041" s="2" t="s">
        <v>73</v>
      </c>
      <c r="E1041" s="2">
        <v>93</v>
      </c>
      <c r="F1041" s="2">
        <v>1825.479</v>
      </c>
      <c r="G1041" s="1">
        <v>46213</v>
      </c>
    </row>
    <row r="1042" spans="3:6" x14ac:dyDescent="0.25">
      <c r="C1042" s="2" t="s">
        <v>1653</v>
      </c>
      <c r="D1042" s="2" t="s">
        <v>73</v>
      </c>
      <c r="E1042" s="2">
        <v>86</v>
      </c>
      <c r="F1042" s="2">
        <v>1735.718</v>
      </c>
    </row>
    <row r="1043" spans="3:6" x14ac:dyDescent="0.25">
      <c r="C1043" s="2" t="s">
        <v>1654</v>
      </c>
      <c r="D1043" s="2" t="s">
        <v>73</v>
      </c>
      <c r="E1043" s="2">
        <v>47</v>
      </c>
      <c r="F1043" s="2">
        <v>854.22</v>
      </c>
    </row>
    <row r="1044" spans="3:6" x14ac:dyDescent="0.25">
      <c r="C1044" s="2" t="s">
        <v>1655</v>
      </c>
      <c r="D1044" s="2" t="s">
        <v>73</v>
      </c>
      <c r="E1044" s="2">
        <v>42</v>
      </c>
      <c r="F1044" s="2">
        <v>739.039</v>
      </c>
    </row>
    <row r="1045" spans="3:6" x14ac:dyDescent="0.25">
      <c r="C1045" s="2" t="s">
        <v>1656</v>
      </c>
      <c r="D1045" s="2" t="s">
        <v>73</v>
      </c>
      <c r="E1045" s="2">
        <v>11</v>
      </c>
      <c r="F1045" s="2">
        <v>231.75</v>
      </c>
    </row>
    <row r="1047" spans="1:7" x14ac:dyDescent="0.25">
      <c r="A1047" s="1">
        <v>46215</v>
      </c>
      <c r="B1047" s="2" t="s">
        <v>1032</v>
      </c>
      <c r="C1047" s="2" t="s">
        <v>1657</v>
      </c>
      <c r="D1047" s="2" t="s">
        <v>73</v>
      </c>
      <c r="E1047" s="2">
        <v>24</v>
      </c>
      <c r="F1047" s="2">
        <v>482.09</v>
      </c>
      <c r="G1047" s="1">
        <v>46216</v>
      </c>
    </row>
    <row r="1048" spans="3:6" x14ac:dyDescent="0.25">
      <c r="C1048" s="2" t="s">
        <v>1658</v>
      </c>
      <c r="D1048" s="2" t="s">
        <v>73</v>
      </c>
      <c r="E1048" s="2">
        <v>32</v>
      </c>
      <c r="F1048" s="2">
        <v>529.019</v>
      </c>
    </row>
    <row r="1049" spans="3:6" x14ac:dyDescent="0.25">
      <c r="C1049" s="2" t="s">
        <v>1659</v>
      </c>
      <c r="D1049" s="2" t="s">
        <v>73</v>
      </c>
      <c r="E1049" s="2">
        <v>36</v>
      </c>
      <c r="F1049" s="2">
        <v>628.388</v>
      </c>
    </row>
    <row r="1050" spans="3:6" x14ac:dyDescent="0.25">
      <c r="C1050" s="2" t="s">
        <v>1660</v>
      </c>
      <c r="D1050" s="2" t="s">
        <v>73</v>
      </c>
      <c r="E1050" s="2">
        <v>93</v>
      </c>
      <c r="F1050" s="2">
        <v>1876.36</v>
      </c>
    </row>
    <row r="1051" spans="3:6" x14ac:dyDescent="0.25">
      <c r="C1051" s="2" t="s">
        <v>1661</v>
      </c>
      <c r="D1051" s="2" t="s">
        <v>73</v>
      </c>
      <c r="E1051" s="2">
        <v>86</v>
      </c>
      <c r="F1051" s="2">
        <v>1798.2</v>
      </c>
    </row>
    <row r="1053" spans="1:7" x14ac:dyDescent="0.25">
      <c r="A1053" s="1">
        <v>46215</v>
      </c>
      <c r="B1053" s="2" t="s">
        <v>71</v>
      </c>
      <c r="C1053" s="2" t="s">
        <v>1662</v>
      </c>
      <c r="D1053" s="2" t="s">
        <v>73</v>
      </c>
      <c r="E1053" s="2">
        <v>93</v>
      </c>
      <c r="F1053" s="2">
        <v>1907.62</v>
      </c>
      <c r="G1053" s="1">
        <v>46216</v>
      </c>
    </row>
    <row r="1054" spans="3:6" x14ac:dyDescent="0.25">
      <c r="C1054" s="2" t="s">
        <v>1663</v>
      </c>
      <c r="D1054" s="2" t="s">
        <v>73</v>
      </c>
      <c r="E1054" s="2">
        <v>92</v>
      </c>
      <c r="F1054" s="2">
        <v>1792.02</v>
      </c>
    </row>
    <row r="1055" spans="3:6" x14ac:dyDescent="0.25">
      <c r="C1055" s="2" t="s">
        <v>1664</v>
      </c>
      <c r="D1055" s="2" t="s">
        <v>73</v>
      </c>
      <c r="E1055" s="2">
        <v>48</v>
      </c>
      <c r="F1055" s="2">
        <v>895.63</v>
      </c>
    </row>
    <row r="1056" spans="3:6" x14ac:dyDescent="0.25">
      <c r="C1056" s="2" t="s">
        <v>1665</v>
      </c>
      <c r="D1056" s="2" t="s">
        <v>73</v>
      </c>
      <c r="E1056" s="2">
        <v>52</v>
      </c>
      <c r="F1056" s="2">
        <v>935.42</v>
      </c>
    </row>
    <row r="1057" spans="3:6" x14ac:dyDescent="0.25">
      <c r="C1057" s="2" t="s">
        <v>1666</v>
      </c>
      <c r="D1057" s="2" t="s">
        <v>73</v>
      </c>
      <c r="E1057" s="2">
        <v>12</v>
      </c>
      <c r="F1057" s="2">
        <v>235.52</v>
      </c>
    </row>
    <row r="1058" spans="3:6" x14ac:dyDescent="0.25">
      <c r="C1058" s="2" t="s">
        <v>1667</v>
      </c>
      <c r="D1058" s="2" t="s">
        <v>73</v>
      </c>
      <c r="E1058" s="2">
        <v>16</v>
      </c>
      <c r="F1058" s="2">
        <v>265.589</v>
      </c>
    </row>
    <row r="1059" spans="3:6" x14ac:dyDescent="0.25">
      <c r="C1059" s="2" t="s">
        <v>1668</v>
      </c>
      <c r="D1059" s="2" t="s">
        <v>73</v>
      </c>
      <c r="E1059" s="2">
        <v>65</v>
      </c>
      <c r="F1059" s="2">
        <v>1264.91</v>
      </c>
    </row>
    <row r="1060" spans="3:6" x14ac:dyDescent="0.25">
      <c r="C1060" s="2" t="s">
        <v>1669</v>
      </c>
      <c r="D1060" s="2" t="s">
        <v>73</v>
      </c>
      <c r="E1060" s="2">
        <v>8</v>
      </c>
      <c r="F1060" s="2">
        <v>152.45</v>
      </c>
    </row>
    <row r="1062" spans="1:7" x14ac:dyDescent="0.25">
      <c r="A1062" s="1">
        <v>46215</v>
      </c>
      <c r="B1062" s="2" t="s">
        <v>80</v>
      </c>
      <c r="C1062" s="2" t="s">
        <v>1670</v>
      </c>
      <c r="D1062" s="2" t="s">
        <v>82</v>
      </c>
      <c r="E1062" s="2">
        <v>60</v>
      </c>
      <c r="F1062" s="2">
        <v>1180.579</v>
      </c>
      <c r="G1062" s="1">
        <v>46216</v>
      </c>
    </row>
    <row r="1063" spans="3:6" x14ac:dyDescent="0.25">
      <c r="C1063" s="2" t="s">
        <v>1671</v>
      </c>
      <c r="D1063" s="2" t="s">
        <v>82</v>
      </c>
      <c r="E1063" s="2">
        <v>42</v>
      </c>
      <c r="F1063" s="2">
        <v>780.81</v>
      </c>
    </row>
    <row r="1064" spans="3:6" x14ac:dyDescent="0.25">
      <c r="C1064" s="2" t="s">
        <v>1672</v>
      </c>
      <c r="D1064" s="2" t="s">
        <v>82</v>
      </c>
      <c r="E1064" s="2">
        <v>50</v>
      </c>
      <c r="F1064" s="2">
        <v>897.05</v>
      </c>
    </row>
    <row r="1065" spans="3:6" x14ac:dyDescent="0.25">
      <c r="C1065" s="2" t="s">
        <v>1673</v>
      </c>
      <c r="D1065" s="2" t="s">
        <v>82</v>
      </c>
      <c r="E1065" s="2">
        <v>45</v>
      </c>
      <c r="F1065" s="2">
        <v>929.76</v>
      </c>
    </row>
    <row r="1066" spans="3:6" x14ac:dyDescent="0.25">
      <c r="C1066" s="2" t="s">
        <v>1674</v>
      </c>
      <c r="D1066" s="2" t="s">
        <v>82</v>
      </c>
      <c r="E1066" s="2">
        <v>48</v>
      </c>
      <c r="F1066" s="2">
        <v>982.63</v>
      </c>
    </row>
    <row r="1067" spans="3:6" x14ac:dyDescent="0.25">
      <c r="C1067" s="2" t="s">
        <v>1675</v>
      </c>
      <c r="D1067" s="2" t="s">
        <v>82</v>
      </c>
      <c r="E1067" s="2">
        <v>40</v>
      </c>
      <c r="F1067" s="2">
        <v>830.9</v>
      </c>
    </row>
    <row r="1068" spans="3:6" x14ac:dyDescent="0.25">
      <c r="C1068" s="2" t="s">
        <v>1676</v>
      </c>
      <c r="D1068" s="2" t="s">
        <v>82</v>
      </c>
      <c r="E1068" s="2">
        <v>35</v>
      </c>
      <c r="F1068" s="2">
        <v>712.84</v>
      </c>
    </row>
    <row r="1069" spans="3:6" x14ac:dyDescent="0.25">
      <c r="C1069" s="2" t="s">
        <v>1677</v>
      </c>
      <c r="D1069" s="2" t="s">
        <v>82</v>
      </c>
      <c r="E1069" s="2">
        <v>71</v>
      </c>
      <c r="F1069" s="2">
        <v>301.969</v>
      </c>
    </row>
    <row r="1070" spans="3:6" x14ac:dyDescent="0.25">
      <c r="C1070" s="2" t="s">
        <v>1678</v>
      </c>
      <c r="D1070" s="2" t="s">
        <v>82</v>
      </c>
      <c r="E1070" s="2">
        <v>82</v>
      </c>
      <c r="F1070" s="2">
        <v>353.069</v>
      </c>
    </row>
    <row r="1071" spans="3:6" x14ac:dyDescent="0.25">
      <c r="C1071" s="2" t="s">
        <v>1679</v>
      </c>
      <c r="D1071" s="2" t="s">
        <v>82</v>
      </c>
      <c r="E1071" s="2">
        <v>141</v>
      </c>
      <c r="F1071" s="2">
        <v>2896.77</v>
      </c>
    </row>
    <row r="1072" spans="3:6" x14ac:dyDescent="0.25">
      <c r="C1072" s="2" t="s">
        <v>1680</v>
      </c>
      <c r="D1072" s="2" t="s">
        <v>82</v>
      </c>
      <c r="E1072" s="2">
        <v>141</v>
      </c>
      <c r="F1072" s="2">
        <v>2914.239</v>
      </c>
    </row>
    <row r="1073" spans="3:6" x14ac:dyDescent="0.25">
      <c r="C1073" s="2" t="s">
        <v>1681</v>
      </c>
      <c r="D1073" s="2" t="s">
        <v>82</v>
      </c>
      <c r="E1073" s="2">
        <v>140</v>
      </c>
      <c r="F1073" s="2">
        <v>912.596</v>
      </c>
    </row>
    <row r="1074" spans="3:6" x14ac:dyDescent="0.25">
      <c r="C1074" s="2" t="s">
        <v>1682</v>
      </c>
      <c r="D1074" s="2" t="s">
        <v>82</v>
      </c>
      <c r="E1074" s="2">
        <v>130</v>
      </c>
      <c r="F1074" s="2">
        <v>1847.7</v>
      </c>
    </row>
    <row r="1075" spans="3:6" x14ac:dyDescent="0.25">
      <c r="C1075" s="2" t="s">
        <v>1683</v>
      </c>
      <c r="D1075" s="2" t="s">
        <v>82</v>
      </c>
      <c r="E1075" s="2">
        <v>127</v>
      </c>
      <c r="F1075" s="2">
        <v>1840.019</v>
      </c>
    </row>
    <row r="1076" spans="3:6" x14ac:dyDescent="0.25">
      <c r="C1076" s="2" t="s">
        <v>1684</v>
      </c>
      <c r="D1076" s="2" t="s">
        <v>82</v>
      </c>
      <c r="E1076" s="2">
        <v>121</v>
      </c>
      <c r="F1076" s="2">
        <v>1183.346</v>
      </c>
    </row>
    <row r="1077" spans="3:6" x14ac:dyDescent="0.25">
      <c r="C1077" s="2" t="s">
        <v>1685</v>
      </c>
      <c r="D1077" s="2" t="s">
        <v>82</v>
      </c>
      <c r="E1077" s="2">
        <v>121</v>
      </c>
      <c r="F1077" s="2">
        <v>1135.519</v>
      </c>
    </row>
    <row r="1078" spans="3:6" x14ac:dyDescent="0.25">
      <c r="C1078" s="2" t="s">
        <v>1686</v>
      </c>
      <c r="D1078" s="2" t="s">
        <v>82</v>
      </c>
      <c r="E1078" s="2">
        <v>121</v>
      </c>
      <c r="F1078" s="2">
        <v>1496.696</v>
      </c>
    </row>
    <row r="1079" spans="3:6" x14ac:dyDescent="0.25">
      <c r="C1079" s="2" t="s">
        <v>1687</v>
      </c>
      <c r="D1079" s="2" t="s">
        <v>82</v>
      </c>
      <c r="E1079" s="2">
        <v>22</v>
      </c>
      <c r="F1079" s="2">
        <v>423.02</v>
      </c>
    </row>
    <row r="1080" spans="3:6" x14ac:dyDescent="0.25">
      <c r="C1080" s="2" t="s">
        <v>1688</v>
      </c>
      <c r="D1080" s="2" t="s">
        <v>82</v>
      </c>
      <c r="E1080" s="2">
        <v>21</v>
      </c>
      <c r="F1080" s="2">
        <v>427.71</v>
      </c>
    </row>
    <row r="1081" spans="3:6" x14ac:dyDescent="0.25">
      <c r="C1081" s="2" t="s">
        <v>1689</v>
      </c>
      <c r="D1081" s="2" t="s">
        <v>82</v>
      </c>
      <c r="E1081" s="2">
        <v>50</v>
      </c>
      <c r="F1081" s="2">
        <v>973.61</v>
      </c>
    </row>
    <row r="1082" spans="3:6" x14ac:dyDescent="0.25">
      <c r="C1082" s="2" t="s">
        <v>1690</v>
      </c>
      <c r="D1082" s="2" t="s">
        <v>82</v>
      </c>
      <c r="E1082" s="2">
        <v>10</v>
      </c>
      <c r="F1082" s="2">
        <v>169.92</v>
      </c>
    </row>
    <row r="1083" spans="3:6" x14ac:dyDescent="0.25">
      <c r="C1083" s="2" t="s">
        <v>1691</v>
      </c>
      <c r="D1083" s="2" t="s">
        <v>82</v>
      </c>
      <c r="E1083" s="2">
        <v>24</v>
      </c>
      <c r="F1083" s="2">
        <v>493.83</v>
      </c>
    </row>
    <row r="1084" spans="3:6" x14ac:dyDescent="0.25">
      <c r="C1084" s="2" t="s">
        <v>1692</v>
      </c>
      <c r="D1084" s="2" t="s">
        <v>82</v>
      </c>
      <c r="E1084" s="2">
        <v>48</v>
      </c>
      <c r="F1084" s="2">
        <v>943.219</v>
      </c>
    </row>
    <row r="1085" spans="3:6" x14ac:dyDescent="0.25">
      <c r="C1085" s="2" t="s">
        <v>1693</v>
      </c>
      <c r="D1085" s="2" t="s">
        <v>82</v>
      </c>
      <c r="E1085" s="2">
        <v>49</v>
      </c>
      <c r="F1085" s="2">
        <v>1024</v>
      </c>
    </row>
    <row r="1086" spans="3:6" x14ac:dyDescent="0.25">
      <c r="C1086" s="2" t="s">
        <v>1694</v>
      </c>
      <c r="D1086" s="2" t="s">
        <v>82</v>
      </c>
      <c r="E1086" s="2">
        <v>121</v>
      </c>
      <c r="F1086" s="2">
        <v>2180.447</v>
      </c>
    </row>
    <row r="1087" spans="3:6" x14ac:dyDescent="0.25">
      <c r="C1087" s="2" t="s">
        <v>1695</v>
      </c>
      <c r="D1087" s="2" t="s">
        <v>82</v>
      </c>
      <c r="E1087" s="2">
        <v>70</v>
      </c>
      <c r="F1087" s="2">
        <v>1374.65</v>
      </c>
    </row>
    <row r="1088" spans="3:6" x14ac:dyDescent="0.25">
      <c r="C1088" s="2" t="s">
        <v>1696</v>
      </c>
      <c r="D1088" s="2" t="s">
        <v>82</v>
      </c>
      <c r="E1088" s="2">
        <v>64</v>
      </c>
      <c r="F1088" s="2">
        <v>1249.74</v>
      </c>
    </row>
    <row r="1089" spans="3:6" x14ac:dyDescent="0.25">
      <c r="C1089" s="2" t="s">
        <v>1697</v>
      </c>
      <c r="D1089" s="2" t="s">
        <v>82</v>
      </c>
      <c r="E1089" s="2">
        <v>70</v>
      </c>
      <c r="F1089" s="2">
        <v>1253.57</v>
      </c>
    </row>
    <row r="1090" spans="3:6" x14ac:dyDescent="0.25">
      <c r="C1090" s="2" t="s">
        <v>1698</v>
      </c>
      <c r="D1090" s="2" t="s">
        <v>82</v>
      </c>
      <c r="E1090" s="2">
        <v>32</v>
      </c>
      <c r="F1090" s="2">
        <v>630.95</v>
      </c>
    </row>
    <row r="1091" spans="3:6" x14ac:dyDescent="0.25">
      <c r="C1091" s="2" t="s">
        <v>1699</v>
      </c>
      <c r="D1091" s="2" t="s">
        <v>82</v>
      </c>
      <c r="E1091" s="2">
        <v>52</v>
      </c>
      <c r="F1091" s="2">
        <v>1070.679</v>
      </c>
    </row>
    <row r="1092" spans="3:6" x14ac:dyDescent="0.25">
      <c r="C1092" s="2" t="s">
        <v>1700</v>
      </c>
      <c r="D1092" s="2" t="s">
        <v>82</v>
      </c>
      <c r="E1092" s="2">
        <v>50</v>
      </c>
      <c r="F1092" s="2">
        <v>999.11</v>
      </c>
    </row>
    <row r="1093" spans="3:6" x14ac:dyDescent="0.25">
      <c r="C1093" s="2" t="s">
        <v>1701</v>
      </c>
      <c r="D1093" s="2" t="s">
        <v>82</v>
      </c>
      <c r="E1093" s="2">
        <v>25</v>
      </c>
      <c r="F1093" s="2">
        <v>493.81</v>
      </c>
    </row>
    <row r="1094" spans="3:6" x14ac:dyDescent="0.25">
      <c r="C1094" s="2" t="s">
        <v>1702</v>
      </c>
      <c r="D1094" s="2" t="s">
        <v>82</v>
      </c>
      <c r="E1094" s="2">
        <v>8</v>
      </c>
      <c r="F1094" s="2">
        <v>153.84</v>
      </c>
    </row>
    <row r="1095" spans="3:6" x14ac:dyDescent="0.25">
      <c r="C1095" s="2" t="s">
        <v>1703</v>
      </c>
      <c r="D1095" s="2" t="s">
        <v>82</v>
      </c>
      <c r="E1095" s="2">
        <v>40</v>
      </c>
      <c r="F1095" s="2">
        <v>802.73</v>
      </c>
    </row>
    <row r="1096" spans="3:6" x14ac:dyDescent="0.25">
      <c r="C1096" s="2" t="s">
        <v>1704</v>
      </c>
      <c r="D1096" s="2" t="s">
        <v>82</v>
      </c>
      <c r="E1096" s="2">
        <v>9</v>
      </c>
      <c r="F1096" s="2">
        <v>191.12</v>
      </c>
    </row>
    <row r="1097" spans="3:6" x14ac:dyDescent="0.25">
      <c r="C1097" s="2" t="s">
        <v>1705</v>
      </c>
      <c r="D1097" s="2" t="s">
        <v>82</v>
      </c>
      <c r="E1097" s="2">
        <v>20</v>
      </c>
      <c r="F1097" s="2">
        <v>355.279</v>
      </c>
    </row>
    <row r="1098" spans="3:6" x14ac:dyDescent="0.25">
      <c r="C1098" s="2" t="s">
        <v>1706</v>
      </c>
      <c r="D1098" s="2" t="s">
        <v>82</v>
      </c>
      <c r="E1098" s="2">
        <v>96</v>
      </c>
      <c r="F1098" s="2">
        <v>1943.34</v>
      </c>
    </row>
    <row r="1099" spans="3:6" x14ac:dyDescent="0.25">
      <c r="C1099" s="2" t="s">
        <v>1707</v>
      </c>
      <c r="D1099" s="2" t="s">
        <v>82</v>
      </c>
      <c r="E1099" s="2">
        <v>46</v>
      </c>
      <c r="F1099" s="2">
        <v>856.35</v>
      </c>
    </row>
    <row r="1100" spans="3:6" x14ac:dyDescent="0.25">
      <c r="C1100" s="2" t="s">
        <v>1708</v>
      </c>
      <c r="D1100" s="2" t="s">
        <v>82</v>
      </c>
      <c r="E1100" s="2">
        <v>101</v>
      </c>
      <c r="F1100" s="2">
        <v>2049.469</v>
      </c>
    </row>
    <row r="1101" spans="3:6" x14ac:dyDescent="0.25">
      <c r="C1101" s="2" t="s">
        <v>1709</v>
      </c>
      <c r="D1101" s="2" t="s">
        <v>82</v>
      </c>
      <c r="E1101" s="2">
        <v>40</v>
      </c>
      <c r="F1101" s="2">
        <v>749.77</v>
      </c>
    </row>
    <row r="1102" spans="3:6" x14ac:dyDescent="0.25">
      <c r="C1102" s="2" t="s">
        <v>1710</v>
      </c>
      <c r="D1102" s="2" t="s">
        <v>82</v>
      </c>
      <c r="E1102" s="2">
        <v>16</v>
      </c>
      <c r="F1102" s="2">
        <v>296.08</v>
      </c>
    </row>
    <row r="1103" spans="3:6" x14ac:dyDescent="0.25">
      <c r="C1103" s="2" t="s">
        <v>1711</v>
      </c>
      <c r="D1103" s="2" t="s">
        <v>82</v>
      </c>
      <c r="E1103" s="2">
        <v>28</v>
      </c>
      <c r="F1103" s="2">
        <v>540.96</v>
      </c>
    </row>
    <row r="1104" spans="3:6" x14ac:dyDescent="0.25">
      <c r="C1104" s="2" t="s">
        <v>1712</v>
      </c>
      <c r="D1104" s="2" t="s">
        <v>82</v>
      </c>
      <c r="E1104" s="2">
        <v>81</v>
      </c>
      <c r="F1104" s="2">
        <v>1579.699</v>
      </c>
    </row>
    <row r="1105" spans="3:6" x14ac:dyDescent="0.25">
      <c r="C1105" s="2" t="s">
        <v>1713</v>
      </c>
      <c r="D1105" s="2" t="s">
        <v>82</v>
      </c>
      <c r="E1105" s="2">
        <v>16</v>
      </c>
      <c r="F1105" s="2">
        <v>290.88</v>
      </c>
    </row>
    <row r="1106" spans="3:6" x14ac:dyDescent="0.25">
      <c r="C1106" s="2" t="s">
        <v>1714</v>
      </c>
      <c r="D1106" s="2" t="s">
        <v>82</v>
      </c>
      <c r="E1106" s="2">
        <v>66</v>
      </c>
      <c r="F1106" s="2">
        <v>1284.67</v>
      </c>
    </row>
    <row r="1107" spans="3:6" x14ac:dyDescent="0.25">
      <c r="C1107" s="2" t="s">
        <v>1715</v>
      </c>
      <c r="D1107" s="2" t="s">
        <v>82</v>
      </c>
      <c r="E1107" s="2">
        <v>35</v>
      </c>
      <c r="F1107" s="2">
        <v>539.829</v>
      </c>
    </row>
    <row r="1108" spans="3:6" x14ac:dyDescent="0.25">
      <c r="C1108" s="2" t="s">
        <v>1716</v>
      </c>
      <c r="D1108" s="2" t="s">
        <v>82</v>
      </c>
      <c r="E1108" s="2">
        <v>29</v>
      </c>
      <c r="F1108" s="2">
        <v>518.87</v>
      </c>
    </row>
    <row r="1109" spans="3:6" x14ac:dyDescent="0.25">
      <c r="C1109" s="2" t="s">
        <v>1717</v>
      </c>
      <c r="D1109" s="2" t="s">
        <v>82</v>
      </c>
      <c r="E1109" s="2">
        <v>12</v>
      </c>
      <c r="F1109" s="2">
        <v>245.53</v>
      </c>
    </row>
    <row r="1110" spans="3:6" x14ac:dyDescent="0.25">
      <c r="C1110" s="2" t="s">
        <v>1718</v>
      </c>
      <c r="D1110" s="2" t="s">
        <v>82</v>
      </c>
      <c r="E1110" s="2">
        <v>47</v>
      </c>
      <c r="F1110" s="2">
        <v>927.08</v>
      </c>
    </row>
    <row r="1111" spans="3:6" x14ac:dyDescent="0.25">
      <c r="C1111" s="2" t="s">
        <v>1719</v>
      </c>
      <c r="D1111" s="2" t="s">
        <v>82</v>
      </c>
      <c r="E1111" s="2">
        <v>26</v>
      </c>
      <c r="F1111" s="2">
        <v>514.21</v>
      </c>
    </row>
    <row r="1112" spans="3:6" x14ac:dyDescent="0.25">
      <c r="C1112" s="2" t="s">
        <v>1720</v>
      </c>
      <c r="D1112" s="2" t="s">
        <v>82</v>
      </c>
      <c r="E1112" s="2">
        <v>21</v>
      </c>
      <c r="F1112" s="2">
        <v>330.13</v>
      </c>
    </row>
    <row r="1113" spans="3:6" x14ac:dyDescent="0.25">
      <c r="C1113" s="2" t="s">
        <v>1721</v>
      </c>
      <c r="D1113" s="2" t="s">
        <v>82</v>
      </c>
      <c r="E1113" s="2">
        <v>18</v>
      </c>
      <c r="F1113" s="2">
        <v>337.19</v>
      </c>
    </row>
    <row r="1114" spans="3:6" x14ac:dyDescent="0.25">
      <c r="C1114" s="2" t="s">
        <v>1722</v>
      </c>
      <c r="D1114" s="2" t="s">
        <v>82</v>
      </c>
      <c r="E1114" s="2">
        <v>17</v>
      </c>
      <c r="F1114" s="2">
        <v>357.56</v>
      </c>
    </row>
    <row r="1115" spans="3:6" x14ac:dyDescent="0.25">
      <c r="C1115" s="2" t="s">
        <v>1723</v>
      </c>
      <c r="D1115" s="2" t="s">
        <v>82</v>
      </c>
      <c r="E1115" s="2">
        <v>12</v>
      </c>
      <c r="F1115" s="2">
        <v>242.17</v>
      </c>
    </row>
    <row r="1116" spans="3:6" x14ac:dyDescent="0.25">
      <c r="C1116" s="2" t="s">
        <v>1724</v>
      </c>
      <c r="D1116" s="2" t="s">
        <v>82</v>
      </c>
      <c r="E1116" s="2">
        <v>141</v>
      </c>
      <c r="F1116" s="2">
        <v>2684.379</v>
      </c>
    </row>
    <row r="1117" spans="3:6" x14ac:dyDescent="0.25">
      <c r="C1117" s="2" t="s">
        <v>1725</v>
      </c>
      <c r="D1117" s="2" t="s">
        <v>82</v>
      </c>
      <c r="E1117" s="2">
        <v>75</v>
      </c>
      <c r="F1117" s="2">
        <v>1450.03</v>
      </c>
    </row>
    <row r="1118" spans="3:6" x14ac:dyDescent="0.25">
      <c r="C1118" s="2" t="s">
        <v>1726</v>
      </c>
      <c r="D1118" s="2" t="s">
        <v>82</v>
      </c>
      <c r="E1118" s="2">
        <v>31</v>
      </c>
      <c r="F1118" s="2">
        <v>540.33</v>
      </c>
    </row>
    <row r="1119" spans="3:6" x14ac:dyDescent="0.25">
      <c r="C1119" s="2" t="s">
        <v>1727</v>
      </c>
      <c r="D1119" s="2" t="s">
        <v>82</v>
      </c>
      <c r="E1119" s="2">
        <v>18</v>
      </c>
      <c r="F1119" s="2">
        <v>355.2</v>
      </c>
    </row>
    <row r="1120" spans="3:6" x14ac:dyDescent="0.25">
      <c r="C1120" s="2" t="s">
        <v>1728</v>
      </c>
      <c r="D1120" s="2" t="s">
        <v>82</v>
      </c>
      <c r="E1120" s="2">
        <v>17</v>
      </c>
      <c r="F1120" s="2">
        <v>347.86</v>
      </c>
    </row>
    <row r="1121" spans="3:6" x14ac:dyDescent="0.25">
      <c r="C1121" s="2" t="s">
        <v>1729</v>
      </c>
      <c r="D1121" s="2" t="s">
        <v>82</v>
      </c>
      <c r="E1121" s="2">
        <v>121</v>
      </c>
      <c r="F1121" s="2">
        <v>1136.312</v>
      </c>
    </row>
    <row r="1122" spans="3:6" x14ac:dyDescent="0.25">
      <c r="C1122" s="2" t="s">
        <v>1730</v>
      </c>
      <c r="D1122" s="2" t="s">
        <v>82</v>
      </c>
      <c r="E1122" s="2">
        <v>72</v>
      </c>
      <c r="F1122" s="2">
        <v>2612.25</v>
      </c>
    </row>
    <row r="1124" spans="1:7" x14ac:dyDescent="0.25">
      <c r="A1124" s="1">
        <v>46215</v>
      </c>
      <c r="B1124" s="2" t="s">
        <v>122</v>
      </c>
      <c r="C1124" s="2" t="s">
        <v>1731</v>
      </c>
      <c r="D1124" s="2" t="s">
        <v>9</v>
      </c>
      <c r="E1124" s="2">
        <v>150</v>
      </c>
      <c r="F1124" s="2">
        <v>3153.53</v>
      </c>
      <c r="G1124" s="1">
        <v>46216</v>
      </c>
    </row>
    <row r="1125" spans="3:6" x14ac:dyDescent="0.25">
      <c r="C1125" s="2" t="s">
        <v>1732</v>
      </c>
      <c r="D1125" s="2" t="s">
        <v>9</v>
      </c>
      <c r="E1125" s="2">
        <v>150</v>
      </c>
      <c r="F1125" s="2">
        <v>2893.436</v>
      </c>
    </row>
    <row r="1126" spans="3:6" x14ac:dyDescent="0.25">
      <c r="C1126" s="2" t="s">
        <v>1733</v>
      </c>
      <c r="D1126" s="2" t="s">
        <v>9</v>
      </c>
      <c r="E1126" s="2">
        <v>94</v>
      </c>
      <c r="F1126" s="2">
        <v>1650.008</v>
      </c>
    </row>
    <row r="1128" spans="1:7" x14ac:dyDescent="0.25">
      <c r="A1128" s="1">
        <v>46215</v>
      </c>
      <c r="B1128" s="2" t="s">
        <v>7</v>
      </c>
      <c r="C1128" s="2" t="s">
        <v>1734</v>
      </c>
      <c r="D1128" s="2" t="s">
        <v>9</v>
      </c>
      <c r="E1128" s="2">
        <v>69</v>
      </c>
      <c r="F1128" s="2">
        <v>1330.269</v>
      </c>
      <c r="G1128" s="1">
        <v>46216</v>
      </c>
    </row>
    <row r="1129" spans="3:6" x14ac:dyDescent="0.25">
      <c r="C1129" s="2" t="s">
        <v>1735</v>
      </c>
      <c r="D1129" s="2" t="s">
        <v>9</v>
      </c>
      <c r="E1129" s="2">
        <v>77</v>
      </c>
      <c r="F1129" s="2">
        <v>1531.999</v>
      </c>
    </row>
    <row r="1131" spans="1:7" x14ac:dyDescent="0.25">
      <c r="A1131" s="1">
        <v>46215</v>
      </c>
      <c r="B1131" s="2" t="s">
        <v>57</v>
      </c>
      <c r="C1131" s="2" t="s">
        <v>1736</v>
      </c>
      <c r="D1131" s="2" t="s">
        <v>59</v>
      </c>
      <c r="E1131" s="2">
        <v>105</v>
      </c>
      <c r="F1131" s="2">
        <v>2133.819</v>
      </c>
      <c r="G1131" s="1">
        <v>46216</v>
      </c>
    </row>
    <row r="1132" spans="3:6" x14ac:dyDescent="0.25">
      <c r="C1132" s="2" t="s">
        <v>1737</v>
      </c>
      <c r="D1132" s="2" t="s">
        <v>59</v>
      </c>
      <c r="E1132" s="2">
        <v>265</v>
      </c>
      <c r="F1132" s="2">
        <v>5037.847</v>
      </c>
    </row>
    <row r="1133" spans="3:6" x14ac:dyDescent="0.25">
      <c r="C1133" s="2" t="s">
        <v>1738</v>
      </c>
      <c r="D1133" s="2" t="s">
        <v>59</v>
      </c>
      <c r="E1133" s="2">
        <v>163</v>
      </c>
      <c r="F1133" s="2">
        <v>3042.409</v>
      </c>
    </row>
    <row r="1134" spans="3:6" x14ac:dyDescent="0.25">
      <c r="C1134" s="2" t="s">
        <v>1739</v>
      </c>
      <c r="D1134" s="2" t="s">
        <v>59</v>
      </c>
      <c r="E1134" s="2">
        <v>268</v>
      </c>
      <c r="F1134" s="2">
        <v>5318.435</v>
      </c>
    </row>
    <row r="1135" spans="3:6" x14ac:dyDescent="0.25">
      <c r="C1135" s="2" t="s">
        <v>1740</v>
      </c>
      <c r="D1135" s="2" t="s">
        <v>59</v>
      </c>
      <c r="E1135" s="2">
        <v>105</v>
      </c>
      <c r="F1135" s="2">
        <v>2029.64</v>
      </c>
    </row>
    <row r="1136" spans="3:6" x14ac:dyDescent="0.25">
      <c r="C1136" s="2" t="s">
        <v>1741</v>
      </c>
      <c r="D1136" s="2" t="s">
        <v>59</v>
      </c>
      <c r="E1136" s="2">
        <v>160</v>
      </c>
      <c r="F1136" s="2">
        <v>3025.929</v>
      </c>
    </row>
    <row r="1137" spans="3:6" x14ac:dyDescent="0.25">
      <c r="C1137" s="2" t="s">
        <v>1742</v>
      </c>
      <c r="D1137" s="2" t="s">
        <v>59</v>
      </c>
      <c r="E1137" s="2">
        <v>163</v>
      </c>
      <c r="F1137" s="2">
        <v>3113.36</v>
      </c>
    </row>
    <row r="1138" spans="3:6" x14ac:dyDescent="0.25">
      <c r="C1138" s="2" t="s">
        <v>1743</v>
      </c>
      <c r="D1138" s="2" t="s">
        <v>59</v>
      </c>
      <c r="E1138" s="2">
        <v>268</v>
      </c>
      <c r="F1138" s="2">
        <v>5173.899</v>
      </c>
    </row>
    <row r="1140" spans="1:7" x14ac:dyDescent="0.25">
      <c r="A1140" s="1">
        <v>46216</v>
      </c>
      <c r="B1140" s="2" t="s">
        <v>176</v>
      </c>
      <c r="C1140" s="2" t="s">
        <v>1744</v>
      </c>
      <c r="D1140" s="2" t="s">
        <v>178</v>
      </c>
      <c r="E1140" s="2">
        <v>123</v>
      </c>
      <c r="F1140" s="2">
        <v>2329.9</v>
      </c>
      <c r="G1140" s="1">
        <v>46216</v>
      </c>
    </row>
    <row r="1141" spans="3:6" x14ac:dyDescent="0.25">
      <c r="C1141" s="2" t="s">
        <v>1745</v>
      </c>
      <c r="D1141" s="2" t="s">
        <v>178</v>
      </c>
      <c r="E1141" s="2">
        <v>123</v>
      </c>
      <c r="F1141" s="2">
        <v>2391.47</v>
      </c>
    </row>
    <row r="1142" spans="3:6" x14ac:dyDescent="0.25">
      <c r="C1142" s="2" t="s">
        <v>1746</v>
      </c>
      <c r="D1142" s="2" t="s">
        <v>178</v>
      </c>
      <c r="E1142" s="2">
        <v>123</v>
      </c>
      <c r="F1142" s="2">
        <v>2579.279</v>
      </c>
    </row>
    <row r="1143" spans="3:6" x14ac:dyDescent="0.25">
      <c r="C1143" s="2" t="s">
        <v>1747</v>
      </c>
      <c r="D1143" s="2" t="s">
        <v>178</v>
      </c>
      <c r="E1143" s="2">
        <v>46</v>
      </c>
      <c r="F1143" s="2">
        <v>928.73</v>
      </c>
    </row>
    <row r="1144" spans="3:6" x14ac:dyDescent="0.25">
      <c r="C1144" s="2" t="s">
        <v>1748</v>
      </c>
      <c r="D1144" s="2" t="s">
        <v>178</v>
      </c>
      <c r="E1144" s="2">
        <v>88</v>
      </c>
      <c r="F1144" s="2">
        <v>1831.209</v>
      </c>
    </row>
    <row r="1145" spans="3:6" x14ac:dyDescent="0.25">
      <c r="C1145" s="2" t="s">
        <v>1749</v>
      </c>
      <c r="D1145" s="2" t="s">
        <v>178</v>
      </c>
      <c r="E1145" s="2">
        <v>59</v>
      </c>
      <c r="F1145" s="2">
        <v>1179.88</v>
      </c>
    </row>
    <row r="1146" spans="3:6" x14ac:dyDescent="0.25">
      <c r="C1146" s="2" t="s">
        <v>1750</v>
      </c>
      <c r="D1146" s="2" t="s">
        <v>178</v>
      </c>
      <c r="E1146" s="2">
        <v>55</v>
      </c>
      <c r="F1146" s="2">
        <v>1034.43</v>
      </c>
    </row>
    <row r="1147" spans="3:6" x14ac:dyDescent="0.25">
      <c r="C1147" s="2" t="s">
        <v>1751</v>
      </c>
      <c r="D1147" s="2" t="s">
        <v>178</v>
      </c>
      <c r="E1147" s="2">
        <v>141</v>
      </c>
      <c r="F1147" s="2">
        <v>2891.07</v>
      </c>
    </row>
    <row r="1148" spans="3:6" x14ac:dyDescent="0.25">
      <c r="C1148" s="2" t="s">
        <v>1752</v>
      </c>
      <c r="D1148" s="2" t="s">
        <v>178</v>
      </c>
      <c r="E1148" s="2">
        <v>90</v>
      </c>
      <c r="F1148" s="2">
        <v>387.269</v>
      </c>
    </row>
    <row r="1149" spans="3:6" x14ac:dyDescent="0.25">
      <c r="C1149" s="2" t="s">
        <v>1753</v>
      </c>
      <c r="D1149" s="2" t="s">
        <v>178</v>
      </c>
      <c r="E1149" s="2">
        <v>102</v>
      </c>
      <c r="F1149" s="2">
        <v>2063.37</v>
      </c>
    </row>
    <row r="1150" spans="3:6" x14ac:dyDescent="0.25">
      <c r="C1150" s="2" t="s">
        <v>1754</v>
      </c>
      <c r="D1150" s="2" t="s">
        <v>178</v>
      </c>
      <c r="E1150" s="2">
        <v>142</v>
      </c>
      <c r="F1150" s="2">
        <v>2838.96</v>
      </c>
    </row>
    <row r="1151" spans="3:6" x14ac:dyDescent="0.25">
      <c r="C1151" s="2" t="s">
        <v>1755</v>
      </c>
      <c r="D1151" s="2" t="s">
        <v>178</v>
      </c>
      <c r="E1151" s="2">
        <v>141</v>
      </c>
      <c r="F1151" s="2">
        <v>2886.58</v>
      </c>
    </row>
    <row r="1152" spans="3:6" x14ac:dyDescent="0.25">
      <c r="C1152" s="2" t="s">
        <v>1756</v>
      </c>
      <c r="D1152" s="2" t="s">
        <v>178</v>
      </c>
      <c r="E1152" s="2">
        <v>142</v>
      </c>
      <c r="F1152" s="2">
        <v>2786.33</v>
      </c>
    </row>
    <row r="1153" spans="3:6" x14ac:dyDescent="0.25">
      <c r="C1153" s="2" t="s">
        <v>1757</v>
      </c>
      <c r="D1153" s="2" t="s">
        <v>178</v>
      </c>
      <c r="E1153" s="2">
        <v>60</v>
      </c>
      <c r="F1153" s="2">
        <v>262.517</v>
      </c>
    </row>
    <row r="1154" spans="3:6" x14ac:dyDescent="0.25">
      <c r="C1154" s="2" t="s">
        <v>1758</v>
      </c>
      <c r="D1154" s="2" t="s">
        <v>178</v>
      </c>
      <c r="E1154" s="2">
        <v>141</v>
      </c>
      <c r="F1154" s="2">
        <v>2878.75</v>
      </c>
    </row>
    <row r="1155" spans="3:6" x14ac:dyDescent="0.25">
      <c r="C1155" s="2" t="s">
        <v>1759</v>
      </c>
      <c r="D1155" s="2" t="s">
        <v>178</v>
      </c>
      <c r="E1155" s="2">
        <v>144</v>
      </c>
      <c r="F1155" s="2">
        <v>2409.889</v>
      </c>
    </row>
    <row r="1156" spans="3:6" x14ac:dyDescent="0.25">
      <c r="C1156" s="2" t="s">
        <v>1760</v>
      </c>
      <c r="D1156" s="2" t="s">
        <v>178</v>
      </c>
      <c r="E1156" s="2">
        <v>141</v>
      </c>
      <c r="F1156" s="2">
        <v>2874.879</v>
      </c>
    </row>
    <row r="1157" spans="3:6" x14ac:dyDescent="0.25">
      <c r="C1157" s="2" t="s">
        <v>1761</v>
      </c>
      <c r="D1157" s="2" t="s">
        <v>178</v>
      </c>
      <c r="E1157" s="2">
        <v>141</v>
      </c>
      <c r="F1157" s="2">
        <v>2545.64</v>
      </c>
    </row>
    <row r="1158" spans="3:6" x14ac:dyDescent="0.25">
      <c r="C1158" s="2" t="s">
        <v>1762</v>
      </c>
      <c r="D1158" s="2" t="s">
        <v>178</v>
      </c>
      <c r="E1158" s="2">
        <v>93</v>
      </c>
      <c r="F1158" s="2">
        <v>1915.059</v>
      </c>
    </row>
    <row r="1159" spans="3:6" x14ac:dyDescent="0.25">
      <c r="C1159" s="2" t="s">
        <v>1763</v>
      </c>
      <c r="D1159" s="2" t="s">
        <v>178</v>
      </c>
      <c r="E1159" s="2">
        <v>48</v>
      </c>
      <c r="F1159" s="2">
        <v>1012.28</v>
      </c>
    </row>
    <row r="1160" spans="3:6" x14ac:dyDescent="0.25">
      <c r="C1160" s="2" t="s">
        <v>1764</v>
      </c>
      <c r="D1160" s="2" t="s">
        <v>178</v>
      </c>
      <c r="E1160" s="2">
        <v>102</v>
      </c>
      <c r="F1160" s="2">
        <v>2111.4</v>
      </c>
    </row>
    <row r="1161" spans="3:6" x14ac:dyDescent="0.25">
      <c r="C1161" s="2" t="s">
        <v>1765</v>
      </c>
      <c r="D1161" s="2" t="s">
        <v>178</v>
      </c>
      <c r="E1161" s="2">
        <v>141</v>
      </c>
      <c r="F1161" s="2">
        <v>2760.699</v>
      </c>
    </row>
    <row r="1162" spans="3:6" x14ac:dyDescent="0.25">
      <c r="C1162" s="2" t="s">
        <v>1766</v>
      </c>
      <c r="D1162" s="2" t="s">
        <v>178</v>
      </c>
      <c r="E1162" s="2">
        <v>57</v>
      </c>
      <c r="F1162" s="2">
        <v>1140.23</v>
      </c>
    </row>
    <row r="1163" spans="3:6" x14ac:dyDescent="0.25">
      <c r="C1163" s="2" t="s">
        <v>1767</v>
      </c>
      <c r="D1163" s="2" t="s">
        <v>178</v>
      </c>
      <c r="E1163" s="2">
        <v>84</v>
      </c>
      <c r="F1163" s="2">
        <v>1668.399</v>
      </c>
    </row>
    <row r="1164" spans="3:6" x14ac:dyDescent="0.25">
      <c r="C1164" s="2" t="s">
        <v>1768</v>
      </c>
      <c r="D1164" s="2" t="s">
        <v>178</v>
      </c>
      <c r="E1164" s="2">
        <v>141</v>
      </c>
      <c r="F1164" s="2">
        <v>2457.669</v>
      </c>
    </row>
    <row r="1165" spans="3:6" x14ac:dyDescent="0.25">
      <c r="C1165" s="2" t="s">
        <v>1769</v>
      </c>
      <c r="D1165" s="2" t="s">
        <v>178</v>
      </c>
      <c r="E1165" s="2">
        <v>102</v>
      </c>
      <c r="F1165" s="2">
        <v>1906.53</v>
      </c>
    </row>
    <row r="1166" spans="3:6" x14ac:dyDescent="0.25">
      <c r="C1166" s="2" t="s">
        <v>1770</v>
      </c>
      <c r="D1166" s="2" t="s">
        <v>178</v>
      </c>
      <c r="E1166" s="2">
        <v>47</v>
      </c>
      <c r="F1166" s="2">
        <v>871.33</v>
      </c>
    </row>
    <row r="1167" spans="3:6" x14ac:dyDescent="0.25">
      <c r="C1167" s="2" t="s">
        <v>1771</v>
      </c>
      <c r="D1167" s="2" t="s">
        <v>178</v>
      </c>
      <c r="E1167" s="2">
        <v>44</v>
      </c>
      <c r="F1167" s="2">
        <v>770.89</v>
      </c>
    </row>
    <row r="1168" spans="3:6" x14ac:dyDescent="0.25">
      <c r="C1168" s="2" t="s">
        <v>1772</v>
      </c>
      <c r="D1168" s="2" t="s">
        <v>178</v>
      </c>
      <c r="E1168" s="2">
        <v>9</v>
      </c>
      <c r="F1168" s="2">
        <v>199.62</v>
      </c>
    </row>
    <row r="1169" spans="3:6" x14ac:dyDescent="0.25">
      <c r="C1169" s="2" t="s">
        <v>1773</v>
      </c>
      <c r="D1169" s="2" t="s">
        <v>178</v>
      </c>
      <c r="E1169" s="2">
        <v>41</v>
      </c>
      <c r="F1169" s="2">
        <v>772.65</v>
      </c>
    </row>
    <row r="1170" spans="3:6" x14ac:dyDescent="0.25">
      <c r="C1170" s="2" t="s">
        <v>1774</v>
      </c>
      <c r="D1170" s="2" t="s">
        <v>178</v>
      </c>
      <c r="E1170" s="2">
        <v>60</v>
      </c>
      <c r="F1170" s="2">
        <v>1148.12</v>
      </c>
    </row>
    <row r="1171" spans="3:6" x14ac:dyDescent="0.25">
      <c r="C1171" s="2" t="s">
        <v>1775</v>
      </c>
      <c r="D1171" s="2" t="s">
        <v>178</v>
      </c>
      <c r="E1171" s="2">
        <v>43</v>
      </c>
      <c r="F1171" s="2">
        <v>873.38</v>
      </c>
    </row>
    <row r="1172" spans="3:6" x14ac:dyDescent="0.25">
      <c r="C1172" s="2" t="s">
        <v>1776</v>
      </c>
      <c r="D1172" s="2" t="s">
        <v>178</v>
      </c>
      <c r="E1172" s="2">
        <v>141</v>
      </c>
      <c r="F1172" s="2">
        <v>2736.649</v>
      </c>
    </row>
    <row r="1173" spans="3:6" x14ac:dyDescent="0.25">
      <c r="C1173" s="2" t="s">
        <v>1777</v>
      </c>
      <c r="D1173" s="2" t="s">
        <v>178</v>
      </c>
      <c r="E1173" s="2">
        <v>51</v>
      </c>
      <c r="F1173" s="2">
        <v>981.448</v>
      </c>
    </row>
    <row r="1174" spans="3:6" x14ac:dyDescent="0.25">
      <c r="C1174" s="2" t="s">
        <v>1778</v>
      </c>
      <c r="D1174" s="2" t="s">
        <v>178</v>
      </c>
      <c r="E1174" s="2">
        <v>3</v>
      </c>
      <c r="F1174" s="2">
        <v>58.44</v>
      </c>
    </row>
    <row r="1175" spans="3:6" x14ac:dyDescent="0.25">
      <c r="C1175" s="2" t="s">
        <v>1779</v>
      </c>
      <c r="D1175" s="2" t="s">
        <v>178</v>
      </c>
      <c r="E1175" s="2">
        <v>5</v>
      </c>
      <c r="F1175" s="2">
        <v>88.57</v>
      </c>
    </row>
    <row r="1176" spans="3:6" x14ac:dyDescent="0.25">
      <c r="C1176" s="2" t="s">
        <v>1780</v>
      </c>
      <c r="D1176" s="2" t="s">
        <v>178</v>
      </c>
      <c r="E1176" s="2">
        <v>10</v>
      </c>
      <c r="F1176" s="2">
        <v>76.67</v>
      </c>
    </row>
    <row r="1177" spans="3:6" x14ac:dyDescent="0.25">
      <c r="C1177" s="2" t="s">
        <v>1781</v>
      </c>
      <c r="D1177" s="2" t="s">
        <v>178</v>
      </c>
      <c r="E1177" s="2">
        <v>9</v>
      </c>
      <c r="F1177" s="2">
        <v>168.5</v>
      </c>
    </row>
    <row r="1178" spans="3:6" x14ac:dyDescent="0.25">
      <c r="C1178" s="2" t="s">
        <v>1782</v>
      </c>
      <c r="D1178" s="2" t="s">
        <v>178</v>
      </c>
      <c r="E1178" s="2">
        <v>131</v>
      </c>
      <c r="F1178" s="2">
        <v>2618.93</v>
      </c>
    </row>
    <row r="1179" spans="3:6" x14ac:dyDescent="0.25">
      <c r="C1179" s="2" t="s">
        <v>1783</v>
      </c>
      <c r="D1179" s="2" t="s">
        <v>178</v>
      </c>
      <c r="E1179" s="2">
        <v>96</v>
      </c>
      <c r="F1179" s="2">
        <v>1900.75</v>
      </c>
    </row>
    <row r="1180" spans="3:6" x14ac:dyDescent="0.25">
      <c r="C1180" s="2" t="s">
        <v>1784</v>
      </c>
      <c r="D1180" s="2" t="s">
        <v>178</v>
      </c>
      <c r="E1180" s="2">
        <v>141</v>
      </c>
      <c r="F1180" s="2">
        <v>2578.92</v>
      </c>
    </row>
    <row r="1181" spans="3:6" x14ac:dyDescent="0.25">
      <c r="C1181" s="2" t="s">
        <v>1785</v>
      </c>
      <c r="D1181" s="2" t="s">
        <v>178</v>
      </c>
      <c r="E1181" s="2">
        <v>57</v>
      </c>
      <c r="F1181" s="2">
        <v>1088.46</v>
      </c>
    </row>
    <row r="1182" spans="3:6" x14ac:dyDescent="0.25">
      <c r="C1182" s="2" t="s">
        <v>1786</v>
      </c>
      <c r="D1182" s="2" t="s">
        <v>178</v>
      </c>
      <c r="E1182" s="2">
        <v>46</v>
      </c>
      <c r="F1182" s="2">
        <v>813.11</v>
      </c>
    </row>
    <row r="1183" spans="3:6" x14ac:dyDescent="0.25">
      <c r="C1183" s="2" t="s">
        <v>1787</v>
      </c>
      <c r="D1183" s="2" t="s">
        <v>178</v>
      </c>
      <c r="E1183" s="2">
        <v>37</v>
      </c>
      <c r="F1183" s="2">
        <v>730.56</v>
      </c>
    </row>
    <row r="1184" spans="3:6" x14ac:dyDescent="0.25">
      <c r="C1184" s="2" t="s">
        <v>1788</v>
      </c>
      <c r="D1184" s="2" t="s">
        <v>178</v>
      </c>
      <c r="E1184" s="2">
        <v>65</v>
      </c>
      <c r="F1184" s="2">
        <v>1284.89</v>
      </c>
    </row>
    <row r="1185" spans="3:6" x14ac:dyDescent="0.25">
      <c r="C1185" s="2" t="s">
        <v>1789</v>
      </c>
      <c r="D1185" s="2" t="s">
        <v>178</v>
      </c>
      <c r="E1185" s="2">
        <v>78</v>
      </c>
      <c r="F1185" s="2">
        <v>1351.909</v>
      </c>
    </row>
    <row r="1186" spans="3:6" x14ac:dyDescent="0.25">
      <c r="C1186" s="2" t="s">
        <v>1790</v>
      </c>
      <c r="D1186" s="2" t="s">
        <v>178</v>
      </c>
      <c r="E1186" s="2">
        <v>34</v>
      </c>
      <c r="F1186" s="2">
        <v>599.11</v>
      </c>
    </row>
    <row r="1187" spans="3:6" x14ac:dyDescent="0.25">
      <c r="C1187" s="2" t="s">
        <v>1791</v>
      </c>
      <c r="D1187" s="2" t="s">
        <v>178</v>
      </c>
      <c r="E1187" s="2">
        <v>30</v>
      </c>
      <c r="F1187" s="2">
        <v>499.04</v>
      </c>
    </row>
    <row r="1189" spans="1:7" x14ac:dyDescent="0.25">
      <c r="A1189" s="1">
        <v>46216</v>
      </c>
      <c r="B1189" s="2" t="s">
        <v>229</v>
      </c>
      <c r="C1189" s="2" t="s">
        <v>1792</v>
      </c>
      <c r="D1189" s="2" t="s">
        <v>82</v>
      </c>
      <c r="E1189" s="2">
        <v>102</v>
      </c>
      <c r="F1189" s="2">
        <v>2126.304</v>
      </c>
      <c r="G1189" s="1">
        <v>46216</v>
      </c>
    </row>
    <row r="1190" spans="3:6" x14ac:dyDescent="0.25">
      <c r="C1190" s="2" t="s">
        <v>1793</v>
      </c>
      <c r="D1190" s="2" t="s">
        <v>82</v>
      </c>
      <c r="E1190" s="2">
        <v>82</v>
      </c>
      <c r="F1190" s="2">
        <v>1512.84</v>
      </c>
    </row>
    <row r="1191" spans="3:6" x14ac:dyDescent="0.25">
      <c r="C1191" s="2" t="s">
        <v>1794</v>
      </c>
      <c r="D1191" s="2" t="s">
        <v>82</v>
      </c>
      <c r="E1191" s="2">
        <v>85</v>
      </c>
      <c r="F1191" s="2">
        <v>2254.484</v>
      </c>
    </row>
    <row r="1192" spans="3:6" x14ac:dyDescent="0.25">
      <c r="C1192" s="2" t="s">
        <v>1795</v>
      </c>
      <c r="D1192" s="2" t="s">
        <v>82</v>
      </c>
      <c r="E1192" s="2">
        <v>75</v>
      </c>
      <c r="F1192" s="2">
        <v>1638.243</v>
      </c>
    </row>
    <row r="1193" spans="3:6" x14ac:dyDescent="0.25">
      <c r="C1193" s="2" t="s">
        <v>1796</v>
      </c>
      <c r="D1193" s="2" t="s">
        <v>82</v>
      </c>
      <c r="E1193" s="2">
        <v>102</v>
      </c>
      <c r="F1193" s="2">
        <v>1863.98</v>
      </c>
    </row>
    <row r="1194" spans="3:6" x14ac:dyDescent="0.25">
      <c r="C1194" s="2" t="s">
        <v>1797</v>
      </c>
      <c r="D1194" s="2" t="s">
        <v>82</v>
      </c>
      <c r="E1194" s="2">
        <v>80</v>
      </c>
      <c r="F1194" s="2">
        <v>1656.54</v>
      </c>
    </row>
    <row r="1195" spans="3:6" x14ac:dyDescent="0.25">
      <c r="C1195" s="2" t="s">
        <v>1798</v>
      </c>
      <c r="D1195" s="2" t="s">
        <v>82</v>
      </c>
      <c r="E1195" s="2">
        <v>22</v>
      </c>
      <c r="F1195" s="2">
        <v>435.79</v>
      </c>
    </row>
    <row r="1196" spans="3:6" x14ac:dyDescent="0.25">
      <c r="C1196" s="2" t="s">
        <v>1799</v>
      </c>
      <c r="D1196" s="2" t="s">
        <v>82</v>
      </c>
      <c r="E1196" s="2">
        <v>68</v>
      </c>
      <c r="F1196" s="2">
        <v>1396.518</v>
      </c>
    </row>
    <row r="1197" spans="3:6" x14ac:dyDescent="0.25">
      <c r="C1197" s="2" t="s">
        <v>1800</v>
      </c>
      <c r="D1197" s="2" t="s">
        <v>82</v>
      </c>
      <c r="E1197" s="2">
        <v>33</v>
      </c>
      <c r="F1197" s="2">
        <v>640.06</v>
      </c>
    </row>
    <row r="1198" spans="3:6" x14ac:dyDescent="0.25">
      <c r="C1198" s="2" t="s">
        <v>1801</v>
      </c>
      <c r="D1198" s="2" t="s">
        <v>82</v>
      </c>
      <c r="E1198" s="2">
        <v>7</v>
      </c>
      <c r="F1198" s="2">
        <v>118.85</v>
      </c>
    </row>
    <row r="1199" spans="3:6" x14ac:dyDescent="0.25">
      <c r="C1199" s="2" t="s">
        <v>1802</v>
      </c>
      <c r="D1199" s="2" t="s">
        <v>82</v>
      </c>
      <c r="E1199" s="2">
        <v>8</v>
      </c>
      <c r="F1199" s="2">
        <v>103.5</v>
      </c>
    </row>
    <row r="1200" spans="3:6" x14ac:dyDescent="0.25">
      <c r="C1200" s="2" t="s">
        <v>1803</v>
      </c>
      <c r="D1200" s="2" t="s">
        <v>82</v>
      </c>
      <c r="E1200" s="2">
        <v>7</v>
      </c>
      <c r="F1200" s="2">
        <v>95.55</v>
      </c>
    </row>
    <row r="1201" spans="3:6" x14ac:dyDescent="0.25">
      <c r="C1201" s="2" t="s">
        <v>1804</v>
      </c>
      <c r="D1201" s="2" t="s">
        <v>82</v>
      </c>
      <c r="E1201" s="2">
        <v>6</v>
      </c>
      <c r="F1201" s="2">
        <v>96.5</v>
      </c>
    </row>
    <row r="1202" spans="3:6" x14ac:dyDescent="0.25">
      <c r="C1202" s="2" t="s">
        <v>1805</v>
      </c>
      <c r="D1202" s="2" t="s">
        <v>82</v>
      </c>
      <c r="E1202" s="2">
        <v>5</v>
      </c>
      <c r="F1202" s="2">
        <v>25.1</v>
      </c>
    </row>
    <row r="1203" spans="3:6" x14ac:dyDescent="0.25">
      <c r="C1203" s="2" t="s">
        <v>1806</v>
      </c>
      <c r="D1203" s="2" t="s">
        <v>82</v>
      </c>
      <c r="E1203" s="2">
        <v>49</v>
      </c>
      <c r="F1203" s="2">
        <v>916.49</v>
      </c>
    </row>
    <row r="1204" spans="3:6" x14ac:dyDescent="0.25">
      <c r="C1204" s="2" t="s">
        <v>1807</v>
      </c>
      <c r="D1204" s="2" t="s">
        <v>82</v>
      </c>
      <c r="E1204" s="2">
        <v>23</v>
      </c>
      <c r="F1204" s="2">
        <v>458.06</v>
      </c>
    </row>
    <row r="1205" spans="3:6" x14ac:dyDescent="0.25">
      <c r="C1205" s="2" t="s">
        <v>1808</v>
      </c>
      <c r="D1205" s="2" t="s">
        <v>82</v>
      </c>
      <c r="E1205" s="2">
        <v>57</v>
      </c>
      <c r="F1205" s="2">
        <v>1127</v>
      </c>
    </row>
    <row r="1206" spans="3:6" x14ac:dyDescent="0.25">
      <c r="C1206" s="2" t="s">
        <v>1809</v>
      </c>
      <c r="D1206" s="2" t="s">
        <v>82</v>
      </c>
      <c r="E1206" s="2">
        <v>7</v>
      </c>
      <c r="F1206" s="2">
        <v>132.55</v>
      </c>
    </row>
    <row r="1207" spans="3:6" x14ac:dyDescent="0.25">
      <c r="C1207" s="2" t="s">
        <v>1810</v>
      </c>
      <c r="D1207" s="2" t="s">
        <v>82</v>
      </c>
      <c r="E1207" s="2">
        <v>11</v>
      </c>
      <c r="F1207" s="2">
        <v>223.05</v>
      </c>
    </row>
    <row r="1208" spans="3:6" x14ac:dyDescent="0.25">
      <c r="C1208" s="2" t="s">
        <v>1811</v>
      </c>
      <c r="D1208" s="2" t="s">
        <v>82</v>
      </c>
      <c r="E1208" s="2">
        <v>60</v>
      </c>
      <c r="F1208" s="2">
        <v>257.29</v>
      </c>
    </row>
    <row r="1209" spans="3:6" x14ac:dyDescent="0.25">
      <c r="C1209" s="2" t="s">
        <v>1812</v>
      </c>
      <c r="D1209" s="2" t="s">
        <v>82</v>
      </c>
      <c r="E1209" s="2">
        <v>74</v>
      </c>
      <c r="F1209" s="2">
        <v>1466.409</v>
      </c>
    </row>
    <row r="1210" spans="3:6" x14ac:dyDescent="0.25">
      <c r="C1210" s="2" t="s">
        <v>1813</v>
      </c>
      <c r="D1210" s="2" t="s">
        <v>82</v>
      </c>
      <c r="E1210" s="2">
        <v>40</v>
      </c>
      <c r="F1210" s="2">
        <v>786.66</v>
      </c>
    </row>
    <row r="1211" spans="3:6" x14ac:dyDescent="0.25">
      <c r="C1211" s="2" t="s">
        <v>1814</v>
      </c>
      <c r="D1211" s="2" t="s">
        <v>82</v>
      </c>
      <c r="E1211" s="2">
        <v>27</v>
      </c>
      <c r="F1211" s="2">
        <v>497.3</v>
      </c>
    </row>
    <row r="1212" spans="3:6" x14ac:dyDescent="0.25">
      <c r="C1212" s="2" t="s">
        <v>1815</v>
      </c>
      <c r="D1212" s="2" t="s">
        <v>82</v>
      </c>
      <c r="E1212" s="2">
        <v>73</v>
      </c>
      <c r="F1212" s="2">
        <v>1537.359</v>
      </c>
    </row>
    <row r="1213" spans="3:6" x14ac:dyDescent="0.25">
      <c r="C1213" s="2" t="s">
        <v>1816</v>
      </c>
      <c r="D1213" s="2" t="s">
        <v>82</v>
      </c>
      <c r="E1213" s="2">
        <v>48</v>
      </c>
      <c r="F1213" s="2">
        <v>996.329</v>
      </c>
    </row>
    <row r="1214" spans="3:6" x14ac:dyDescent="0.25">
      <c r="C1214" s="2" t="s">
        <v>1817</v>
      </c>
      <c r="D1214" s="2" t="s">
        <v>82</v>
      </c>
      <c r="E1214" s="2">
        <v>20</v>
      </c>
      <c r="F1214" s="2">
        <v>382.1</v>
      </c>
    </row>
    <row r="1215" spans="3:6" x14ac:dyDescent="0.25">
      <c r="C1215" s="2" t="s">
        <v>1818</v>
      </c>
      <c r="D1215" s="2" t="s">
        <v>82</v>
      </c>
      <c r="E1215" s="2">
        <v>97</v>
      </c>
      <c r="F1215" s="2">
        <v>1791.579</v>
      </c>
    </row>
    <row r="1216" spans="3:6" x14ac:dyDescent="0.25">
      <c r="C1216" s="2" t="s">
        <v>1819</v>
      </c>
      <c r="D1216" s="2" t="s">
        <v>82</v>
      </c>
      <c r="E1216" s="2">
        <v>45</v>
      </c>
      <c r="F1216" s="2">
        <v>880.61</v>
      </c>
    </row>
    <row r="1217" spans="3:6" x14ac:dyDescent="0.25">
      <c r="C1217" s="2" t="s">
        <v>1820</v>
      </c>
      <c r="D1217" s="2" t="s">
        <v>82</v>
      </c>
      <c r="E1217" s="2">
        <v>19</v>
      </c>
      <c r="F1217" s="2">
        <v>382.21</v>
      </c>
    </row>
    <row r="1218" spans="3:6" x14ac:dyDescent="0.25">
      <c r="C1218" s="2" t="s">
        <v>1821</v>
      </c>
      <c r="D1218" s="2" t="s">
        <v>82</v>
      </c>
      <c r="E1218" s="2">
        <v>63</v>
      </c>
      <c r="F1218" s="2">
        <v>1180.02</v>
      </c>
    </row>
    <row r="1219" spans="3:6" x14ac:dyDescent="0.25">
      <c r="C1219" s="2" t="s">
        <v>1822</v>
      </c>
      <c r="D1219" s="2" t="s">
        <v>82</v>
      </c>
      <c r="E1219" s="2">
        <v>36</v>
      </c>
      <c r="F1219" s="2">
        <v>391.102</v>
      </c>
    </row>
    <row r="1220" spans="3:6" x14ac:dyDescent="0.25">
      <c r="C1220" s="2" t="s">
        <v>1823</v>
      </c>
      <c r="D1220" s="2" t="s">
        <v>82</v>
      </c>
      <c r="E1220" s="2">
        <v>9</v>
      </c>
      <c r="F1220" s="2">
        <v>171.31</v>
      </c>
    </row>
    <row r="1221" spans="3:6" x14ac:dyDescent="0.25">
      <c r="C1221" s="2" t="s">
        <v>1824</v>
      </c>
      <c r="D1221" s="2" t="s">
        <v>82</v>
      </c>
      <c r="E1221" s="2">
        <v>95</v>
      </c>
      <c r="F1221" s="2">
        <v>417.739</v>
      </c>
    </row>
    <row r="1222" spans="3:6" x14ac:dyDescent="0.25">
      <c r="C1222" s="2" t="s">
        <v>1825</v>
      </c>
      <c r="D1222" s="2" t="s">
        <v>82</v>
      </c>
      <c r="E1222" s="2">
        <v>55</v>
      </c>
      <c r="F1222" s="2">
        <v>1112.02</v>
      </c>
    </row>
    <row r="1223" spans="3:6" x14ac:dyDescent="0.25">
      <c r="C1223" s="2" t="s">
        <v>1826</v>
      </c>
      <c r="D1223" s="2" t="s">
        <v>82</v>
      </c>
      <c r="E1223" s="2">
        <v>46</v>
      </c>
      <c r="F1223" s="2">
        <v>865.92</v>
      </c>
    </row>
    <row r="1224" spans="3:6" x14ac:dyDescent="0.25">
      <c r="C1224" s="2" t="s">
        <v>1827</v>
      </c>
      <c r="D1224" s="2" t="s">
        <v>82</v>
      </c>
      <c r="E1224" s="2">
        <v>27</v>
      </c>
      <c r="F1224" s="2">
        <v>529.39</v>
      </c>
    </row>
    <row r="1225" spans="3:6" x14ac:dyDescent="0.25">
      <c r="C1225" s="2" t="s">
        <v>1828</v>
      </c>
      <c r="D1225" s="2" t="s">
        <v>82</v>
      </c>
      <c r="E1225" s="2">
        <v>13</v>
      </c>
      <c r="F1225" s="2">
        <v>268.77</v>
      </c>
    </row>
    <row r="1226" spans="3:6" x14ac:dyDescent="0.25">
      <c r="C1226" s="2" t="s">
        <v>1829</v>
      </c>
      <c r="D1226" s="2" t="s">
        <v>82</v>
      </c>
      <c r="E1226" s="2">
        <v>32</v>
      </c>
      <c r="F1226" s="2">
        <v>643.95</v>
      </c>
    </row>
    <row r="1227" spans="3:6" x14ac:dyDescent="0.25">
      <c r="C1227" s="2" t="s">
        <v>1830</v>
      </c>
      <c r="D1227" s="2" t="s">
        <v>82</v>
      </c>
      <c r="E1227" s="2">
        <v>35</v>
      </c>
      <c r="F1227" s="2">
        <v>1251.92</v>
      </c>
    </row>
    <row r="1228" spans="3:6" x14ac:dyDescent="0.25">
      <c r="C1228" s="2" t="s">
        <v>1831</v>
      </c>
      <c r="D1228" s="2" t="s">
        <v>82</v>
      </c>
      <c r="E1228" s="2">
        <v>30</v>
      </c>
      <c r="F1228" s="2">
        <v>590.56</v>
      </c>
    </row>
    <row r="1229" spans="3:6" x14ac:dyDescent="0.25">
      <c r="C1229" s="2" t="s">
        <v>1832</v>
      </c>
      <c r="D1229" s="2" t="s">
        <v>82</v>
      </c>
      <c r="E1229" s="2">
        <v>19</v>
      </c>
      <c r="F1229" s="2">
        <v>314.44</v>
      </c>
    </row>
    <row r="1230" spans="3:6" x14ac:dyDescent="0.25">
      <c r="C1230" s="2" t="s">
        <v>1833</v>
      </c>
      <c r="D1230" s="2" t="s">
        <v>82</v>
      </c>
      <c r="E1230" s="2">
        <v>40</v>
      </c>
      <c r="F1230" s="2">
        <v>836.439</v>
      </c>
    </row>
    <row r="1231" spans="3:6" x14ac:dyDescent="0.25">
      <c r="C1231" s="2" t="s">
        <v>1834</v>
      </c>
      <c r="D1231" s="2" t="s">
        <v>82</v>
      </c>
      <c r="E1231" s="2">
        <v>25</v>
      </c>
      <c r="F1231" s="2">
        <v>604.603</v>
      </c>
    </row>
    <row r="1232" spans="3:6" x14ac:dyDescent="0.25">
      <c r="C1232" s="2" t="s">
        <v>1835</v>
      </c>
      <c r="D1232" s="2" t="s">
        <v>82</v>
      </c>
      <c r="E1232" s="2">
        <v>89</v>
      </c>
      <c r="F1232" s="2">
        <v>1807.98</v>
      </c>
    </row>
    <row r="1233" spans="3:6" x14ac:dyDescent="0.25">
      <c r="C1233" s="2" t="s">
        <v>1836</v>
      </c>
      <c r="D1233" s="2" t="s">
        <v>82</v>
      </c>
      <c r="E1233" s="2">
        <v>52</v>
      </c>
      <c r="F1233" s="2">
        <v>980.219</v>
      </c>
    </row>
    <row r="1234" spans="3:6" x14ac:dyDescent="0.25">
      <c r="C1234" s="2" t="s">
        <v>1837</v>
      </c>
      <c r="D1234" s="2" t="s">
        <v>82</v>
      </c>
      <c r="E1234" s="2">
        <v>55</v>
      </c>
      <c r="F1234" s="2">
        <v>1103.97</v>
      </c>
    </row>
    <row r="1235" spans="3:6" x14ac:dyDescent="0.25">
      <c r="C1235" s="2" t="s">
        <v>1838</v>
      </c>
      <c r="D1235" s="2" t="s">
        <v>82</v>
      </c>
      <c r="E1235" s="2">
        <v>18</v>
      </c>
      <c r="F1235" s="2">
        <v>340.5</v>
      </c>
    </row>
    <row r="1236" spans="3:6" x14ac:dyDescent="0.25">
      <c r="C1236" s="2" t="s">
        <v>1839</v>
      </c>
      <c r="D1236" s="2" t="s">
        <v>82</v>
      </c>
      <c r="E1236" s="2">
        <v>30</v>
      </c>
      <c r="F1236" s="2">
        <v>595</v>
      </c>
    </row>
    <row r="1237" spans="3:6" x14ac:dyDescent="0.25">
      <c r="C1237" s="2" t="s">
        <v>1840</v>
      </c>
      <c r="D1237" s="2" t="s">
        <v>82</v>
      </c>
      <c r="E1237" s="2">
        <v>38</v>
      </c>
      <c r="F1237" s="2">
        <v>66.427</v>
      </c>
    </row>
    <row r="1238" spans="3:6" x14ac:dyDescent="0.25">
      <c r="C1238" s="2" t="s">
        <v>1841</v>
      </c>
      <c r="D1238" s="2" t="s">
        <v>82</v>
      </c>
      <c r="E1238" s="2">
        <v>20</v>
      </c>
      <c r="F1238" s="2">
        <v>397.17</v>
      </c>
    </row>
    <row r="1239" spans="3:6" x14ac:dyDescent="0.25">
      <c r="C1239" s="2" t="s">
        <v>1842</v>
      </c>
      <c r="D1239" s="2" t="s">
        <v>82</v>
      </c>
      <c r="E1239" s="2">
        <v>14</v>
      </c>
      <c r="F1239" s="2">
        <v>294.21</v>
      </c>
    </row>
    <row r="1240" spans="3:6" x14ac:dyDescent="0.25">
      <c r="C1240" s="2" t="s">
        <v>1843</v>
      </c>
      <c r="D1240" s="2" t="s">
        <v>82</v>
      </c>
      <c r="E1240" s="2">
        <v>13</v>
      </c>
      <c r="F1240" s="2">
        <v>253.37</v>
      </c>
    </row>
    <row r="1241" spans="3:6" x14ac:dyDescent="0.25">
      <c r="C1241" s="2" t="s">
        <v>1844</v>
      </c>
      <c r="D1241" s="2" t="s">
        <v>82</v>
      </c>
      <c r="E1241" s="2">
        <v>47</v>
      </c>
      <c r="F1241" s="2">
        <v>782.824</v>
      </c>
    </row>
    <row r="1242" spans="3:6" x14ac:dyDescent="0.25">
      <c r="C1242" s="2" t="s">
        <v>1845</v>
      </c>
      <c r="D1242" s="2" t="s">
        <v>82</v>
      </c>
      <c r="E1242" s="2">
        <v>47</v>
      </c>
      <c r="F1242" s="2">
        <v>329.008</v>
      </c>
    </row>
    <row r="1243" spans="3:6" x14ac:dyDescent="0.25">
      <c r="C1243" s="2" t="s">
        <v>1846</v>
      </c>
      <c r="D1243" s="2" t="s">
        <v>82</v>
      </c>
      <c r="E1243" s="2">
        <v>121</v>
      </c>
      <c r="F1243" s="2">
        <v>876.046</v>
      </c>
    </row>
    <row r="1244" spans="3:6" x14ac:dyDescent="0.25">
      <c r="C1244" s="2" t="s">
        <v>1847</v>
      </c>
      <c r="D1244" s="2" t="s">
        <v>82</v>
      </c>
      <c r="E1244" s="2">
        <v>76</v>
      </c>
      <c r="F1244" s="2">
        <v>2096.498</v>
      </c>
    </row>
    <row r="1245" spans="3:6" x14ac:dyDescent="0.25">
      <c r="C1245" s="2" t="s">
        <v>1848</v>
      </c>
      <c r="D1245" s="2" t="s">
        <v>82</v>
      </c>
      <c r="E1245" s="2">
        <v>71</v>
      </c>
      <c r="F1245" s="2">
        <v>2572.37</v>
      </c>
    </row>
    <row r="1246" spans="3:6" x14ac:dyDescent="0.25">
      <c r="C1246" s="2" t="s">
        <v>1849</v>
      </c>
      <c r="D1246" s="2" t="s">
        <v>82</v>
      </c>
      <c r="E1246" s="2">
        <v>29</v>
      </c>
      <c r="F1246" s="2">
        <v>558.38</v>
      </c>
    </row>
    <row r="1247" spans="3:6" x14ac:dyDescent="0.25">
      <c r="C1247" s="2" t="s">
        <v>1850</v>
      </c>
      <c r="D1247" s="2" t="s">
        <v>82</v>
      </c>
      <c r="E1247" s="2">
        <v>21</v>
      </c>
      <c r="F1247" s="2">
        <v>403.29</v>
      </c>
    </row>
    <row r="1248" spans="3:6" x14ac:dyDescent="0.25">
      <c r="C1248" s="2" t="s">
        <v>1851</v>
      </c>
      <c r="D1248" s="2" t="s">
        <v>82</v>
      </c>
      <c r="E1248" s="2">
        <v>20</v>
      </c>
      <c r="F1248" s="2">
        <v>417.75</v>
      </c>
    </row>
    <row r="1249" spans="3:6" x14ac:dyDescent="0.25">
      <c r="C1249" s="2" t="s">
        <v>1852</v>
      </c>
      <c r="D1249" s="2" t="s">
        <v>82</v>
      </c>
      <c r="E1249" s="2">
        <v>18</v>
      </c>
      <c r="F1249" s="2">
        <v>361.93</v>
      </c>
    </row>
    <row r="1250" spans="3:6" x14ac:dyDescent="0.25">
      <c r="C1250" s="2" t="s">
        <v>1853</v>
      </c>
      <c r="D1250" s="2" t="s">
        <v>82</v>
      </c>
      <c r="E1250" s="2">
        <v>28</v>
      </c>
      <c r="F1250" s="2">
        <v>835.64</v>
      </c>
    </row>
    <row r="1252" spans="1:7" x14ac:dyDescent="0.25">
      <c r="A1252" s="1">
        <v>46216</v>
      </c>
      <c r="B1252" s="2" t="s">
        <v>290</v>
      </c>
      <c r="C1252" s="2" t="s">
        <v>1854</v>
      </c>
      <c r="D1252" s="2" t="s">
        <v>292</v>
      </c>
      <c r="E1252" s="2">
        <v>93</v>
      </c>
      <c r="F1252" s="2">
        <v>1842.979</v>
      </c>
      <c r="G1252" s="1">
        <v>46216</v>
      </c>
    </row>
    <row r="1253" spans="3:6" x14ac:dyDescent="0.25">
      <c r="C1253" s="2" t="s">
        <v>1855</v>
      </c>
      <c r="D1253" s="2" t="s">
        <v>292</v>
      </c>
      <c r="E1253" s="2">
        <v>16</v>
      </c>
      <c r="F1253" s="2">
        <v>353.52</v>
      </c>
    </row>
    <row r="1254" spans="3:6" x14ac:dyDescent="0.25">
      <c r="C1254" s="2" t="s">
        <v>1856</v>
      </c>
      <c r="D1254" s="2" t="s">
        <v>292</v>
      </c>
      <c r="E1254" s="2">
        <v>141</v>
      </c>
      <c r="F1254" s="2">
        <v>2964.58</v>
      </c>
    </row>
    <row r="1255" spans="3:6" x14ac:dyDescent="0.25">
      <c r="C1255" s="2" t="s">
        <v>1857</v>
      </c>
      <c r="D1255" s="2" t="s">
        <v>292</v>
      </c>
      <c r="E1255" s="2">
        <v>50</v>
      </c>
      <c r="F1255" s="2">
        <v>246.1</v>
      </c>
    </row>
    <row r="1256" spans="3:6" x14ac:dyDescent="0.25">
      <c r="C1256" s="2" t="s">
        <v>1858</v>
      </c>
      <c r="D1256" s="2" t="s">
        <v>292</v>
      </c>
      <c r="E1256" s="2">
        <v>141</v>
      </c>
      <c r="F1256" s="2">
        <v>2859.13</v>
      </c>
    </row>
    <row r="1257" spans="3:6" x14ac:dyDescent="0.25">
      <c r="C1257" s="2" t="s">
        <v>1859</v>
      </c>
      <c r="D1257" s="2" t="s">
        <v>292</v>
      </c>
      <c r="E1257" s="2">
        <v>123</v>
      </c>
      <c r="F1257" s="2">
        <v>2433.439</v>
      </c>
    </row>
    <row r="1258" spans="3:6" x14ac:dyDescent="0.25">
      <c r="C1258" s="2" t="s">
        <v>1860</v>
      </c>
      <c r="D1258" s="2" t="s">
        <v>292</v>
      </c>
      <c r="E1258" s="2">
        <v>17</v>
      </c>
      <c r="F1258" s="2">
        <v>0</v>
      </c>
    </row>
    <row r="1259" spans="3:6" x14ac:dyDescent="0.25">
      <c r="C1259" s="2" t="s">
        <v>1861</v>
      </c>
      <c r="D1259" s="2" t="s">
        <v>292</v>
      </c>
      <c r="E1259" s="2">
        <v>9</v>
      </c>
      <c r="F1259" s="2">
        <v>0</v>
      </c>
    </row>
    <row r="1260" spans="3:6" x14ac:dyDescent="0.25">
      <c r="C1260" s="2" t="s">
        <v>1862</v>
      </c>
      <c r="D1260" s="2" t="s">
        <v>292</v>
      </c>
      <c r="E1260" s="2">
        <v>8</v>
      </c>
      <c r="F1260" s="2">
        <v>0</v>
      </c>
    </row>
    <row r="1261" spans="3:6" x14ac:dyDescent="0.25">
      <c r="C1261" s="2" t="s">
        <v>1863</v>
      </c>
      <c r="D1261" s="2" t="s">
        <v>292</v>
      </c>
      <c r="E1261" s="2">
        <v>22</v>
      </c>
      <c r="F1261" s="2">
        <v>0</v>
      </c>
    </row>
    <row r="1262" spans="3:6" x14ac:dyDescent="0.25">
      <c r="C1262" s="2" t="s">
        <v>1864</v>
      </c>
      <c r="D1262" s="2" t="s">
        <v>292</v>
      </c>
      <c r="E1262" s="2">
        <v>100</v>
      </c>
      <c r="F1262" s="2">
        <v>2023.69</v>
      </c>
    </row>
    <row r="1263" spans="3:6" x14ac:dyDescent="0.25">
      <c r="C1263" s="2" t="s">
        <v>1865</v>
      </c>
      <c r="D1263" s="2" t="s">
        <v>292</v>
      </c>
      <c r="E1263" s="2">
        <v>141</v>
      </c>
      <c r="F1263" s="2">
        <v>0</v>
      </c>
    </row>
    <row r="1264" spans="3:6" x14ac:dyDescent="0.25">
      <c r="C1264" s="2" t="s">
        <v>1866</v>
      </c>
      <c r="D1264" s="2" t="s">
        <v>292</v>
      </c>
      <c r="E1264" s="2">
        <v>141</v>
      </c>
      <c r="F1264" s="2">
        <v>2999.4</v>
      </c>
    </row>
    <row r="1265" spans="3:6" x14ac:dyDescent="0.25">
      <c r="C1265" s="2" t="s">
        <v>1867</v>
      </c>
      <c r="D1265" s="2" t="s">
        <v>292</v>
      </c>
      <c r="E1265" s="2">
        <v>123</v>
      </c>
      <c r="F1265" s="2">
        <v>0</v>
      </c>
    </row>
    <row r="1266" spans="3:6" x14ac:dyDescent="0.25">
      <c r="C1266" s="2" t="s">
        <v>1868</v>
      </c>
      <c r="D1266" s="2" t="s">
        <v>292</v>
      </c>
      <c r="E1266" s="2">
        <v>58</v>
      </c>
      <c r="F1266" s="2">
        <v>0</v>
      </c>
    </row>
    <row r="1267" spans="3:6" x14ac:dyDescent="0.25">
      <c r="C1267" s="2" t="s">
        <v>1869</v>
      </c>
      <c r="D1267" s="2" t="s">
        <v>292</v>
      </c>
      <c r="E1267" s="2">
        <v>55</v>
      </c>
      <c r="F1267" s="2">
        <v>0</v>
      </c>
    </row>
    <row r="1268" spans="3:6" x14ac:dyDescent="0.25">
      <c r="C1268" s="2" t="s">
        <v>1870</v>
      </c>
      <c r="D1268" s="2" t="s">
        <v>292</v>
      </c>
      <c r="E1268" s="2">
        <v>65</v>
      </c>
      <c r="F1268" s="2">
        <v>0</v>
      </c>
    </row>
    <row r="1269" spans="3:6" x14ac:dyDescent="0.25">
      <c r="C1269" s="2" t="s">
        <v>1871</v>
      </c>
      <c r="D1269" s="2" t="s">
        <v>292</v>
      </c>
      <c r="E1269" s="2">
        <v>10</v>
      </c>
      <c r="F1269" s="2">
        <v>0</v>
      </c>
    </row>
    <row r="1270" spans="3:6" x14ac:dyDescent="0.25">
      <c r="C1270" s="2" t="s">
        <v>1872</v>
      </c>
      <c r="D1270" s="2" t="s">
        <v>292</v>
      </c>
      <c r="E1270" s="2">
        <v>141</v>
      </c>
      <c r="F1270" s="2">
        <v>3112.73</v>
      </c>
    </row>
    <row r="1271" spans="3:6" x14ac:dyDescent="0.25">
      <c r="C1271" s="2" t="s">
        <v>1873</v>
      </c>
      <c r="D1271" s="2" t="s">
        <v>292</v>
      </c>
      <c r="E1271" s="2">
        <v>45</v>
      </c>
      <c r="F1271" s="2">
        <v>0</v>
      </c>
    </row>
    <row r="1272" spans="3:6" x14ac:dyDescent="0.25">
      <c r="C1272" s="2" t="s">
        <v>1874</v>
      </c>
      <c r="D1272" s="2" t="s">
        <v>292</v>
      </c>
      <c r="E1272" s="2">
        <v>141</v>
      </c>
      <c r="F1272" s="2">
        <v>2743.16</v>
      </c>
    </row>
    <row r="1273" spans="3:6" x14ac:dyDescent="0.25">
      <c r="C1273" s="2" t="s">
        <v>1875</v>
      </c>
      <c r="D1273" s="2" t="s">
        <v>292</v>
      </c>
      <c r="E1273" s="2">
        <v>50</v>
      </c>
      <c r="F1273" s="2">
        <v>976.61</v>
      </c>
    </row>
    <row r="1274" spans="3:6" x14ac:dyDescent="0.25">
      <c r="C1274" s="2" t="s">
        <v>1876</v>
      </c>
      <c r="D1274" s="2" t="s">
        <v>292</v>
      </c>
      <c r="E1274" s="2">
        <v>10</v>
      </c>
      <c r="F1274" s="2">
        <v>196.3</v>
      </c>
    </row>
    <row r="1275" spans="3:6" x14ac:dyDescent="0.25">
      <c r="C1275" s="2" t="s">
        <v>1877</v>
      </c>
      <c r="D1275" s="2" t="s">
        <v>292</v>
      </c>
      <c r="E1275" s="2">
        <v>81</v>
      </c>
      <c r="F1275" s="2">
        <v>1448.362</v>
      </c>
    </row>
    <row r="1276" spans="3:6" x14ac:dyDescent="0.25">
      <c r="C1276" s="2" t="s">
        <v>1878</v>
      </c>
      <c r="D1276" s="2" t="s">
        <v>292</v>
      </c>
      <c r="E1276" s="2">
        <v>22</v>
      </c>
      <c r="F1276" s="2">
        <v>303.82</v>
      </c>
    </row>
    <row r="1277" spans="3:6" x14ac:dyDescent="0.25">
      <c r="C1277" s="2" t="s">
        <v>1879</v>
      </c>
      <c r="D1277" s="2" t="s">
        <v>292</v>
      </c>
      <c r="E1277" s="2">
        <v>13</v>
      </c>
      <c r="F1277" s="2">
        <v>218.36</v>
      </c>
    </row>
    <row r="1278" spans="3:6" x14ac:dyDescent="0.25">
      <c r="C1278" s="2" t="s">
        <v>1880</v>
      </c>
      <c r="D1278" s="2" t="s">
        <v>292</v>
      </c>
      <c r="E1278" s="2">
        <v>16</v>
      </c>
      <c r="F1278" s="2">
        <v>311.31</v>
      </c>
    </row>
    <row r="1279" spans="3:6" x14ac:dyDescent="0.25">
      <c r="C1279" s="2" t="s">
        <v>1881</v>
      </c>
      <c r="D1279" s="2" t="s">
        <v>292</v>
      </c>
      <c r="E1279" s="2">
        <v>90</v>
      </c>
      <c r="F1279" s="2">
        <v>1573.276</v>
      </c>
    </row>
    <row r="1280" spans="3:6" x14ac:dyDescent="0.25">
      <c r="C1280" s="2" t="s">
        <v>1882</v>
      </c>
      <c r="D1280" s="2" t="s">
        <v>292</v>
      </c>
      <c r="E1280" s="2">
        <v>122</v>
      </c>
      <c r="F1280" s="2">
        <v>0</v>
      </c>
    </row>
    <row r="1281" spans="3:6" x14ac:dyDescent="0.25">
      <c r="C1281" s="2" t="s">
        <v>1883</v>
      </c>
      <c r="D1281" s="2" t="s">
        <v>292</v>
      </c>
      <c r="E1281" s="2">
        <v>83</v>
      </c>
      <c r="F1281" s="2">
        <v>0</v>
      </c>
    </row>
    <row r="1282" spans="3:6" x14ac:dyDescent="0.25">
      <c r="C1282" s="2" t="s">
        <v>1884</v>
      </c>
      <c r="D1282" s="2" t="s">
        <v>292</v>
      </c>
      <c r="E1282" s="2">
        <v>134</v>
      </c>
      <c r="F1282" s="2">
        <v>0</v>
      </c>
    </row>
    <row r="1283" spans="3:6" x14ac:dyDescent="0.25">
      <c r="C1283" s="2" t="s">
        <v>1885</v>
      </c>
      <c r="D1283" s="2" t="s">
        <v>292</v>
      </c>
      <c r="E1283" s="2">
        <v>45</v>
      </c>
      <c r="F1283" s="2">
        <v>0</v>
      </c>
    </row>
    <row r="1284" spans="3:6" x14ac:dyDescent="0.25">
      <c r="C1284" s="2" t="s">
        <v>1886</v>
      </c>
      <c r="D1284" s="2" t="s">
        <v>292</v>
      </c>
      <c r="E1284" s="2">
        <v>60</v>
      </c>
      <c r="F1284" s="2">
        <v>0</v>
      </c>
    </row>
    <row r="1285" spans="3:6" x14ac:dyDescent="0.25">
      <c r="C1285" s="2" t="s">
        <v>1887</v>
      </c>
      <c r="D1285" s="2" t="s">
        <v>292</v>
      </c>
      <c r="E1285" s="2">
        <v>35</v>
      </c>
      <c r="F1285" s="2">
        <v>0</v>
      </c>
    </row>
    <row r="1286" spans="3:6" x14ac:dyDescent="0.25">
      <c r="C1286" s="2" t="s">
        <v>1888</v>
      </c>
      <c r="D1286" s="2" t="s">
        <v>292</v>
      </c>
      <c r="E1286" s="2">
        <v>119</v>
      </c>
      <c r="F1286" s="2">
        <v>0</v>
      </c>
    </row>
    <row r="1287" spans="3:6" x14ac:dyDescent="0.25">
      <c r="C1287" s="2" t="s">
        <v>1889</v>
      </c>
      <c r="D1287" s="2" t="s">
        <v>292</v>
      </c>
      <c r="E1287" s="2">
        <v>17</v>
      </c>
      <c r="F1287" s="2">
        <v>0</v>
      </c>
    </row>
    <row r="1288" spans="3:6" x14ac:dyDescent="0.25">
      <c r="C1288" s="2" t="s">
        <v>1890</v>
      </c>
      <c r="D1288" s="2" t="s">
        <v>292</v>
      </c>
      <c r="E1288" s="2">
        <v>106</v>
      </c>
      <c r="F1288" s="2">
        <v>0</v>
      </c>
    </row>
    <row r="1289" spans="3:6" x14ac:dyDescent="0.25">
      <c r="C1289" s="2" t="s">
        <v>1891</v>
      </c>
      <c r="D1289" s="2" t="s">
        <v>292</v>
      </c>
      <c r="E1289" s="2">
        <v>16</v>
      </c>
      <c r="F1289" s="2">
        <v>0</v>
      </c>
    </row>
    <row r="1290" spans="3:6" x14ac:dyDescent="0.25">
      <c r="C1290" s="2" t="s">
        <v>1892</v>
      </c>
      <c r="D1290" s="2" t="s">
        <v>292</v>
      </c>
      <c r="E1290" s="2">
        <v>20</v>
      </c>
      <c r="F1290" s="2">
        <v>0</v>
      </c>
    </row>
    <row r="1291" spans="3:6" x14ac:dyDescent="0.25">
      <c r="C1291" s="2" t="s">
        <v>1893</v>
      </c>
      <c r="D1291" s="2" t="s">
        <v>292</v>
      </c>
      <c r="E1291" s="2">
        <v>104</v>
      </c>
      <c r="F1291" s="2">
        <v>0</v>
      </c>
    </row>
    <row r="1292" spans="3:6" x14ac:dyDescent="0.25">
      <c r="C1292" s="2" t="s">
        <v>1894</v>
      </c>
      <c r="D1292" s="2" t="s">
        <v>292</v>
      </c>
      <c r="E1292" s="2">
        <v>19</v>
      </c>
      <c r="F1292" s="2">
        <v>0</v>
      </c>
    </row>
    <row r="1293" spans="3:6" x14ac:dyDescent="0.25">
      <c r="C1293" s="2" t="s">
        <v>1895</v>
      </c>
      <c r="D1293" s="2" t="s">
        <v>292</v>
      </c>
      <c r="E1293" s="2">
        <v>26</v>
      </c>
      <c r="F1293" s="2">
        <v>0</v>
      </c>
    </row>
    <row r="1294" spans="3:6" x14ac:dyDescent="0.25">
      <c r="C1294" s="2" t="s">
        <v>1896</v>
      </c>
      <c r="D1294" s="2" t="s">
        <v>292</v>
      </c>
      <c r="E1294" s="2">
        <v>45</v>
      </c>
      <c r="F1294" s="2">
        <v>949.2</v>
      </c>
    </row>
    <row r="1295" spans="3:6" x14ac:dyDescent="0.25">
      <c r="C1295" s="2" t="s">
        <v>1897</v>
      </c>
      <c r="D1295" s="2" t="s">
        <v>292</v>
      </c>
      <c r="E1295" s="2">
        <v>90</v>
      </c>
      <c r="F1295" s="2">
        <v>1773.8</v>
      </c>
    </row>
    <row r="1296" spans="3:6" x14ac:dyDescent="0.25">
      <c r="C1296" s="2" t="s">
        <v>1898</v>
      </c>
      <c r="D1296" s="2" t="s">
        <v>292</v>
      </c>
      <c r="E1296" s="2">
        <v>112</v>
      </c>
      <c r="F1296" s="2">
        <v>2393.195</v>
      </c>
    </row>
    <row r="1297" spans="3:6" x14ac:dyDescent="0.25">
      <c r="C1297" s="2" t="s">
        <v>1899</v>
      </c>
      <c r="D1297" s="2" t="s">
        <v>292</v>
      </c>
      <c r="E1297" s="2">
        <v>51</v>
      </c>
      <c r="F1297" s="2">
        <v>1030.889</v>
      </c>
    </row>
    <row r="1298" spans="3:6" x14ac:dyDescent="0.25">
      <c r="C1298" s="2" t="s">
        <v>1900</v>
      </c>
      <c r="D1298" s="2" t="s">
        <v>292</v>
      </c>
      <c r="E1298" s="2">
        <v>27</v>
      </c>
      <c r="F1298" s="2">
        <v>539.74</v>
      </c>
    </row>
    <row r="1299" spans="3:6" x14ac:dyDescent="0.25">
      <c r="C1299" s="2" t="s">
        <v>1901</v>
      </c>
      <c r="D1299" s="2" t="s">
        <v>292</v>
      </c>
      <c r="E1299" s="2">
        <v>36</v>
      </c>
      <c r="F1299" s="2">
        <v>682.3</v>
      </c>
    </row>
    <row r="1300" spans="3:6" x14ac:dyDescent="0.25">
      <c r="C1300" s="2" t="s">
        <v>1902</v>
      </c>
      <c r="D1300" s="2" t="s">
        <v>292</v>
      </c>
      <c r="E1300" s="2">
        <v>53</v>
      </c>
      <c r="F1300" s="2">
        <v>986.13</v>
      </c>
    </row>
    <row r="1301" spans="3:6" x14ac:dyDescent="0.25">
      <c r="C1301" s="2" t="s">
        <v>1903</v>
      </c>
      <c r="D1301" s="2" t="s">
        <v>292</v>
      </c>
      <c r="E1301" s="2">
        <v>64</v>
      </c>
      <c r="F1301" s="2">
        <v>1401.05</v>
      </c>
    </row>
    <row r="1302" spans="3:6" x14ac:dyDescent="0.25">
      <c r="C1302" s="2" t="s">
        <v>1904</v>
      </c>
      <c r="D1302" s="2" t="s">
        <v>292</v>
      </c>
      <c r="E1302" s="2">
        <v>47</v>
      </c>
      <c r="F1302" s="2">
        <v>986.08</v>
      </c>
    </row>
    <row r="1303" spans="3:6" x14ac:dyDescent="0.25">
      <c r="C1303" s="2" t="s">
        <v>1905</v>
      </c>
      <c r="D1303" s="2" t="s">
        <v>292</v>
      </c>
      <c r="E1303" s="2">
        <v>8</v>
      </c>
      <c r="F1303" s="2">
        <v>128.16</v>
      </c>
    </row>
    <row r="1304" spans="3:6" x14ac:dyDescent="0.25">
      <c r="C1304" s="2" t="s">
        <v>1906</v>
      </c>
      <c r="D1304" s="2" t="s">
        <v>292</v>
      </c>
      <c r="E1304" s="2">
        <v>9</v>
      </c>
      <c r="F1304" s="2">
        <v>160.89</v>
      </c>
    </row>
    <row r="1305" spans="3:6" x14ac:dyDescent="0.25">
      <c r="C1305" s="2" t="s">
        <v>1907</v>
      </c>
      <c r="D1305" s="2" t="s">
        <v>292</v>
      </c>
      <c r="E1305" s="2">
        <v>13</v>
      </c>
      <c r="F1305" s="2">
        <v>224.568</v>
      </c>
    </row>
    <row r="1306" spans="3:6" x14ac:dyDescent="0.25">
      <c r="C1306" s="2" t="s">
        <v>1908</v>
      </c>
      <c r="D1306" s="2" t="s">
        <v>292</v>
      </c>
      <c r="E1306" s="2">
        <v>8</v>
      </c>
      <c r="F1306" s="2">
        <v>138.16</v>
      </c>
    </row>
    <row r="1307" spans="3:6" x14ac:dyDescent="0.25">
      <c r="C1307" s="2" t="s">
        <v>1909</v>
      </c>
      <c r="D1307" s="2" t="s">
        <v>292</v>
      </c>
      <c r="E1307" s="2">
        <v>70</v>
      </c>
      <c r="F1307" s="2">
        <v>1271.428</v>
      </c>
    </row>
    <row r="1308" spans="3:6" x14ac:dyDescent="0.25">
      <c r="C1308" s="2" t="s">
        <v>1910</v>
      </c>
      <c r="D1308" s="2" t="s">
        <v>292</v>
      </c>
      <c r="E1308" s="2">
        <v>42</v>
      </c>
      <c r="F1308" s="2">
        <v>809.23</v>
      </c>
    </row>
    <row r="1309" spans="3:6" x14ac:dyDescent="0.25">
      <c r="C1309" s="2" t="s">
        <v>1911</v>
      </c>
      <c r="D1309" s="2" t="s">
        <v>292</v>
      </c>
      <c r="E1309" s="2">
        <v>37</v>
      </c>
      <c r="F1309" s="2">
        <v>702.577</v>
      </c>
    </row>
    <row r="1310" spans="3:6" x14ac:dyDescent="0.25">
      <c r="C1310" s="2" t="s">
        <v>1912</v>
      </c>
      <c r="D1310" s="2" t="s">
        <v>292</v>
      </c>
      <c r="E1310" s="2">
        <v>13</v>
      </c>
      <c r="F1310" s="2">
        <v>260.32</v>
      </c>
    </row>
    <row r="1312" spans="1:7" x14ac:dyDescent="0.25">
      <c r="A1312" s="1">
        <v>46216</v>
      </c>
      <c r="B1312" s="2" t="s">
        <v>7</v>
      </c>
      <c r="C1312" s="2" t="s">
        <v>1913</v>
      </c>
      <c r="D1312" s="2" t="s">
        <v>9</v>
      </c>
      <c r="E1312" s="2">
        <v>86</v>
      </c>
      <c r="F1312" s="2">
        <v>1712.282</v>
      </c>
      <c r="G1312" s="1">
        <v>46216</v>
      </c>
    </row>
    <row r="1313" spans="3:6" x14ac:dyDescent="0.25">
      <c r="C1313" s="2" t="s">
        <v>1914</v>
      </c>
      <c r="D1313" s="2" t="s">
        <v>9</v>
      </c>
      <c r="E1313" s="2">
        <v>99</v>
      </c>
      <c r="F1313" s="2">
        <v>1928.75</v>
      </c>
    </row>
    <row r="1315" spans="1:7" x14ac:dyDescent="0.25">
      <c r="A1315" s="1">
        <v>46216</v>
      </c>
      <c r="B1315" s="2" t="s">
        <v>128</v>
      </c>
      <c r="C1315" s="2" t="s">
        <v>1915</v>
      </c>
      <c r="D1315" s="2" t="s">
        <v>30</v>
      </c>
      <c r="E1315" s="2">
        <v>68</v>
      </c>
      <c r="F1315" s="2">
        <v>1283.87</v>
      </c>
      <c r="G1315" s="1">
        <v>46216</v>
      </c>
    </row>
    <row r="1316" spans="3:6" x14ac:dyDescent="0.25">
      <c r="C1316" s="2" t="s">
        <v>1916</v>
      </c>
      <c r="D1316" s="2" t="s">
        <v>15</v>
      </c>
      <c r="E1316" s="2">
        <v>22</v>
      </c>
      <c r="F1316" s="2">
        <v>457.81</v>
      </c>
    </row>
    <row r="1317" spans="3:6" x14ac:dyDescent="0.25">
      <c r="C1317" s="2" t="s">
        <v>1917</v>
      </c>
      <c r="D1317" s="2" t="s">
        <v>36</v>
      </c>
      <c r="E1317" s="2">
        <v>45</v>
      </c>
      <c r="F1317" s="2">
        <v>852.16</v>
      </c>
    </row>
    <row r="1318" spans="3:6" x14ac:dyDescent="0.25">
      <c r="C1318" s="2" t="s">
        <v>1918</v>
      </c>
      <c r="D1318" s="2" t="s">
        <v>36</v>
      </c>
      <c r="E1318" s="2">
        <v>80</v>
      </c>
      <c r="F1318" s="2">
        <v>1516.57</v>
      </c>
    </row>
    <row r="1319" spans="3:6" x14ac:dyDescent="0.25">
      <c r="C1319" s="2" t="s">
        <v>1919</v>
      </c>
      <c r="D1319" s="2" t="s">
        <v>36</v>
      </c>
      <c r="E1319" s="2">
        <v>25</v>
      </c>
      <c r="F1319" s="2">
        <v>520.86</v>
      </c>
    </row>
    <row r="1320" spans="3:6" x14ac:dyDescent="0.25">
      <c r="C1320" s="2" t="s">
        <v>1920</v>
      </c>
      <c r="D1320" s="2" t="s">
        <v>36</v>
      </c>
      <c r="E1320" s="2">
        <v>60</v>
      </c>
      <c r="F1320" s="2">
        <v>1090.99</v>
      </c>
    </row>
    <row r="1321" spans="3:6" x14ac:dyDescent="0.25">
      <c r="C1321" s="2" t="s">
        <v>1921</v>
      </c>
      <c r="D1321" s="2" t="s">
        <v>15</v>
      </c>
      <c r="E1321" s="2">
        <v>134</v>
      </c>
      <c r="F1321" s="2">
        <v>2781.654</v>
      </c>
    </row>
    <row r="1322" spans="3:6" x14ac:dyDescent="0.25">
      <c r="C1322" s="2" t="s">
        <v>1922</v>
      </c>
      <c r="D1322" s="2" t="s">
        <v>136</v>
      </c>
      <c r="E1322" s="2">
        <v>75</v>
      </c>
      <c r="F1322" s="2">
        <v>1386.94</v>
      </c>
    </row>
    <row r="1323" spans="3:6" x14ac:dyDescent="0.25">
      <c r="C1323" s="2" t="s">
        <v>1923</v>
      </c>
      <c r="D1323" s="2" t="s">
        <v>136</v>
      </c>
      <c r="E1323" s="2">
        <v>30</v>
      </c>
      <c r="F1323" s="2">
        <v>525.07</v>
      </c>
    </row>
    <row r="1324" spans="3:6" x14ac:dyDescent="0.25">
      <c r="C1324" s="2" t="s">
        <v>1924</v>
      </c>
      <c r="D1324" s="2" t="s">
        <v>15</v>
      </c>
      <c r="E1324" s="2">
        <v>105</v>
      </c>
      <c r="F1324" s="2">
        <v>2074.73</v>
      </c>
    </row>
    <row r="1325" spans="3:6" x14ac:dyDescent="0.25">
      <c r="C1325" s="2" t="s">
        <v>1925</v>
      </c>
      <c r="D1325" s="2" t="s">
        <v>15</v>
      </c>
      <c r="E1325" s="2">
        <v>95</v>
      </c>
      <c r="F1325" s="2">
        <v>2191.66</v>
      </c>
    </row>
    <row r="1326" spans="3:6" x14ac:dyDescent="0.25">
      <c r="C1326" s="2" t="s">
        <v>1926</v>
      </c>
      <c r="D1326" s="2" t="s">
        <v>26</v>
      </c>
      <c r="E1326" s="2">
        <v>100</v>
      </c>
      <c r="F1326" s="2">
        <v>2002.88</v>
      </c>
    </row>
    <row r="1327" spans="3:6" x14ac:dyDescent="0.25">
      <c r="C1327" s="2" t="s">
        <v>1927</v>
      </c>
      <c r="D1327" s="2" t="s">
        <v>26</v>
      </c>
      <c r="E1327" s="2">
        <v>56</v>
      </c>
      <c r="F1327" s="2">
        <v>1099.74</v>
      </c>
    </row>
    <row r="1328" spans="3:6" x14ac:dyDescent="0.25">
      <c r="C1328" s="2" t="s">
        <v>1928</v>
      </c>
      <c r="D1328" s="2" t="s">
        <v>30</v>
      </c>
      <c r="E1328" s="2">
        <v>134</v>
      </c>
      <c r="F1328" s="2">
        <v>2594.319</v>
      </c>
    </row>
    <row r="1329" spans="3:6" x14ac:dyDescent="0.25">
      <c r="C1329" s="2" t="s">
        <v>1929</v>
      </c>
      <c r="D1329" s="2" t="s">
        <v>30</v>
      </c>
      <c r="E1329" s="2">
        <v>134</v>
      </c>
      <c r="F1329" s="2">
        <v>2575.61</v>
      </c>
    </row>
    <row r="1330" spans="3:6" x14ac:dyDescent="0.25">
      <c r="C1330" s="2" t="s">
        <v>1930</v>
      </c>
      <c r="D1330" s="2" t="s">
        <v>30</v>
      </c>
      <c r="E1330" s="2">
        <v>134</v>
      </c>
      <c r="F1330" s="2">
        <v>2548.691</v>
      </c>
    </row>
    <row r="1331" spans="3:6" x14ac:dyDescent="0.25">
      <c r="C1331" s="2" t="s">
        <v>1931</v>
      </c>
      <c r="D1331" s="2" t="s">
        <v>42</v>
      </c>
      <c r="E1331" s="2">
        <v>55</v>
      </c>
      <c r="F1331" s="2">
        <v>1074.67</v>
      </c>
    </row>
    <row r="1332" spans="3:6" x14ac:dyDescent="0.25">
      <c r="C1332" s="2" t="s">
        <v>1932</v>
      </c>
      <c r="D1332" s="2" t="s">
        <v>42</v>
      </c>
      <c r="E1332" s="2">
        <v>47</v>
      </c>
      <c r="F1332" s="2">
        <v>879.58</v>
      </c>
    </row>
    <row r="1333" spans="3:6" x14ac:dyDescent="0.25">
      <c r="C1333" s="2" t="s">
        <v>1933</v>
      </c>
      <c r="D1333" s="2" t="s">
        <v>30</v>
      </c>
      <c r="E1333" s="2">
        <v>134</v>
      </c>
      <c r="F1333" s="2">
        <v>2656.198</v>
      </c>
    </row>
    <row r="1334" spans="3:6" x14ac:dyDescent="0.25">
      <c r="C1334" s="2" t="s">
        <v>1934</v>
      </c>
      <c r="D1334" s="2" t="s">
        <v>30</v>
      </c>
      <c r="E1334" s="2">
        <v>134</v>
      </c>
      <c r="F1334" s="2">
        <v>2740.31</v>
      </c>
    </row>
    <row r="1335" spans="3:6" x14ac:dyDescent="0.25">
      <c r="C1335" s="2" t="s">
        <v>1935</v>
      </c>
      <c r="D1335" s="2" t="s">
        <v>15</v>
      </c>
      <c r="E1335" s="2">
        <v>32</v>
      </c>
      <c r="F1335" s="2">
        <v>685.84</v>
      </c>
    </row>
    <row r="1336" spans="3:6" x14ac:dyDescent="0.25">
      <c r="C1336" s="2" t="s">
        <v>1936</v>
      </c>
      <c r="D1336" s="2" t="s">
        <v>15</v>
      </c>
      <c r="E1336" s="2">
        <v>96</v>
      </c>
      <c r="F1336" s="2">
        <v>302.814</v>
      </c>
    </row>
    <row r="1337" spans="3:6" x14ac:dyDescent="0.25">
      <c r="C1337" s="2" t="s">
        <v>1937</v>
      </c>
      <c r="D1337" s="2" t="s">
        <v>42</v>
      </c>
      <c r="E1337" s="2">
        <v>100</v>
      </c>
      <c r="F1337" s="2">
        <v>1953.3</v>
      </c>
    </row>
    <row r="1338" spans="3:6" x14ac:dyDescent="0.25">
      <c r="C1338" s="2" t="s">
        <v>1938</v>
      </c>
      <c r="D1338" s="2" t="s">
        <v>42</v>
      </c>
      <c r="E1338" s="2">
        <v>56</v>
      </c>
      <c r="F1338" s="2">
        <v>1094.08</v>
      </c>
    </row>
    <row r="1339" spans="3:6" x14ac:dyDescent="0.25">
      <c r="C1339" s="2" t="s">
        <v>1939</v>
      </c>
      <c r="D1339" s="2" t="s">
        <v>15</v>
      </c>
      <c r="E1339" s="2">
        <v>163</v>
      </c>
      <c r="F1339" s="2">
        <v>3170.968</v>
      </c>
    </row>
    <row r="1340" spans="3:6" x14ac:dyDescent="0.25">
      <c r="C1340" s="2" t="s">
        <v>1940</v>
      </c>
      <c r="D1340" s="2" t="s">
        <v>30</v>
      </c>
      <c r="E1340" s="2">
        <v>134</v>
      </c>
      <c r="F1340" s="2">
        <v>2777.34</v>
      </c>
    </row>
    <row r="1341" spans="3:6" x14ac:dyDescent="0.25">
      <c r="C1341" s="2" t="s">
        <v>1941</v>
      </c>
      <c r="D1341" s="2" t="s">
        <v>15</v>
      </c>
      <c r="E1341" s="2">
        <v>103</v>
      </c>
      <c r="F1341" s="2">
        <v>2075.561</v>
      </c>
    </row>
    <row r="1342" spans="3:6" x14ac:dyDescent="0.25">
      <c r="C1342" s="2" t="s">
        <v>1386</v>
      </c>
      <c r="D1342" s="2" t="s">
        <v>15</v>
      </c>
      <c r="E1342" s="2">
        <v>163</v>
      </c>
      <c r="F1342" s="2">
        <v>3231.23</v>
      </c>
    </row>
    <row r="1343" spans="3:6" x14ac:dyDescent="0.25">
      <c r="C1343" s="2" t="s">
        <v>1388</v>
      </c>
      <c r="D1343" s="2" t="s">
        <v>15</v>
      </c>
      <c r="E1343" s="2">
        <v>36</v>
      </c>
      <c r="F1343" s="2">
        <v>722.249</v>
      </c>
    </row>
    <row r="1345" spans="2:7" x14ac:dyDescent="0.25">
      <c r="B1345" s="2" t="s">
        <v>1942</v>
      </c>
      <c r="C1345" s="2" t="s">
        <v>1943</v>
      </c>
      <c r="D1345" s="2" t="s">
        <v>136</v>
      </c>
      <c r="E1345" s="2">
        <v>154</v>
      </c>
      <c r="F1345" s="2">
        <v>3133.178</v>
      </c>
      <c r="G1345" s="1">
        <v>46216</v>
      </c>
    </row>
    <row r="1346" spans="3:6" x14ac:dyDescent="0.25">
      <c r="C1346" s="2" t="s">
        <v>1944</v>
      </c>
      <c r="D1346" s="2" t="s">
        <v>136</v>
      </c>
      <c r="E1346" s="2">
        <v>154</v>
      </c>
      <c r="F1346" s="2">
        <v>3074.65</v>
      </c>
    </row>
    <row r="1348" spans="2:7" x14ac:dyDescent="0.25">
      <c r="B1348" s="2" t="s">
        <v>48</v>
      </c>
      <c r="C1348" s="2" t="s">
        <v>1945</v>
      </c>
      <c r="D1348" s="2" t="s">
        <v>30</v>
      </c>
      <c r="E1348" s="2">
        <v>157</v>
      </c>
      <c r="F1348" s="2">
        <v>1808</v>
      </c>
      <c r="G1348" s="1">
        <v>46216</v>
      </c>
    </row>
    <row r="1349" spans="3:6" x14ac:dyDescent="0.25">
      <c r="C1349" s="2" t="s">
        <v>1946</v>
      </c>
      <c r="D1349" s="2" t="s">
        <v>30</v>
      </c>
      <c r="E1349" s="2">
        <v>105</v>
      </c>
      <c r="F1349" s="2">
        <v>2000</v>
      </c>
    </row>
    <row r="1350" spans="3:6" x14ac:dyDescent="0.25">
      <c r="C1350" s="2" t="s">
        <v>1947</v>
      </c>
      <c r="D1350" s="2" t="s">
        <v>30</v>
      </c>
      <c r="E1350" s="2">
        <v>156</v>
      </c>
      <c r="F1350" s="2">
        <v>2714</v>
      </c>
    </row>
    <row r="1352" spans="1:7" x14ac:dyDescent="0.25">
      <c r="A1352" s="1">
        <v>46216</v>
      </c>
      <c r="B1352" s="2" t="s">
        <v>347</v>
      </c>
      <c r="C1352" s="2" t="s">
        <v>1948</v>
      </c>
      <c r="D1352" s="2" t="s">
        <v>59</v>
      </c>
      <c r="E1352" s="2">
        <v>102</v>
      </c>
      <c r="F1352" s="2">
        <v>1978.53</v>
      </c>
      <c r="G1352" s="1">
        <v>46216</v>
      </c>
    </row>
    <row r="1353" spans="3:6" x14ac:dyDescent="0.25">
      <c r="C1353" s="2" t="s">
        <v>1949</v>
      </c>
      <c r="D1353" s="2" t="s">
        <v>59</v>
      </c>
      <c r="E1353" s="2">
        <v>149</v>
      </c>
      <c r="F1353" s="2">
        <v>2784.349</v>
      </c>
    </row>
    <row r="1354" spans="3:6" x14ac:dyDescent="0.25">
      <c r="C1354" s="2" t="s">
        <v>1950</v>
      </c>
      <c r="D1354" s="2" t="s">
        <v>59</v>
      </c>
      <c r="E1354" s="2">
        <v>149</v>
      </c>
      <c r="F1354" s="2">
        <v>2731.147</v>
      </c>
    </row>
    <row r="1355" spans="3:6" x14ac:dyDescent="0.25">
      <c r="C1355" s="2" t="s">
        <v>1951</v>
      </c>
      <c r="D1355" s="2" t="s">
        <v>59</v>
      </c>
      <c r="E1355" s="2">
        <v>149</v>
      </c>
      <c r="F1355" s="2">
        <v>2850.249</v>
      </c>
    </row>
    <row r="1356" spans="3:6" x14ac:dyDescent="0.25">
      <c r="C1356" s="2" t="s">
        <v>1952</v>
      </c>
      <c r="D1356" s="2" t="s">
        <v>59</v>
      </c>
      <c r="E1356" s="2">
        <v>250</v>
      </c>
      <c r="F1356" s="2">
        <v>4817.179</v>
      </c>
    </row>
    <row r="1357" spans="3:6" x14ac:dyDescent="0.25">
      <c r="C1357" s="2" t="s">
        <v>1953</v>
      </c>
      <c r="D1357" s="2" t="s">
        <v>59</v>
      </c>
      <c r="E1357" s="2">
        <v>149</v>
      </c>
      <c r="F1357" s="2">
        <v>2971.95</v>
      </c>
    </row>
    <row r="1358" spans="3:6" x14ac:dyDescent="0.25">
      <c r="C1358" s="2" t="s">
        <v>1954</v>
      </c>
      <c r="D1358" s="2" t="s">
        <v>59</v>
      </c>
      <c r="E1358" s="2">
        <v>102</v>
      </c>
      <c r="F1358" s="2">
        <v>1959.93</v>
      </c>
    </row>
    <row r="1359" spans="3:6" x14ac:dyDescent="0.25">
      <c r="C1359" s="2" t="s">
        <v>1955</v>
      </c>
      <c r="D1359" s="2" t="s">
        <v>59</v>
      </c>
      <c r="E1359" s="2">
        <v>102</v>
      </c>
      <c r="F1359" s="2">
        <v>2054.97</v>
      </c>
    </row>
    <row r="1360" spans="3:6" x14ac:dyDescent="0.25">
      <c r="C1360" s="2" t="s">
        <v>1956</v>
      </c>
      <c r="D1360" s="2" t="s">
        <v>59</v>
      </c>
      <c r="E1360" s="2">
        <v>102</v>
      </c>
      <c r="F1360" s="2">
        <v>2040.819</v>
      </c>
    </row>
    <row r="1361" spans="3:6" x14ac:dyDescent="0.25">
      <c r="C1361" s="2" t="s">
        <v>1957</v>
      </c>
      <c r="D1361" s="2" t="s">
        <v>59</v>
      </c>
      <c r="E1361" s="2">
        <v>149</v>
      </c>
      <c r="F1361" s="2">
        <v>2781.42</v>
      </c>
    </row>
    <row r="1363" spans="1:7" x14ac:dyDescent="0.25">
      <c r="A1363" s="1">
        <v>46217</v>
      </c>
      <c r="B1363" s="2" t="s">
        <v>1958</v>
      </c>
      <c r="C1363" s="2" t="s">
        <v>1959</v>
      </c>
      <c r="D1363" s="2" t="s">
        <v>15</v>
      </c>
      <c r="E1363" s="2">
        <v>102</v>
      </c>
      <c r="F1363" s="2">
        <v>1808</v>
      </c>
      <c r="G1363" s="1">
        <v>46218</v>
      </c>
    </row>
    <row r="1365" spans="1:7" x14ac:dyDescent="0.25">
      <c r="A1365" s="1">
        <v>46217</v>
      </c>
      <c r="B1365" s="2" t="s">
        <v>1012</v>
      </c>
      <c r="C1365" s="2" t="s">
        <v>1960</v>
      </c>
      <c r="D1365" s="2" t="s">
        <v>73</v>
      </c>
      <c r="E1365" s="2">
        <v>90</v>
      </c>
      <c r="F1365" s="2">
        <v>1869.069</v>
      </c>
      <c r="G1365" s="1">
        <v>46216</v>
      </c>
    </row>
    <row r="1366" spans="3:6" x14ac:dyDescent="0.25">
      <c r="C1366" s="2" t="s">
        <v>1961</v>
      </c>
      <c r="D1366" s="2" t="s">
        <v>73</v>
      </c>
      <c r="E1366" s="2">
        <v>97</v>
      </c>
      <c r="F1366" s="2">
        <v>1911.28</v>
      </c>
    </row>
    <row r="1367" spans="3:6" x14ac:dyDescent="0.25">
      <c r="C1367" s="2" t="s">
        <v>1962</v>
      </c>
      <c r="D1367" s="2" t="s">
        <v>73</v>
      </c>
      <c r="E1367" s="2">
        <v>76</v>
      </c>
      <c r="F1367" s="2">
        <v>1220.579</v>
      </c>
    </row>
    <row r="1368" spans="3:6" x14ac:dyDescent="0.25">
      <c r="C1368" s="2" t="s">
        <v>1963</v>
      </c>
      <c r="D1368" s="2" t="s">
        <v>73</v>
      </c>
      <c r="E1368" s="2">
        <v>25</v>
      </c>
      <c r="F1368" s="2">
        <v>465.79</v>
      </c>
    </row>
    <row r="1369" spans="3:6" x14ac:dyDescent="0.25">
      <c r="C1369" s="2" t="s">
        <v>1964</v>
      </c>
      <c r="D1369" s="2" t="s">
        <v>73</v>
      </c>
      <c r="E1369" s="2">
        <v>31</v>
      </c>
      <c r="F1369" s="2">
        <v>573.09</v>
      </c>
    </row>
    <row r="1370" spans="3:6" x14ac:dyDescent="0.25">
      <c r="C1370" s="2" t="s">
        <v>1965</v>
      </c>
      <c r="D1370" s="2" t="s">
        <v>73</v>
      </c>
      <c r="E1370" s="2">
        <v>60</v>
      </c>
      <c r="F1370" s="2">
        <v>1128.24</v>
      </c>
    </row>
    <row r="1371" spans="3:6" x14ac:dyDescent="0.25">
      <c r="C1371" s="2" t="s">
        <v>1966</v>
      </c>
      <c r="D1371" s="2" t="s">
        <v>73</v>
      </c>
      <c r="E1371" s="2">
        <v>6</v>
      </c>
      <c r="F1371" s="2">
        <v>121.55</v>
      </c>
    </row>
    <row r="1372" spans="3:6" x14ac:dyDescent="0.25">
      <c r="C1372" s="2" t="s">
        <v>1967</v>
      </c>
      <c r="D1372" s="2" t="s">
        <v>73</v>
      </c>
      <c r="E1372" s="2">
        <v>29</v>
      </c>
      <c r="F1372" s="2">
        <v>486.629</v>
      </c>
    </row>
    <row r="1373" spans="3:6" x14ac:dyDescent="0.25">
      <c r="C1373" s="2" t="s">
        <v>1968</v>
      </c>
      <c r="D1373" s="2" t="s">
        <v>73</v>
      </c>
      <c r="E1373" s="2">
        <v>76</v>
      </c>
      <c r="F1373" s="2">
        <v>1512.43</v>
      </c>
    </row>
    <row r="1374" spans="3:6" x14ac:dyDescent="0.25">
      <c r="C1374" s="2" t="s">
        <v>1969</v>
      </c>
      <c r="D1374" s="2" t="s">
        <v>73</v>
      </c>
      <c r="E1374" s="2">
        <v>27</v>
      </c>
      <c r="F1374" s="2">
        <v>491.92</v>
      </c>
    </row>
    <row r="1376" spans="1:7" x14ac:dyDescent="0.25">
      <c r="A1376" s="1">
        <v>46217</v>
      </c>
      <c r="B1376" s="2" t="s">
        <v>7</v>
      </c>
      <c r="C1376" s="2" t="s">
        <v>1970</v>
      </c>
      <c r="D1376" s="2" t="s">
        <v>9</v>
      </c>
      <c r="E1376" s="2">
        <v>68</v>
      </c>
      <c r="F1376" s="2">
        <v>1403.09</v>
      </c>
      <c r="G1376" s="1">
        <v>46216</v>
      </c>
    </row>
    <row r="1377" spans="3:6" x14ac:dyDescent="0.25">
      <c r="C1377" s="2" t="s">
        <v>1971</v>
      </c>
      <c r="D1377" s="2" t="s">
        <v>9</v>
      </c>
      <c r="E1377" s="2">
        <v>85</v>
      </c>
      <c r="F1377" s="2">
        <v>1368.642</v>
      </c>
    </row>
    <row r="1379" spans="1:7" x14ac:dyDescent="0.25">
      <c r="A1379" s="1">
        <v>46217</v>
      </c>
      <c r="B1379" s="2" t="s">
        <v>430</v>
      </c>
      <c r="C1379" s="2" t="s">
        <v>1972</v>
      </c>
      <c r="D1379" s="2" t="s">
        <v>15</v>
      </c>
      <c r="E1379" s="2">
        <v>98</v>
      </c>
      <c r="F1379" s="2">
        <v>2352.82</v>
      </c>
      <c r="G1379" s="1">
        <v>46218</v>
      </c>
    </row>
    <row r="1381" spans="2:7" x14ac:dyDescent="0.25">
      <c r="B1381" s="2" t="s">
        <v>48</v>
      </c>
      <c r="C1381" s="2" t="s">
        <v>1973</v>
      </c>
      <c r="D1381" s="2" t="s">
        <v>15</v>
      </c>
      <c r="E1381" s="2">
        <v>102</v>
      </c>
      <c r="F1381" s="2">
        <v>1740</v>
      </c>
      <c r="G1381" s="1">
        <v>46218</v>
      </c>
    </row>
    <row r="1383" spans="1:7" x14ac:dyDescent="0.25">
      <c r="A1383" s="1">
        <v>46217</v>
      </c>
      <c r="B1383" s="2" t="s">
        <v>1299</v>
      </c>
      <c r="C1383" s="2" t="s">
        <v>1974</v>
      </c>
      <c r="D1383" s="2" t="s">
        <v>15</v>
      </c>
      <c r="E1383" s="2">
        <v>36</v>
      </c>
      <c r="F1383" s="2">
        <v>697.73</v>
      </c>
      <c r="G1383" s="1">
        <v>46216</v>
      </c>
    </row>
    <row r="1384" spans="3:6" x14ac:dyDescent="0.25">
      <c r="C1384" s="2" t="s">
        <v>1975</v>
      </c>
      <c r="D1384" s="2" t="s">
        <v>15</v>
      </c>
      <c r="E1384" s="2">
        <v>79</v>
      </c>
      <c r="F1384" s="2">
        <v>1496.44</v>
      </c>
    </row>
    <row r="1385" spans="3:6" x14ac:dyDescent="0.25">
      <c r="C1385" s="2" t="s">
        <v>1976</v>
      </c>
      <c r="D1385" s="2" t="s">
        <v>15</v>
      </c>
      <c r="E1385" s="2">
        <v>67</v>
      </c>
      <c r="F1385" s="2">
        <v>1461.68</v>
      </c>
    </row>
    <row r="1386" spans="3:6" x14ac:dyDescent="0.25">
      <c r="C1386" s="2" t="s">
        <v>1977</v>
      </c>
      <c r="D1386" s="2" t="s">
        <v>42</v>
      </c>
      <c r="E1386" s="2">
        <v>50</v>
      </c>
      <c r="F1386" s="2">
        <v>973.82</v>
      </c>
    </row>
    <row r="1387" spans="3:6" x14ac:dyDescent="0.25">
      <c r="C1387" s="2" t="s">
        <v>1978</v>
      </c>
      <c r="D1387" s="2" t="s">
        <v>42</v>
      </c>
      <c r="E1387" s="2">
        <v>50</v>
      </c>
      <c r="F1387" s="2">
        <v>938.408</v>
      </c>
    </row>
    <row r="1388" spans="3:6" x14ac:dyDescent="0.25">
      <c r="C1388" s="2" t="s">
        <v>1979</v>
      </c>
      <c r="D1388" s="2" t="s">
        <v>42</v>
      </c>
      <c r="E1388" s="2">
        <v>56</v>
      </c>
      <c r="F1388" s="2">
        <v>1059.85</v>
      </c>
    </row>
    <row r="1389" spans="3:6" x14ac:dyDescent="0.25">
      <c r="C1389" s="2" t="s">
        <v>1980</v>
      </c>
      <c r="D1389" s="2" t="s">
        <v>15</v>
      </c>
      <c r="E1389" s="2">
        <v>163</v>
      </c>
      <c r="F1389" s="2">
        <v>3177.097</v>
      </c>
    </row>
    <row r="1390" spans="3:6" x14ac:dyDescent="0.25">
      <c r="C1390" s="2" t="s">
        <v>1981</v>
      </c>
      <c r="D1390" s="2" t="s">
        <v>136</v>
      </c>
      <c r="E1390" s="2">
        <v>126</v>
      </c>
      <c r="F1390" s="2">
        <v>2549.29</v>
      </c>
    </row>
    <row r="1391" spans="3:6" x14ac:dyDescent="0.25">
      <c r="C1391" s="2" t="s">
        <v>1982</v>
      </c>
      <c r="D1391" s="2" t="s">
        <v>136</v>
      </c>
      <c r="E1391" s="2">
        <v>28</v>
      </c>
      <c r="F1391" s="2">
        <v>501.769</v>
      </c>
    </row>
    <row r="1392" spans="3:6" x14ac:dyDescent="0.25">
      <c r="C1392" s="2" t="s">
        <v>1983</v>
      </c>
      <c r="D1392" s="2" t="s">
        <v>26</v>
      </c>
      <c r="E1392" s="2">
        <v>56</v>
      </c>
      <c r="F1392" s="2">
        <v>1150.93</v>
      </c>
    </row>
    <row r="1393" spans="3:6" x14ac:dyDescent="0.25">
      <c r="C1393" s="2" t="s">
        <v>1984</v>
      </c>
      <c r="D1393" s="2" t="s">
        <v>15</v>
      </c>
      <c r="E1393" s="2">
        <v>163</v>
      </c>
      <c r="F1393" s="2">
        <v>2957.97</v>
      </c>
    </row>
    <row r="1394" spans="3:6" x14ac:dyDescent="0.25">
      <c r="C1394" s="2" t="s">
        <v>1985</v>
      </c>
      <c r="D1394" s="2" t="s">
        <v>15</v>
      </c>
      <c r="E1394" s="2">
        <v>163</v>
      </c>
      <c r="F1394" s="2">
        <v>3239.189</v>
      </c>
    </row>
    <row r="1395" spans="3:6" x14ac:dyDescent="0.25">
      <c r="C1395" s="2" t="s">
        <v>1986</v>
      </c>
      <c r="D1395" s="2" t="s">
        <v>15</v>
      </c>
      <c r="E1395" s="2">
        <v>163</v>
      </c>
      <c r="F1395" s="2">
        <v>3105.22</v>
      </c>
    </row>
    <row r="1396" spans="3:6" x14ac:dyDescent="0.25">
      <c r="C1396" s="2" t="s">
        <v>1987</v>
      </c>
      <c r="D1396" s="2" t="s">
        <v>15</v>
      </c>
      <c r="E1396" s="2">
        <v>134</v>
      </c>
      <c r="F1396" s="2">
        <v>2695.669</v>
      </c>
    </row>
    <row r="1397" spans="3:6" x14ac:dyDescent="0.25">
      <c r="C1397" s="2" t="s">
        <v>1988</v>
      </c>
      <c r="D1397" s="2" t="s">
        <v>15</v>
      </c>
      <c r="E1397" s="2">
        <v>163</v>
      </c>
      <c r="F1397" s="2">
        <v>3135.099</v>
      </c>
    </row>
    <row r="1398" spans="3:6" x14ac:dyDescent="0.25">
      <c r="C1398" s="2" t="s">
        <v>1989</v>
      </c>
      <c r="D1398" s="2" t="s">
        <v>26</v>
      </c>
      <c r="E1398" s="2">
        <v>100</v>
      </c>
      <c r="F1398" s="2">
        <v>1997.179</v>
      </c>
    </row>
    <row r="1399" spans="3:6" x14ac:dyDescent="0.25">
      <c r="C1399" s="2" t="s">
        <v>1916</v>
      </c>
      <c r="D1399" s="2" t="s">
        <v>15</v>
      </c>
      <c r="E1399" s="2">
        <v>22</v>
      </c>
      <c r="F1399" s="2">
        <v>457.81</v>
      </c>
    </row>
    <row r="1400" spans="3:6" x14ac:dyDescent="0.25">
      <c r="C1400" s="2" t="s">
        <v>1990</v>
      </c>
      <c r="D1400" s="2" t="s">
        <v>15</v>
      </c>
      <c r="E1400" s="2">
        <v>163</v>
      </c>
      <c r="F1400" s="2">
        <v>3025.85</v>
      </c>
    </row>
    <row r="1401" spans="3:6" x14ac:dyDescent="0.25">
      <c r="C1401" s="2" t="s">
        <v>1991</v>
      </c>
      <c r="D1401" s="2" t="s">
        <v>15</v>
      </c>
      <c r="E1401" s="2">
        <v>163</v>
      </c>
      <c r="F1401" s="2">
        <v>3128.9</v>
      </c>
    </row>
    <row r="1402" spans="3:6" x14ac:dyDescent="0.25">
      <c r="C1402" s="2" t="s">
        <v>1992</v>
      </c>
      <c r="D1402" s="2" t="s">
        <v>15</v>
      </c>
      <c r="E1402" s="2">
        <v>163</v>
      </c>
      <c r="F1402" s="2">
        <v>3052.418</v>
      </c>
    </row>
    <row r="1403" spans="3:6" x14ac:dyDescent="0.25">
      <c r="C1403" s="2" t="s">
        <v>1993</v>
      </c>
      <c r="D1403" s="2" t="s">
        <v>15</v>
      </c>
      <c r="E1403" s="2">
        <v>163</v>
      </c>
      <c r="F1403" s="2">
        <v>3140.07</v>
      </c>
    </row>
    <row r="1404" spans="3:6" x14ac:dyDescent="0.25">
      <c r="C1404" s="2" t="s">
        <v>1994</v>
      </c>
      <c r="D1404" s="2" t="s">
        <v>36</v>
      </c>
      <c r="E1404" s="2">
        <v>45</v>
      </c>
      <c r="F1404" s="2">
        <v>837.29</v>
      </c>
    </row>
    <row r="1405" spans="3:6" x14ac:dyDescent="0.25">
      <c r="C1405" s="2" t="s">
        <v>1995</v>
      </c>
      <c r="D1405" s="2" t="s">
        <v>36</v>
      </c>
      <c r="E1405" s="2">
        <v>60</v>
      </c>
      <c r="F1405" s="2">
        <v>1113.9</v>
      </c>
    </row>
    <row r="1406" spans="3:6" x14ac:dyDescent="0.25">
      <c r="C1406" s="2" t="s">
        <v>1996</v>
      </c>
      <c r="D1406" s="2" t="s">
        <v>36</v>
      </c>
      <c r="E1406" s="2">
        <v>15</v>
      </c>
      <c r="F1406" s="2">
        <v>332.93</v>
      </c>
    </row>
    <row r="1407" spans="3:6" x14ac:dyDescent="0.25">
      <c r="C1407" s="2" t="s">
        <v>1997</v>
      </c>
      <c r="D1407" s="2" t="s">
        <v>36</v>
      </c>
      <c r="E1407" s="2">
        <v>80</v>
      </c>
      <c r="F1407" s="2">
        <v>1568.93</v>
      </c>
    </row>
    <row r="1408" spans="3:6" x14ac:dyDescent="0.25">
      <c r="C1408" s="2" t="s">
        <v>1998</v>
      </c>
      <c r="D1408" s="2" t="s">
        <v>26</v>
      </c>
      <c r="E1408" s="2">
        <v>56</v>
      </c>
      <c r="F1408" s="2">
        <v>1118.8</v>
      </c>
    </row>
    <row r="1409" spans="3:6" x14ac:dyDescent="0.25">
      <c r="C1409" s="2" t="s">
        <v>1999</v>
      </c>
      <c r="D1409" s="2" t="s">
        <v>26</v>
      </c>
      <c r="E1409" s="2">
        <v>100</v>
      </c>
      <c r="F1409" s="2">
        <v>2072.129</v>
      </c>
    </row>
    <row r="1410" spans="3:6" x14ac:dyDescent="0.25">
      <c r="C1410" s="2" t="s">
        <v>2000</v>
      </c>
      <c r="D1410" s="2" t="s">
        <v>26</v>
      </c>
      <c r="E1410" s="2">
        <v>56</v>
      </c>
      <c r="F1410" s="2">
        <v>1144.98</v>
      </c>
    </row>
    <row r="1411" spans="3:6" x14ac:dyDescent="0.25">
      <c r="C1411" s="2" t="s">
        <v>2001</v>
      </c>
      <c r="D1411" s="2" t="s">
        <v>26</v>
      </c>
      <c r="E1411" s="2">
        <v>100</v>
      </c>
      <c r="F1411" s="2">
        <v>2007.789</v>
      </c>
    </row>
    <row r="1412" spans="3:6" x14ac:dyDescent="0.25">
      <c r="C1412" s="2" t="s">
        <v>2002</v>
      </c>
      <c r="D1412" s="2" t="s">
        <v>15</v>
      </c>
      <c r="E1412" s="2">
        <v>134</v>
      </c>
      <c r="F1412" s="2">
        <v>2602.758</v>
      </c>
    </row>
    <row r="1413" spans="3:6" x14ac:dyDescent="0.25">
      <c r="C1413" s="2" t="s">
        <v>2003</v>
      </c>
      <c r="D1413" s="2" t="s">
        <v>15</v>
      </c>
      <c r="E1413" s="2">
        <v>105</v>
      </c>
      <c r="F1413" s="2">
        <v>2048.929</v>
      </c>
    </row>
    <row r="1414" spans="3:6" x14ac:dyDescent="0.25">
      <c r="C1414" s="2" t="s">
        <v>2004</v>
      </c>
      <c r="D1414" s="2" t="s">
        <v>15</v>
      </c>
      <c r="E1414" s="2">
        <v>163</v>
      </c>
      <c r="F1414" s="2">
        <v>2841.928</v>
      </c>
    </row>
    <row r="1415" spans="3:6" x14ac:dyDescent="0.25">
      <c r="C1415" s="2" t="s">
        <v>2005</v>
      </c>
      <c r="D1415" s="2" t="s">
        <v>15</v>
      </c>
      <c r="E1415" s="2">
        <v>55</v>
      </c>
      <c r="F1415" s="2">
        <v>1160.4</v>
      </c>
    </row>
    <row r="1416" spans="3:6" x14ac:dyDescent="0.25">
      <c r="C1416" s="2" t="s">
        <v>2006</v>
      </c>
      <c r="D1416" s="2" t="s">
        <v>15</v>
      </c>
      <c r="E1416" s="2">
        <v>50</v>
      </c>
      <c r="F1416" s="2">
        <v>991.299</v>
      </c>
    </row>
    <row r="1417" spans="3:6" x14ac:dyDescent="0.25">
      <c r="C1417" s="2" t="s">
        <v>2007</v>
      </c>
      <c r="D1417" s="2" t="s">
        <v>15</v>
      </c>
      <c r="E1417" s="2">
        <v>134</v>
      </c>
      <c r="F1417" s="2">
        <v>2672.29</v>
      </c>
    </row>
    <row r="1418" spans="3:6" x14ac:dyDescent="0.25">
      <c r="C1418" s="2" t="s">
        <v>2008</v>
      </c>
      <c r="D1418" s="2" t="s">
        <v>15</v>
      </c>
      <c r="E1418" s="2">
        <v>134</v>
      </c>
      <c r="F1418" s="2">
        <v>2763.43</v>
      </c>
    </row>
    <row r="1419" spans="3:6" x14ac:dyDescent="0.25">
      <c r="C1419" s="2" t="s">
        <v>2009</v>
      </c>
      <c r="D1419" s="2" t="s">
        <v>15</v>
      </c>
      <c r="E1419" s="2">
        <v>134</v>
      </c>
      <c r="F1419" s="2">
        <v>2675.039</v>
      </c>
    </row>
    <row r="1420" spans="3:6" x14ac:dyDescent="0.25">
      <c r="C1420" s="2" t="s">
        <v>1921</v>
      </c>
      <c r="D1420" s="2" t="s">
        <v>15</v>
      </c>
      <c r="E1420" s="2">
        <v>134</v>
      </c>
      <c r="F1420" s="2">
        <v>2783.37</v>
      </c>
    </row>
    <row r="1421" spans="3:6" x14ac:dyDescent="0.25">
      <c r="C1421" s="2" t="s">
        <v>2010</v>
      </c>
      <c r="D1421" s="2" t="s">
        <v>136</v>
      </c>
      <c r="E1421" s="2">
        <v>154</v>
      </c>
      <c r="F1421" s="2">
        <v>3151.239</v>
      </c>
    </row>
    <row r="1422" spans="3:6" x14ac:dyDescent="0.25">
      <c r="C1422" s="2" t="s">
        <v>1939</v>
      </c>
      <c r="D1422" s="2" t="s">
        <v>15</v>
      </c>
      <c r="E1422" s="2">
        <v>163</v>
      </c>
      <c r="F1422" s="2">
        <v>3170.968</v>
      </c>
    </row>
    <row r="1423" spans="3:6" x14ac:dyDescent="0.25">
      <c r="C1423" s="2" t="s">
        <v>1941</v>
      </c>
      <c r="D1423" s="2" t="s">
        <v>15</v>
      </c>
      <c r="E1423" s="2">
        <v>103</v>
      </c>
      <c r="F1423" s="2">
        <v>2079.48</v>
      </c>
    </row>
    <row r="1424" spans="3:6" x14ac:dyDescent="0.25">
      <c r="C1424" s="2" t="s">
        <v>2011</v>
      </c>
      <c r="D1424" s="2" t="s">
        <v>15</v>
      </c>
      <c r="E1424" s="2">
        <v>101</v>
      </c>
      <c r="F1424" s="2">
        <v>1881</v>
      </c>
    </row>
    <row r="1425" spans="3:6" x14ac:dyDescent="0.25">
      <c r="C1425" s="2" t="s">
        <v>2012</v>
      </c>
      <c r="D1425" s="2" t="s">
        <v>36</v>
      </c>
      <c r="E1425" s="2">
        <v>10</v>
      </c>
      <c r="F1425" s="2">
        <v>226</v>
      </c>
    </row>
    <row r="1427" spans="2:7" x14ac:dyDescent="0.25">
      <c r="B1427" s="2" t="s">
        <v>1942</v>
      </c>
      <c r="C1427" s="2" t="s">
        <v>1981</v>
      </c>
      <c r="D1427" s="2" t="s">
        <v>136</v>
      </c>
      <c r="E1427" s="2">
        <v>126</v>
      </c>
      <c r="F1427" s="2">
        <v>2549.29</v>
      </c>
      <c r="G1427" s="1">
        <v>46216</v>
      </c>
    </row>
    <row r="1428" spans="3:6" x14ac:dyDescent="0.25">
      <c r="C1428" s="2" t="s">
        <v>1982</v>
      </c>
      <c r="D1428" s="2" t="s">
        <v>136</v>
      </c>
      <c r="E1428" s="2">
        <v>28</v>
      </c>
      <c r="F1428" s="2">
        <v>501.769</v>
      </c>
    </row>
    <row r="1429" spans="3:6" x14ac:dyDescent="0.25">
      <c r="C1429" s="2" t="s">
        <v>2010</v>
      </c>
      <c r="D1429" s="2" t="s">
        <v>136</v>
      </c>
      <c r="E1429" s="2">
        <v>154</v>
      </c>
      <c r="F1429" s="2">
        <v>3151.239</v>
      </c>
    </row>
    <row r="1431" spans="2:7" x14ac:dyDescent="0.25">
      <c r="B1431" s="2" t="s">
        <v>48</v>
      </c>
      <c r="C1431" s="2" t="s">
        <v>2013</v>
      </c>
      <c r="D1431" s="2" t="s">
        <v>15</v>
      </c>
      <c r="E1431" s="2">
        <v>156</v>
      </c>
      <c r="F1431" s="2">
        <v>2877.18</v>
      </c>
      <c r="G1431" s="1">
        <v>46216</v>
      </c>
    </row>
    <row r="1432" spans="3:6" x14ac:dyDescent="0.25">
      <c r="C1432" s="2" t="s">
        <v>2014</v>
      </c>
      <c r="D1432" s="2" t="s">
        <v>53</v>
      </c>
      <c r="E1432" s="2">
        <v>6</v>
      </c>
      <c r="F1432" s="2">
        <v>74.87</v>
      </c>
    </row>
    <row r="1433" spans="3:6" x14ac:dyDescent="0.25">
      <c r="C1433" s="2" t="s">
        <v>2015</v>
      </c>
      <c r="D1433" s="2" t="s">
        <v>53</v>
      </c>
      <c r="E1433" s="2">
        <v>128</v>
      </c>
      <c r="F1433" s="2">
        <v>2284.877</v>
      </c>
    </row>
    <row r="1435" spans="1:7" x14ac:dyDescent="0.25">
      <c r="A1435" s="1">
        <v>46217</v>
      </c>
      <c r="B1435" s="2" t="s">
        <v>420</v>
      </c>
      <c r="C1435" s="2" t="s">
        <v>2016</v>
      </c>
      <c r="D1435" s="2" t="s">
        <v>59</v>
      </c>
      <c r="E1435" s="2">
        <v>311</v>
      </c>
      <c r="F1435" s="2">
        <v>5984.668</v>
      </c>
      <c r="G1435" s="1">
        <v>46218</v>
      </c>
    </row>
    <row r="1436" spans="3:6" x14ac:dyDescent="0.25">
      <c r="C1436" s="2" t="s">
        <v>2017</v>
      </c>
      <c r="D1436" s="2" t="s">
        <v>59</v>
      </c>
      <c r="E1436" s="2">
        <v>163</v>
      </c>
      <c r="F1436" s="2">
        <v>3174.009</v>
      </c>
    </row>
    <row r="1437" spans="3:6" x14ac:dyDescent="0.25">
      <c r="C1437" s="2" t="s">
        <v>2018</v>
      </c>
      <c r="D1437" s="2" t="s">
        <v>59</v>
      </c>
      <c r="E1437" s="2">
        <v>105</v>
      </c>
      <c r="F1437" s="2">
        <v>2119.48</v>
      </c>
    </row>
    <row r="1438" spans="3:6" x14ac:dyDescent="0.25">
      <c r="C1438" s="2" t="s">
        <v>2019</v>
      </c>
      <c r="D1438" s="2" t="s">
        <v>59</v>
      </c>
      <c r="E1438" s="2">
        <v>104</v>
      </c>
      <c r="F1438" s="2">
        <v>2071.299</v>
      </c>
    </row>
    <row r="1439" spans="3:6" x14ac:dyDescent="0.25">
      <c r="C1439" s="2" t="s">
        <v>2020</v>
      </c>
      <c r="D1439" s="2" t="s">
        <v>59</v>
      </c>
      <c r="E1439" s="2">
        <v>105</v>
      </c>
      <c r="F1439" s="2">
        <v>2105.14</v>
      </c>
    </row>
    <row r="1440" spans="3:6" x14ac:dyDescent="0.25">
      <c r="C1440" s="2" t="s">
        <v>2021</v>
      </c>
      <c r="D1440" s="2" t="s">
        <v>59</v>
      </c>
      <c r="E1440" s="2">
        <v>105</v>
      </c>
      <c r="F1440" s="2">
        <v>1996.5</v>
      </c>
    </row>
    <row r="1441" spans="3:6" x14ac:dyDescent="0.25">
      <c r="C1441" s="2" t="s">
        <v>2022</v>
      </c>
      <c r="D1441" s="2" t="s">
        <v>59</v>
      </c>
      <c r="E1441" s="2">
        <v>153</v>
      </c>
      <c r="F1441" s="2">
        <v>3025.53</v>
      </c>
    </row>
    <row r="1443" spans="1:7" x14ac:dyDescent="0.25">
      <c r="A1443" s="1">
        <v>46218</v>
      </c>
      <c r="B1443" s="2" t="s">
        <v>229</v>
      </c>
      <c r="C1443" s="2" t="s">
        <v>2023</v>
      </c>
      <c r="D1443" s="2" t="s">
        <v>292</v>
      </c>
      <c r="E1443" s="2">
        <v>52</v>
      </c>
      <c r="F1443" s="2">
        <v>1016.78</v>
      </c>
      <c r="G1443" s="1">
        <v>46219</v>
      </c>
    </row>
    <row r="1444" spans="3:6" x14ac:dyDescent="0.25">
      <c r="C1444" s="2" t="s">
        <v>2024</v>
      </c>
      <c r="D1444" s="2" t="s">
        <v>292</v>
      </c>
      <c r="E1444" s="2">
        <v>69</v>
      </c>
      <c r="F1444" s="2">
        <v>1346.2</v>
      </c>
    </row>
    <row r="1445" spans="3:6" x14ac:dyDescent="0.25">
      <c r="C1445" s="2" t="s">
        <v>2025</v>
      </c>
      <c r="D1445" s="2" t="s">
        <v>292</v>
      </c>
      <c r="E1445" s="2">
        <v>91</v>
      </c>
      <c r="F1445" s="2">
        <v>1815.279</v>
      </c>
    </row>
    <row r="1446" spans="3:6" x14ac:dyDescent="0.25">
      <c r="C1446" s="2" t="s">
        <v>2026</v>
      </c>
      <c r="D1446" s="2" t="s">
        <v>292</v>
      </c>
      <c r="E1446" s="2">
        <v>14</v>
      </c>
      <c r="F1446" s="2">
        <v>127.92</v>
      </c>
    </row>
    <row r="1447" spans="3:6" x14ac:dyDescent="0.25">
      <c r="C1447" s="2" t="s">
        <v>2027</v>
      </c>
      <c r="D1447" s="2" t="s">
        <v>292</v>
      </c>
      <c r="E1447" s="2">
        <v>22</v>
      </c>
      <c r="F1447" s="2">
        <v>401.37</v>
      </c>
    </row>
    <row r="1448" spans="3:6" x14ac:dyDescent="0.25">
      <c r="C1448" s="2" t="s">
        <v>2028</v>
      </c>
      <c r="D1448" s="2" t="s">
        <v>292</v>
      </c>
      <c r="E1448" s="2">
        <v>123</v>
      </c>
      <c r="F1448" s="2">
        <v>2598.16</v>
      </c>
    </row>
    <row r="1449" spans="3:6" x14ac:dyDescent="0.25">
      <c r="C1449" s="2" t="s">
        <v>2029</v>
      </c>
      <c r="D1449" s="2" t="s">
        <v>292</v>
      </c>
      <c r="E1449" s="2">
        <v>58</v>
      </c>
      <c r="F1449" s="2">
        <v>1073.909</v>
      </c>
    </row>
    <row r="1450" spans="3:6" x14ac:dyDescent="0.25">
      <c r="C1450" s="2" t="s">
        <v>2030</v>
      </c>
      <c r="D1450" s="2" t="s">
        <v>292</v>
      </c>
      <c r="E1450" s="2">
        <v>37</v>
      </c>
      <c r="F1450" s="2">
        <v>703.11</v>
      </c>
    </row>
    <row r="1451" spans="3:6" x14ac:dyDescent="0.25">
      <c r="C1451" s="2" t="s">
        <v>2031</v>
      </c>
      <c r="D1451" s="2" t="s">
        <v>292</v>
      </c>
      <c r="E1451" s="2">
        <v>28</v>
      </c>
      <c r="F1451" s="2">
        <v>552.77</v>
      </c>
    </row>
    <row r="1452" spans="3:6" x14ac:dyDescent="0.25">
      <c r="C1452" s="2" t="s">
        <v>2032</v>
      </c>
      <c r="D1452" s="2" t="s">
        <v>292</v>
      </c>
      <c r="E1452" s="2">
        <v>141</v>
      </c>
      <c r="F1452" s="2">
        <v>2695.07</v>
      </c>
    </row>
    <row r="1453" spans="3:6" x14ac:dyDescent="0.25">
      <c r="C1453" s="2" t="s">
        <v>2033</v>
      </c>
      <c r="D1453" s="2" t="s">
        <v>292</v>
      </c>
      <c r="E1453" s="2">
        <v>95</v>
      </c>
      <c r="F1453" s="2">
        <v>2030.27</v>
      </c>
    </row>
    <row r="1454" spans="3:6" x14ac:dyDescent="0.25">
      <c r="C1454" s="2" t="s">
        <v>2034</v>
      </c>
      <c r="D1454" s="2" t="s">
        <v>292</v>
      </c>
      <c r="E1454" s="2">
        <v>46</v>
      </c>
      <c r="F1454" s="2">
        <v>818.12</v>
      </c>
    </row>
    <row r="1455" spans="3:6" x14ac:dyDescent="0.25">
      <c r="C1455" s="2" t="s">
        <v>2035</v>
      </c>
      <c r="D1455" s="2" t="s">
        <v>292</v>
      </c>
      <c r="E1455" s="2">
        <v>60</v>
      </c>
      <c r="F1455" s="2">
        <v>295.24</v>
      </c>
    </row>
    <row r="1456" spans="3:6" x14ac:dyDescent="0.25">
      <c r="C1456" s="2" t="s">
        <v>2036</v>
      </c>
      <c r="D1456" s="2" t="s">
        <v>292</v>
      </c>
      <c r="E1456" s="2">
        <v>141</v>
      </c>
      <c r="F1456" s="2">
        <v>3052.21</v>
      </c>
    </row>
    <row r="1457" spans="3:6" x14ac:dyDescent="0.25">
      <c r="C1457" s="2" t="s">
        <v>2037</v>
      </c>
      <c r="D1457" s="2" t="s">
        <v>292</v>
      </c>
      <c r="E1457" s="2">
        <v>141</v>
      </c>
      <c r="F1457" s="2">
        <v>2820.2</v>
      </c>
    </row>
    <row r="1458" spans="3:6" x14ac:dyDescent="0.25">
      <c r="C1458" s="2" t="s">
        <v>2038</v>
      </c>
      <c r="D1458" s="2" t="s">
        <v>292</v>
      </c>
      <c r="E1458" s="2">
        <v>141</v>
      </c>
      <c r="F1458" s="2">
        <v>3108.347</v>
      </c>
    </row>
    <row r="1459" spans="3:6" x14ac:dyDescent="0.25">
      <c r="C1459" s="2" t="s">
        <v>2039</v>
      </c>
      <c r="D1459" s="2" t="s">
        <v>292</v>
      </c>
      <c r="E1459" s="2">
        <v>45</v>
      </c>
      <c r="F1459" s="2">
        <v>198.3</v>
      </c>
    </row>
    <row r="1460" spans="3:6" x14ac:dyDescent="0.25">
      <c r="C1460" s="2" t="s">
        <v>2040</v>
      </c>
      <c r="D1460" s="2" t="s">
        <v>292</v>
      </c>
      <c r="E1460" s="2">
        <v>141</v>
      </c>
      <c r="F1460" s="2">
        <v>2699.98</v>
      </c>
    </row>
    <row r="1461" spans="3:6" x14ac:dyDescent="0.25">
      <c r="C1461" s="2" t="s">
        <v>2041</v>
      </c>
      <c r="D1461" s="2" t="s">
        <v>292</v>
      </c>
      <c r="E1461" s="2">
        <v>141</v>
      </c>
      <c r="F1461" s="2">
        <v>3099.52</v>
      </c>
    </row>
    <row r="1462" spans="3:6" x14ac:dyDescent="0.25">
      <c r="C1462" s="2" t="s">
        <v>2042</v>
      </c>
      <c r="D1462" s="2" t="s">
        <v>292</v>
      </c>
      <c r="E1462" s="2">
        <v>51</v>
      </c>
      <c r="F1462" s="2">
        <v>847.69</v>
      </c>
    </row>
    <row r="1463" spans="3:6" x14ac:dyDescent="0.25">
      <c r="C1463" s="2" t="s">
        <v>2043</v>
      </c>
      <c r="D1463" s="2" t="s">
        <v>292</v>
      </c>
      <c r="E1463" s="2">
        <v>39</v>
      </c>
      <c r="F1463" s="2">
        <v>718.21</v>
      </c>
    </row>
    <row r="1464" spans="3:6" x14ac:dyDescent="0.25">
      <c r="C1464" s="2" t="s">
        <v>2044</v>
      </c>
      <c r="D1464" s="2" t="s">
        <v>292</v>
      </c>
      <c r="E1464" s="2">
        <v>51</v>
      </c>
      <c r="F1464" s="2">
        <v>1068.47</v>
      </c>
    </row>
    <row r="1465" spans="3:6" x14ac:dyDescent="0.25">
      <c r="C1465" s="2" t="s">
        <v>2045</v>
      </c>
      <c r="D1465" s="2" t="s">
        <v>292</v>
      </c>
      <c r="E1465" s="2">
        <v>45</v>
      </c>
      <c r="F1465" s="2">
        <v>235.01</v>
      </c>
    </row>
    <row r="1466" spans="3:6" x14ac:dyDescent="0.25">
      <c r="C1466" s="2" t="s">
        <v>2046</v>
      </c>
      <c r="D1466" s="2" t="s">
        <v>292</v>
      </c>
      <c r="E1466" s="2">
        <v>41</v>
      </c>
      <c r="F1466" s="2">
        <v>815.23</v>
      </c>
    </row>
    <row r="1467" spans="3:6" x14ac:dyDescent="0.25">
      <c r="C1467" s="2" t="s">
        <v>2047</v>
      </c>
      <c r="D1467" s="2" t="s">
        <v>292</v>
      </c>
      <c r="E1467" s="2">
        <v>62</v>
      </c>
      <c r="F1467" s="2">
        <v>1233.92</v>
      </c>
    </row>
    <row r="1468" spans="3:6" x14ac:dyDescent="0.25">
      <c r="C1468" s="2" t="s">
        <v>2048</v>
      </c>
      <c r="D1468" s="2" t="s">
        <v>292</v>
      </c>
      <c r="E1468" s="2">
        <v>38</v>
      </c>
      <c r="F1468" s="2">
        <v>754.76</v>
      </c>
    </row>
    <row r="1469" spans="3:6" x14ac:dyDescent="0.25">
      <c r="C1469" s="2" t="s">
        <v>2049</v>
      </c>
      <c r="D1469" s="2" t="s">
        <v>292</v>
      </c>
      <c r="E1469" s="2">
        <v>75</v>
      </c>
      <c r="F1469" s="2">
        <v>1442.02</v>
      </c>
    </row>
    <row r="1470" spans="3:6" x14ac:dyDescent="0.25">
      <c r="C1470" s="2" t="s">
        <v>2050</v>
      </c>
      <c r="D1470" s="2" t="s">
        <v>292</v>
      </c>
      <c r="E1470" s="2">
        <v>39</v>
      </c>
      <c r="F1470" s="2">
        <v>694.919</v>
      </c>
    </row>
    <row r="1471" spans="3:6" x14ac:dyDescent="0.25">
      <c r="C1471" s="2" t="s">
        <v>2051</v>
      </c>
      <c r="D1471" s="2" t="s">
        <v>292</v>
      </c>
      <c r="E1471" s="2">
        <v>27</v>
      </c>
      <c r="F1471" s="2">
        <v>527.57</v>
      </c>
    </row>
    <row r="1472" spans="3:6" x14ac:dyDescent="0.25">
      <c r="C1472" s="2" t="s">
        <v>2052</v>
      </c>
      <c r="D1472" s="2" t="s">
        <v>292</v>
      </c>
      <c r="E1472" s="2">
        <v>18</v>
      </c>
      <c r="F1472" s="2">
        <v>369.681</v>
      </c>
    </row>
    <row r="1473" spans="3:6" x14ac:dyDescent="0.25">
      <c r="C1473" s="2" t="s">
        <v>2053</v>
      </c>
      <c r="D1473" s="2" t="s">
        <v>292</v>
      </c>
      <c r="E1473" s="2">
        <v>25</v>
      </c>
      <c r="F1473" s="2">
        <v>474.299</v>
      </c>
    </row>
    <row r="1474" spans="3:6" x14ac:dyDescent="0.25">
      <c r="C1474" s="2" t="s">
        <v>2054</v>
      </c>
      <c r="D1474" s="2" t="s">
        <v>292</v>
      </c>
      <c r="E1474" s="2">
        <v>97</v>
      </c>
      <c r="F1474" s="2">
        <v>1980.45</v>
      </c>
    </row>
    <row r="1475" spans="3:6" x14ac:dyDescent="0.25">
      <c r="C1475" s="2" t="s">
        <v>2055</v>
      </c>
      <c r="D1475" s="2" t="s">
        <v>292</v>
      </c>
      <c r="E1475" s="2">
        <v>45</v>
      </c>
      <c r="F1475" s="2">
        <v>215.35</v>
      </c>
    </row>
    <row r="1476" spans="3:6" x14ac:dyDescent="0.25">
      <c r="C1476" s="2" t="s">
        <v>2056</v>
      </c>
      <c r="D1476" s="2" t="s">
        <v>292</v>
      </c>
      <c r="E1476" s="2">
        <v>117</v>
      </c>
      <c r="F1476" s="2">
        <v>2331.55</v>
      </c>
    </row>
    <row r="1477" spans="3:6" x14ac:dyDescent="0.25">
      <c r="C1477" s="2" t="s">
        <v>2057</v>
      </c>
      <c r="D1477" s="2" t="s">
        <v>292</v>
      </c>
      <c r="E1477" s="2">
        <v>13</v>
      </c>
      <c r="F1477" s="2">
        <v>317.21</v>
      </c>
    </row>
    <row r="1478" spans="3:6" x14ac:dyDescent="0.25">
      <c r="C1478" s="2" t="s">
        <v>2058</v>
      </c>
      <c r="D1478" s="2" t="s">
        <v>292</v>
      </c>
      <c r="E1478" s="2">
        <v>134</v>
      </c>
      <c r="F1478" s="2">
        <v>2622.389</v>
      </c>
    </row>
    <row r="1479" spans="3:6" x14ac:dyDescent="0.25">
      <c r="C1479" s="2" t="s">
        <v>2059</v>
      </c>
      <c r="D1479" s="2" t="s">
        <v>292</v>
      </c>
      <c r="E1479" s="2">
        <v>100</v>
      </c>
      <c r="F1479" s="2">
        <v>1899.088</v>
      </c>
    </row>
    <row r="1480" spans="3:6" x14ac:dyDescent="0.25">
      <c r="C1480" s="2" t="s">
        <v>2060</v>
      </c>
      <c r="D1480" s="2" t="s">
        <v>292</v>
      </c>
      <c r="E1480" s="2">
        <v>80</v>
      </c>
      <c r="F1480" s="2">
        <v>1503.559</v>
      </c>
    </row>
    <row r="1481" spans="3:6" x14ac:dyDescent="0.25">
      <c r="C1481" s="2" t="s">
        <v>2061</v>
      </c>
      <c r="D1481" s="2" t="s">
        <v>292</v>
      </c>
      <c r="E1481" s="2">
        <v>20</v>
      </c>
      <c r="F1481" s="2">
        <v>434.2</v>
      </c>
    </row>
    <row r="1482" spans="3:6" x14ac:dyDescent="0.25">
      <c r="C1482" s="2" t="s">
        <v>2062</v>
      </c>
      <c r="D1482" s="2" t="s">
        <v>292</v>
      </c>
      <c r="E1482" s="2">
        <v>34</v>
      </c>
      <c r="F1482" s="2">
        <v>713.55</v>
      </c>
    </row>
    <row r="1483" spans="3:6" x14ac:dyDescent="0.25">
      <c r="C1483" s="2" t="s">
        <v>2063</v>
      </c>
      <c r="D1483" s="2" t="s">
        <v>292</v>
      </c>
      <c r="E1483" s="2">
        <v>47</v>
      </c>
      <c r="F1483" s="2">
        <v>980.9</v>
      </c>
    </row>
    <row r="1484" spans="3:6" x14ac:dyDescent="0.25">
      <c r="C1484" s="2" t="s">
        <v>2064</v>
      </c>
      <c r="D1484" s="2" t="s">
        <v>292</v>
      </c>
      <c r="E1484" s="2">
        <v>20</v>
      </c>
      <c r="F1484" s="2">
        <v>385.679</v>
      </c>
    </row>
    <row r="1485" spans="3:6" x14ac:dyDescent="0.25">
      <c r="C1485" s="2" t="s">
        <v>2065</v>
      </c>
      <c r="D1485" s="2" t="s">
        <v>292</v>
      </c>
      <c r="E1485" s="2">
        <v>12</v>
      </c>
      <c r="F1485" s="2">
        <v>224.4</v>
      </c>
    </row>
    <row r="1486" spans="3:6" x14ac:dyDescent="0.25">
      <c r="C1486" s="2" t="s">
        <v>2066</v>
      </c>
      <c r="D1486" s="2" t="s">
        <v>292</v>
      </c>
      <c r="E1486" s="2">
        <v>12</v>
      </c>
      <c r="F1486" s="2">
        <v>183.429</v>
      </c>
    </row>
    <row r="1487" spans="3:6" x14ac:dyDescent="0.25">
      <c r="C1487" s="2" t="s">
        <v>2067</v>
      </c>
      <c r="D1487" s="2" t="s">
        <v>292</v>
      </c>
      <c r="E1487" s="2">
        <v>76</v>
      </c>
      <c r="F1487" s="2">
        <v>1351.37</v>
      </c>
    </row>
    <row r="1488" spans="3:6" x14ac:dyDescent="0.25">
      <c r="C1488" s="2" t="s">
        <v>2068</v>
      </c>
      <c r="D1488" s="2" t="s">
        <v>292</v>
      </c>
      <c r="E1488" s="2">
        <v>10</v>
      </c>
      <c r="F1488" s="2">
        <v>197.72</v>
      </c>
    </row>
    <row r="1489" spans="3:6" x14ac:dyDescent="0.25">
      <c r="C1489" s="2" t="s">
        <v>2069</v>
      </c>
      <c r="D1489" s="2" t="s">
        <v>292</v>
      </c>
      <c r="E1489" s="2">
        <v>65</v>
      </c>
      <c r="F1489" s="2">
        <v>1272.03</v>
      </c>
    </row>
    <row r="1490" spans="3:6" x14ac:dyDescent="0.25">
      <c r="C1490" s="2" t="s">
        <v>2070</v>
      </c>
      <c r="D1490" s="2" t="s">
        <v>292</v>
      </c>
      <c r="E1490" s="2">
        <v>81</v>
      </c>
      <c r="F1490" s="2">
        <v>1600.895</v>
      </c>
    </row>
    <row r="1491" spans="3:6" x14ac:dyDescent="0.25">
      <c r="C1491" s="2" t="s">
        <v>2071</v>
      </c>
      <c r="D1491" s="2" t="s">
        <v>292</v>
      </c>
      <c r="E1491" s="2">
        <v>19</v>
      </c>
      <c r="F1491" s="2">
        <v>306.59</v>
      </c>
    </row>
    <row r="1492" spans="3:6" x14ac:dyDescent="0.25">
      <c r="C1492" s="2" t="s">
        <v>2072</v>
      </c>
      <c r="D1492" s="2" t="s">
        <v>292</v>
      </c>
      <c r="E1492" s="2">
        <v>25</v>
      </c>
      <c r="F1492" s="2">
        <v>465.56</v>
      </c>
    </row>
    <row r="1493" spans="3:6" x14ac:dyDescent="0.25">
      <c r="C1493" s="2" t="s">
        <v>2073</v>
      </c>
      <c r="D1493" s="2" t="s">
        <v>292</v>
      </c>
      <c r="E1493" s="2">
        <v>62</v>
      </c>
      <c r="F1493" s="2">
        <v>1238.56</v>
      </c>
    </row>
    <row r="1494" spans="3:6" x14ac:dyDescent="0.25">
      <c r="C1494" s="2" t="s">
        <v>2074</v>
      </c>
      <c r="D1494" s="2" t="s">
        <v>292</v>
      </c>
      <c r="E1494" s="2">
        <v>54</v>
      </c>
      <c r="F1494" s="2">
        <v>996.59</v>
      </c>
    </row>
    <row r="1495" spans="3:6" x14ac:dyDescent="0.25">
      <c r="C1495" s="2" t="s">
        <v>2075</v>
      </c>
      <c r="D1495" s="2" t="s">
        <v>292</v>
      </c>
      <c r="E1495" s="2">
        <v>114</v>
      </c>
      <c r="F1495" s="2">
        <v>2209.655</v>
      </c>
    </row>
    <row r="1496" spans="3:6" x14ac:dyDescent="0.25">
      <c r="C1496" s="2" t="s">
        <v>2076</v>
      </c>
      <c r="D1496" s="2" t="s">
        <v>292</v>
      </c>
      <c r="E1496" s="2">
        <v>27</v>
      </c>
      <c r="F1496" s="2">
        <v>508.3</v>
      </c>
    </row>
    <row r="1497" spans="3:6" x14ac:dyDescent="0.25">
      <c r="C1497" s="2" t="s">
        <v>2077</v>
      </c>
      <c r="D1497" s="2" t="s">
        <v>292</v>
      </c>
      <c r="E1497" s="2">
        <v>92</v>
      </c>
      <c r="F1497" s="2">
        <v>1462.979</v>
      </c>
    </row>
    <row r="1498" spans="3:6" x14ac:dyDescent="0.25">
      <c r="C1498" s="2" t="s">
        <v>2078</v>
      </c>
      <c r="D1498" s="2" t="s">
        <v>292</v>
      </c>
      <c r="E1498" s="2">
        <v>8</v>
      </c>
      <c r="F1498" s="2">
        <v>153.39</v>
      </c>
    </row>
    <row r="1499" spans="3:6" x14ac:dyDescent="0.25">
      <c r="C1499" s="2" t="s">
        <v>2079</v>
      </c>
      <c r="D1499" s="2" t="s">
        <v>292</v>
      </c>
      <c r="E1499" s="2">
        <v>64</v>
      </c>
      <c r="F1499" s="2">
        <v>1256.865</v>
      </c>
    </row>
    <row r="1500" spans="3:6" x14ac:dyDescent="0.25">
      <c r="C1500" s="2" t="s">
        <v>2080</v>
      </c>
      <c r="D1500" s="2" t="s">
        <v>292</v>
      </c>
      <c r="E1500" s="2">
        <v>23</v>
      </c>
      <c r="F1500" s="2">
        <v>442.44</v>
      </c>
    </row>
    <row r="1501" spans="3:6" x14ac:dyDescent="0.25">
      <c r="C1501" s="2" t="s">
        <v>2081</v>
      </c>
      <c r="D1501" s="2" t="s">
        <v>292</v>
      </c>
      <c r="E1501" s="2">
        <v>13</v>
      </c>
      <c r="F1501" s="2">
        <v>224.34</v>
      </c>
    </row>
    <row r="1503" spans="1:7" x14ac:dyDescent="0.25">
      <c r="A1503" s="1">
        <v>46218</v>
      </c>
      <c r="B1503" s="2" t="s">
        <v>7</v>
      </c>
      <c r="C1503" s="2" t="s">
        <v>2082</v>
      </c>
      <c r="D1503" s="2" t="s">
        <v>9</v>
      </c>
      <c r="E1503" s="2">
        <v>99</v>
      </c>
      <c r="F1503" s="2">
        <v>1477.47</v>
      </c>
      <c r="G1503" s="1">
        <v>46218</v>
      </c>
    </row>
    <row r="1504" spans="3:6" x14ac:dyDescent="0.25">
      <c r="C1504" s="2" t="s">
        <v>2083</v>
      </c>
      <c r="D1504" s="2" t="s">
        <v>9</v>
      </c>
      <c r="E1504" s="2">
        <v>99</v>
      </c>
      <c r="F1504" s="2">
        <v>1431.97</v>
      </c>
    </row>
    <row r="1506" spans="1:7" x14ac:dyDescent="0.25">
      <c r="A1506" s="1">
        <v>46218</v>
      </c>
      <c r="B1506" s="2" t="s">
        <v>2084</v>
      </c>
      <c r="C1506" s="2" t="s">
        <v>2085</v>
      </c>
      <c r="D1506" s="2" t="s">
        <v>30</v>
      </c>
      <c r="E1506" s="2">
        <v>99</v>
      </c>
      <c r="F1506" s="2">
        <v>2110.84</v>
      </c>
      <c r="G1506" s="1">
        <v>46218</v>
      </c>
    </row>
    <row r="1507" spans="3:6" x14ac:dyDescent="0.25">
      <c r="C1507" s="2" t="s">
        <v>2086</v>
      </c>
      <c r="D1507" s="2" t="s">
        <v>30</v>
      </c>
      <c r="E1507" s="2">
        <v>99</v>
      </c>
      <c r="F1507" s="2">
        <v>1906.99</v>
      </c>
    </row>
    <row r="1509" spans="1:7" x14ac:dyDescent="0.25">
      <c r="A1509" s="1">
        <v>46218</v>
      </c>
      <c r="B1509" s="2" t="s">
        <v>2087</v>
      </c>
      <c r="C1509" s="2" t="s">
        <v>2088</v>
      </c>
      <c r="D1509" s="2" t="s">
        <v>15</v>
      </c>
      <c r="E1509" s="2">
        <v>99</v>
      </c>
      <c r="F1509" s="2">
        <v>2067.7</v>
      </c>
      <c r="G1509" s="1">
        <v>46218</v>
      </c>
    </row>
    <row r="1510" spans="3:6" x14ac:dyDescent="0.25">
      <c r="C1510" s="2" t="s">
        <v>2089</v>
      </c>
      <c r="D1510" s="2" t="s">
        <v>15</v>
      </c>
      <c r="E1510" s="2">
        <v>99</v>
      </c>
      <c r="F1510" s="2">
        <v>2009.809</v>
      </c>
    </row>
    <row r="1511" spans="3:6" x14ac:dyDescent="0.25">
      <c r="C1511" s="2" t="s">
        <v>2090</v>
      </c>
      <c r="D1511" s="2" t="s">
        <v>15</v>
      </c>
      <c r="E1511" s="2">
        <v>99</v>
      </c>
      <c r="F1511" s="2">
        <v>2032.42</v>
      </c>
    </row>
    <row r="1513" spans="1:7" x14ac:dyDescent="0.25">
      <c r="A1513" s="1">
        <v>46218</v>
      </c>
      <c r="B1513" s="2" t="s">
        <v>378</v>
      </c>
      <c r="C1513" s="2" t="s">
        <v>2091</v>
      </c>
      <c r="D1513" s="2" t="s">
        <v>30</v>
      </c>
      <c r="E1513" s="2">
        <v>20</v>
      </c>
      <c r="F1513" s="2">
        <v>372.019</v>
      </c>
      <c r="G1513" s="1">
        <v>46218</v>
      </c>
    </row>
    <row r="1514" spans="3:6" x14ac:dyDescent="0.25">
      <c r="C1514" s="2" t="s">
        <v>2092</v>
      </c>
      <c r="D1514" s="2" t="s">
        <v>15</v>
      </c>
      <c r="E1514" s="2">
        <v>105</v>
      </c>
      <c r="F1514" s="2">
        <v>2135.28</v>
      </c>
    </row>
    <row r="1515" spans="3:6" x14ac:dyDescent="0.25">
      <c r="C1515" s="2" t="s">
        <v>2093</v>
      </c>
      <c r="D1515" s="2" t="s">
        <v>15</v>
      </c>
      <c r="E1515" s="2">
        <v>105</v>
      </c>
      <c r="F1515" s="2">
        <v>2197.67</v>
      </c>
    </row>
    <row r="1516" spans="3:6" x14ac:dyDescent="0.25">
      <c r="C1516" s="2" t="s">
        <v>2094</v>
      </c>
      <c r="D1516" s="2" t="s">
        <v>15</v>
      </c>
      <c r="E1516" s="2">
        <v>105</v>
      </c>
      <c r="F1516" s="2">
        <v>2101.36</v>
      </c>
    </row>
    <row r="1517" spans="3:6" x14ac:dyDescent="0.25">
      <c r="C1517" s="2" t="s">
        <v>2095</v>
      </c>
      <c r="D1517" s="2" t="s">
        <v>15</v>
      </c>
      <c r="E1517" s="2">
        <v>55</v>
      </c>
      <c r="F1517" s="2">
        <v>1108.67</v>
      </c>
    </row>
    <row r="1518" spans="3:6" x14ac:dyDescent="0.25">
      <c r="C1518" s="2" t="s">
        <v>2096</v>
      </c>
      <c r="D1518" s="2" t="s">
        <v>15</v>
      </c>
      <c r="E1518" s="2">
        <v>50</v>
      </c>
      <c r="F1518" s="2">
        <v>1068.95</v>
      </c>
    </row>
    <row r="1519" spans="3:6" x14ac:dyDescent="0.25">
      <c r="C1519" s="2" t="s">
        <v>2097</v>
      </c>
      <c r="D1519" s="2" t="s">
        <v>15</v>
      </c>
      <c r="E1519" s="2">
        <v>163</v>
      </c>
      <c r="F1519" s="2">
        <v>2959.289</v>
      </c>
    </row>
    <row r="1520" spans="3:6" x14ac:dyDescent="0.25">
      <c r="C1520" s="2" t="s">
        <v>2098</v>
      </c>
      <c r="D1520" s="2" t="s">
        <v>15</v>
      </c>
      <c r="E1520" s="2">
        <v>163</v>
      </c>
      <c r="F1520" s="2">
        <v>3239.72</v>
      </c>
    </row>
    <row r="1521" spans="3:6" x14ac:dyDescent="0.25">
      <c r="C1521" s="2" t="s">
        <v>2099</v>
      </c>
      <c r="D1521" s="2" t="s">
        <v>15</v>
      </c>
      <c r="E1521" s="2">
        <v>105</v>
      </c>
      <c r="F1521" s="2">
        <v>1894.488</v>
      </c>
    </row>
    <row r="1522" spans="3:6" x14ac:dyDescent="0.25">
      <c r="C1522" s="2" t="s">
        <v>1974</v>
      </c>
      <c r="D1522" s="2" t="s">
        <v>15</v>
      </c>
      <c r="E1522" s="2">
        <v>36</v>
      </c>
      <c r="F1522" s="2">
        <v>697.73</v>
      </c>
    </row>
    <row r="1523" spans="3:6" x14ac:dyDescent="0.25">
      <c r="C1523" s="2" t="s">
        <v>2100</v>
      </c>
      <c r="D1523" s="2" t="s">
        <v>15</v>
      </c>
      <c r="E1523" s="2">
        <v>163</v>
      </c>
      <c r="F1523" s="2">
        <v>3008.668</v>
      </c>
    </row>
    <row r="1524" spans="3:6" x14ac:dyDescent="0.25">
      <c r="C1524" s="2" t="s">
        <v>2101</v>
      </c>
      <c r="D1524" s="2" t="s">
        <v>15</v>
      </c>
      <c r="E1524" s="2">
        <v>163</v>
      </c>
      <c r="F1524" s="2">
        <v>3218.998</v>
      </c>
    </row>
    <row r="1525" spans="3:6" x14ac:dyDescent="0.25">
      <c r="C1525" s="2" t="s">
        <v>2102</v>
      </c>
      <c r="D1525" s="2" t="s">
        <v>15</v>
      </c>
      <c r="E1525" s="2">
        <v>163</v>
      </c>
      <c r="F1525" s="2">
        <v>3119.56</v>
      </c>
    </row>
    <row r="1526" spans="3:6" x14ac:dyDescent="0.25">
      <c r="C1526" s="2" t="s">
        <v>2103</v>
      </c>
      <c r="D1526" s="2" t="s">
        <v>15</v>
      </c>
      <c r="E1526" s="2">
        <v>163</v>
      </c>
      <c r="F1526" s="2">
        <v>3038.309</v>
      </c>
    </row>
    <row r="1527" spans="3:6" x14ac:dyDescent="0.25">
      <c r="C1527" s="2" t="s">
        <v>2104</v>
      </c>
      <c r="D1527" s="2" t="s">
        <v>15</v>
      </c>
      <c r="E1527" s="2">
        <v>163</v>
      </c>
      <c r="F1527" s="2">
        <v>3194.908</v>
      </c>
    </row>
    <row r="1528" spans="3:6" x14ac:dyDescent="0.25">
      <c r="C1528" s="2" t="s">
        <v>2105</v>
      </c>
      <c r="D1528" s="2" t="s">
        <v>15</v>
      </c>
      <c r="E1528" s="2">
        <v>163</v>
      </c>
      <c r="F1528" s="2">
        <v>3032.02</v>
      </c>
    </row>
    <row r="1529" spans="3:6" x14ac:dyDescent="0.25">
      <c r="C1529" s="2" t="s">
        <v>2106</v>
      </c>
      <c r="D1529" s="2" t="s">
        <v>15</v>
      </c>
      <c r="E1529" s="2">
        <v>163</v>
      </c>
      <c r="F1529" s="2">
        <v>3137.68</v>
      </c>
    </row>
    <row r="1530" spans="3:6" x14ac:dyDescent="0.25">
      <c r="C1530" s="2" t="s">
        <v>2107</v>
      </c>
      <c r="D1530" s="2" t="s">
        <v>30</v>
      </c>
      <c r="E1530" s="2">
        <v>163</v>
      </c>
      <c r="F1530" s="2">
        <v>3097.62</v>
      </c>
    </row>
    <row r="1531" spans="3:6" x14ac:dyDescent="0.25">
      <c r="C1531" s="2" t="s">
        <v>2108</v>
      </c>
      <c r="D1531" s="2" t="s">
        <v>30</v>
      </c>
      <c r="E1531" s="2">
        <v>163</v>
      </c>
      <c r="F1531" s="2">
        <v>3204.878</v>
      </c>
    </row>
    <row r="1532" spans="3:6" x14ac:dyDescent="0.25">
      <c r="C1532" s="2" t="s">
        <v>2109</v>
      </c>
      <c r="D1532" s="2" t="s">
        <v>30</v>
      </c>
      <c r="E1532" s="2">
        <v>134</v>
      </c>
      <c r="F1532" s="2">
        <v>2608.388</v>
      </c>
    </row>
    <row r="1533" spans="3:6" x14ac:dyDescent="0.25">
      <c r="C1533" s="2" t="s">
        <v>2110</v>
      </c>
      <c r="D1533" s="2" t="s">
        <v>36</v>
      </c>
      <c r="E1533" s="2">
        <v>25</v>
      </c>
      <c r="F1533" s="2">
        <v>475.95</v>
      </c>
    </row>
    <row r="1534" spans="3:6" x14ac:dyDescent="0.25">
      <c r="C1534" s="2" t="s">
        <v>2111</v>
      </c>
      <c r="D1534" s="2" t="s">
        <v>36</v>
      </c>
      <c r="E1534" s="2">
        <v>80</v>
      </c>
      <c r="F1534" s="2">
        <v>1538.579</v>
      </c>
    </row>
    <row r="1535" spans="3:6" x14ac:dyDescent="0.25">
      <c r="C1535" s="2" t="s">
        <v>2112</v>
      </c>
      <c r="D1535" s="2" t="s">
        <v>36</v>
      </c>
      <c r="E1535" s="2">
        <v>45</v>
      </c>
      <c r="F1535" s="2">
        <v>879.34</v>
      </c>
    </row>
    <row r="1536" spans="3:6" x14ac:dyDescent="0.25">
      <c r="C1536" s="2" t="s">
        <v>2113</v>
      </c>
      <c r="D1536" s="2" t="s">
        <v>36</v>
      </c>
      <c r="E1536" s="2">
        <v>60</v>
      </c>
      <c r="F1536" s="2">
        <v>1067.46</v>
      </c>
    </row>
    <row r="1537" spans="3:6" x14ac:dyDescent="0.25">
      <c r="C1537" s="2" t="s">
        <v>2114</v>
      </c>
      <c r="D1537" s="2" t="s">
        <v>26</v>
      </c>
      <c r="E1537" s="2">
        <v>56</v>
      </c>
      <c r="F1537" s="2">
        <v>1096.839</v>
      </c>
    </row>
    <row r="1538" spans="3:6" x14ac:dyDescent="0.25">
      <c r="C1538" s="2" t="s">
        <v>2115</v>
      </c>
      <c r="D1538" s="2" t="s">
        <v>26</v>
      </c>
      <c r="E1538" s="2">
        <v>100</v>
      </c>
      <c r="F1538" s="2">
        <v>1906.84</v>
      </c>
    </row>
    <row r="1539" spans="3:6" x14ac:dyDescent="0.25">
      <c r="C1539" s="2" t="s">
        <v>2116</v>
      </c>
      <c r="D1539" s="2" t="s">
        <v>30</v>
      </c>
      <c r="E1539" s="2">
        <v>163</v>
      </c>
      <c r="F1539" s="2">
        <v>3181.169</v>
      </c>
    </row>
    <row r="1540" spans="3:6" x14ac:dyDescent="0.25">
      <c r="C1540" s="2" t="s">
        <v>2117</v>
      </c>
      <c r="D1540" s="2" t="s">
        <v>30</v>
      </c>
      <c r="E1540" s="2">
        <v>134</v>
      </c>
      <c r="F1540" s="2">
        <v>2689.399</v>
      </c>
    </row>
    <row r="1541" spans="3:6" x14ac:dyDescent="0.25">
      <c r="C1541" s="2" t="s">
        <v>2118</v>
      </c>
      <c r="D1541" s="2" t="s">
        <v>30</v>
      </c>
      <c r="E1541" s="2">
        <v>134</v>
      </c>
      <c r="F1541" s="2">
        <v>2572.38</v>
      </c>
    </row>
    <row r="1542" spans="3:6" x14ac:dyDescent="0.25">
      <c r="C1542" s="2" t="s">
        <v>2119</v>
      </c>
      <c r="D1542" s="2" t="s">
        <v>30</v>
      </c>
      <c r="E1542" s="2">
        <v>134</v>
      </c>
      <c r="F1542" s="2">
        <v>2717.09</v>
      </c>
    </row>
    <row r="1543" spans="3:6" x14ac:dyDescent="0.25">
      <c r="C1543" s="2" t="s">
        <v>2120</v>
      </c>
      <c r="D1543" s="2" t="s">
        <v>30</v>
      </c>
      <c r="E1543" s="2">
        <v>134</v>
      </c>
      <c r="F1543" s="2">
        <v>2678.33</v>
      </c>
    </row>
    <row r="1544" spans="3:6" x14ac:dyDescent="0.25">
      <c r="C1544" s="2" t="s">
        <v>2121</v>
      </c>
      <c r="D1544" s="2" t="s">
        <v>30</v>
      </c>
      <c r="E1544" s="2">
        <v>134</v>
      </c>
      <c r="F1544" s="2">
        <v>2755.399</v>
      </c>
    </row>
    <row r="1545" spans="3:6" x14ac:dyDescent="0.25">
      <c r="C1545" s="2" t="s">
        <v>2122</v>
      </c>
      <c r="D1545" s="2" t="s">
        <v>15</v>
      </c>
      <c r="E1545" s="2">
        <v>163</v>
      </c>
      <c r="F1545" s="2">
        <v>3084.99</v>
      </c>
    </row>
    <row r="1546" spans="3:6" x14ac:dyDescent="0.25">
      <c r="C1546" s="2" t="s">
        <v>1980</v>
      </c>
      <c r="D1546" s="2" t="s">
        <v>15</v>
      </c>
      <c r="E1546" s="2">
        <v>163</v>
      </c>
      <c r="F1546" s="2">
        <v>3177.097</v>
      </c>
    </row>
    <row r="1547" spans="3:6" x14ac:dyDescent="0.25">
      <c r="C1547" s="2" t="s">
        <v>2123</v>
      </c>
      <c r="D1547" s="2" t="s">
        <v>36</v>
      </c>
      <c r="E1547" s="2">
        <v>25</v>
      </c>
      <c r="F1547" s="2">
        <v>466.39</v>
      </c>
    </row>
    <row r="1548" spans="3:6" x14ac:dyDescent="0.25">
      <c r="C1548" s="2" t="s">
        <v>2124</v>
      </c>
      <c r="D1548" s="2" t="s">
        <v>36</v>
      </c>
      <c r="E1548" s="2">
        <v>80</v>
      </c>
      <c r="F1548" s="2">
        <v>1595.86</v>
      </c>
    </row>
    <row r="1550" spans="2:7" x14ac:dyDescent="0.25">
      <c r="B1550" s="2" t="s">
        <v>48</v>
      </c>
      <c r="C1550" s="2" t="s">
        <v>2125</v>
      </c>
      <c r="D1550" s="2" t="s">
        <v>30</v>
      </c>
      <c r="E1550" s="2">
        <v>156</v>
      </c>
      <c r="F1550" s="2">
        <v>2782</v>
      </c>
      <c r="G1550" s="1">
        <v>46218</v>
      </c>
    </row>
    <row r="1551" spans="3:6" x14ac:dyDescent="0.25">
      <c r="C1551" s="2" t="s">
        <v>2126</v>
      </c>
      <c r="D1551" s="2" t="s">
        <v>30</v>
      </c>
      <c r="E1551" s="2">
        <v>156</v>
      </c>
      <c r="F1551" s="2">
        <v>2748</v>
      </c>
    </row>
    <row r="1552" spans="3:6" x14ac:dyDescent="0.25">
      <c r="C1552" s="2" t="s">
        <v>2127</v>
      </c>
      <c r="D1552" s="2" t="s">
        <v>53</v>
      </c>
      <c r="E1552" s="2">
        <v>105</v>
      </c>
      <c r="F1552" s="2">
        <v>1908</v>
      </c>
    </row>
    <row r="1554" spans="1:7" x14ac:dyDescent="0.25">
      <c r="A1554" s="1">
        <v>46218</v>
      </c>
      <c r="B1554" s="2" t="s">
        <v>57</v>
      </c>
      <c r="C1554" s="2" t="s">
        <v>2128</v>
      </c>
      <c r="D1554" s="2" t="s">
        <v>59</v>
      </c>
      <c r="E1554" s="2">
        <v>268</v>
      </c>
      <c r="F1554" s="2">
        <v>5338.849</v>
      </c>
      <c r="G1554" s="1">
        <v>46218</v>
      </c>
    </row>
    <row r="1555" spans="3:6" x14ac:dyDescent="0.25">
      <c r="C1555" s="2" t="s">
        <v>2129</v>
      </c>
      <c r="D1555" s="2" t="s">
        <v>59</v>
      </c>
      <c r="E1555" s="2">
        <v>105</v>
      </c>
      <c r="F1555" s="2">
        <v>2081.7</v>
      </c>
    </row>
    <row r="1556" spans="3:6" x14ac:dyDescent="0.25">
      <c r="C1556" s="2" t="s">
        <v>2130</v>
      </c>
      <c r="D1556" s="2" t="s">
        <v>59</v>
      </c>
      <c r="E1556" s="2">
        <v>163</v>
      </c>
      <c r="F1556" s="2">
        <v>3047.46</v>
      </c>
    </row>
    <row r="1557" spans="3:6" x14ac:dyDescent="0.25">
      <c r="C1557" s="2" t="s">
        <v>2131</v>
      </c>
      <c r="D1557" s="2" t="s">
        <v>59</v>
      </c>
      <c r="E1557" s="2">
        <v>163</v>
      </c>
      <c r="F1557" s="2">
        <v>3019.54</v>
      </c>
    </row>
    <row r="1558" spans="3:6" x14ac:dyDescent="0.25">
      <c r="C1558" s="2" t="s">
        <v>2132</v>
      </c>
      <c r="D1558" s="2" t="s">
        <v>59</v>
      </c>
      <c r="E1558" s="2">
        <v>268</v>
      </c>
      <c r="F1558" s="2">
        <v>5131.349</v>
      </c>
    </row>
    <row r="1559" spans="3:6" x14ac:dyDescent="0.25">
      <c r="C1559" s="2" t="s">
        <v>2133</v>
      </c>
      <c r="D1559" s="2" t="s">
        <v>59</v>
      </c>
      <c r="E1559" s="2">
        <v>268</v>
      </c>
      <c r="F1559" s="2">
        <v>5078.138</v>
      </c>
    </row>
    <row r="1561" spans="1:7" x14ac:dyDescent="0.25">
      <c r="A1561" s="1">
        <v>46218</v>
      </c>
      <c r="B1561" s="2" t="s">
        <v>427</v>
      </c>
      <c r="C1561" s="2" t="s">
        <v>2134</v>
      </c>
      <c r="D1561" s="2" t="s">
        <v>59</v>
      </c>
      <c r="E1561" s="2">
        <v>149</v>
      </c>
      <c r="F1561" s="2">
        <v>3036.65</v>
      </c>
      <c r="G1561" s="1">
        <v>46218</v>
      </c>
    </row>
    <row r="1563" spans="1:7" x14ac:dyDescent="0.25">
      <c r="A1563" s="1">
        <v>46219</v>
      </c>
      <c r="B1563" s="2" t="s">
        <v>433</v>
      </c>
      <c r="C1563" s="2" t="s">
        <v>2135</v>
      </c>
      <c r="D1563" s="2" t="s">
        <v>73</v>
      </c>
      <c r="E1563" s="2">
        <v>44</v>
      </c>
      <c r="F1563" s="2">
        <v>793.748</v>
      </c>
      <c r="G1563" s="1">
        <v>46219</v>
      </c>
    </row>
    <row r="1564" spans="3:6" x14ac:dyDescent="0.25">
      <c r="C1564" s="2" t="s">
        <v>2136</v>
      </c>
      <c r="D1564" s="2" t="s">
        <v>73</v>
      </c>
      <c r="E1564" s="2">
        <v>15</v>
      </c>
      <c r="F1564" s="2">
        <v>295.709</v>
      </c>
    </row>
    <row r="1565" spans="3:6" x14ac:dyDescent="0.25">
      <c r="C1565" s="2" t="s">
        <v>2137</v>
      </c>
      <c r="D1565" s="2" t="s">
        <v>73</v>
      </c>
      <c r="E1565" s="2">
        <v>32</v>
      </c>
      <c r="F1565" s="2">
        <v>550.19</v>
      </c>
    </row>
    <row r="1566" spans="3:6" x14ac:dyDescent="0.25">
      <c r="C1566" s="2" t="s">
        <v>2138</v>
      </c>
      <c r="D1566" s="2" t="s">
        <v>73</v>
      </c>
      <c r="E1566" s="2">
        <v>96</v>
      </c>
      <c r="F1566" s="2">
        <v>1944.14</v>
      </c>
    </row>
    <row r="1567" spans="3:6" x14ac:dyDescent="0.25">
      <c r="C1567" s="2" t="s">
        <v>2139</v>
      </c>
      <c r="D1567" s="2" t="s">
        <v>73</v>
      </c>
      <c r="E1567" s="2">
        <v>85</v>
      </c>
      <c r="F1567" s="2">
        <v>1696.989</v>
      </c>
    </row>
    <row r="1568" spans="3:6" x14ac:dyDescent="0.25">
      <c r="C1568" s="2" t="s">
        <v>2140</v>
      </c>
      <c r="D1568" s="2" t="s">
        <v>73</v>
      </c>
      <c r="E1568" s="2">
        <v>8</v>
      </c>
      <c r="F1568" s="2">
        <v>160.25</v>
      </c>
    </row>
    <row r="1570" spans="1:7" x14ac:dyDescent="0.25">
      <c r="A1570" s="1">
        <v>46219</v>
      </c>
      <c r="B1570" s="2" t="s">
        <v>495</v>
      </c>
      <c r="C1570" s="2" t="s">
        <v>2141</v>
      </c>
      <c r="D1570" s="2" t="s">
        <v>82</v>
      </c>
      <c r="E1570" s="2">
        <v>21</v>
      </c>
      <c r="F1570" s="2">
        <v>383.76</v>
      </c>
      <c r="G1570" s="1">
        <v>46219</v>
      </c>
    </row>
    <row r="1571" spans="3:6" x14ac:dyDescent="0.25">
      <c r="C1571" s="2" t="s">
        <v>2142</v>
      </c>
      <c r="D1571" s="2" t="s">
        <v>82</v>
      </c>
      <c r="E1571" s="2">
        <v>39</v>
      </c>
      <c r="F1571" s="2">
        <v>765.41</v>
      </c>
    </row>
    <row r="1572" spans="3:6" x14ac:dyDescent="0.25">
      <c r="C1572" s="2" t="s">
        <v>2143</v>
      </c>
      <c r="D1572" s="2" t="s">
        <v>82</v>
      </c>
      <c r="E1572" s="2">
        <v>42</v>
      </c>
      <c r="F1572" s="2">
        <v>844.34</v>
      </c>
    </row>
    <row r="1573" spans="3:6" x14ac:dyDescent="0.25">
      <c r="C1573" s="2" t="s">
        <v>2144</v>
      </c>
      <c r="D1573" s="2" t="s">
        <v>82</v>
      </c>
      <c r="E1573" s="2">
        <v>141</v>
      </c>
      <c r="F1573" s="2">
        <v>2902.84</v>
      </c>
    </row>
    <row r="1574" spans="3:6" x14ac:dyDescent="0.25">
      <c r="C1574" s="2" t="s">
        <v>2145</v>
      </c>
      <c r="D1574" s="2" t="s">
        <v>82</v>
      </c>
      <c r="E1574" s="2">
        <v>141</v>
      </c>
      <c r="F1574" s="2">
        <v>2680.247</v>
      </c>
    </row>
    <row r="1575" spans="3:6" x14ac:dyDescent="0.25">
      <c r="C1575" s="2" t="s">
        <v>2146</v>
      </c>
      <c r="D1575" s="2" t="s">
        <v>82</v>
      </c>
      <c r="E1575" s="2">
        <v>141</v>
      </c>
      <c r="F1575" s="2">
        <v>2718.04</v>
      </c>
    </row>
    <row r="1576" spans="3:6" x14ac:dyDescent="0.25">
      <c r="C1576" s="2" t="s">
        <v>2147</v>
      </c>
      <c r="D1576" s="2" t="s">
        <v>82</v>
      </c>
      <c r="E1576" s="2">
        <v>80</v>
      </c>
      <c r="F1576" s="2">
        <v>1592.26</v>
      </c>
    </row>
    <row r="1577" spans="3:6" x14ac:dyDescent="0.25">
      <c r="C1577" s="2" t="s">
        <v>2148</v>
      </c>
      <c r="D1577" s="2" t="s">
        <v>82</v>
      </c>
      <c r="E1577" s="2">
        <v>61</v>
      </c>
      <c r="F1577" s="2">
        <v>1217.82</v>
      </c>
    </row>
    <row r="1578" spans="3:6" x14ac:dyDescent="0.25">
      <c r="C1578" s="2" t="s">
        <v>2149</v>
      </c>
      <c r="D1578" s="2" t="s">
        <v>82</v>
      </c>
      <c r="E1578" s="2">
        <v>102</v>
      </c>
      <c r="F1578" s="2">
        <v>2037.1</v>
      </c>
    </row>
    <row r="1579" spans="3:6" x14ac:dyDescent="0.25">
      <c r="C1579" s="2" t="s">
        <v>2150</v>
      </c>
      <c r="D1579" s="2" t="s">
        <v>82</v>
      </c>
      <c r="E1579" s="2">
        <v>102</v>
      </c>
      <c r="F1579" s="2">
        <v>2020.17</v>
      </c>
    </row>
    <row r="1580" spans="3:6" x14ac:dyDescent="0.25">
      <c r="C1580" s="2" t="s">
        <v>2151</v>
      </c>
      <c r="D1580" s="2" t="s">
        <v>82</v>
      </c>
      <c r="E1580" s="2">
        <v>102</v>
      </c>
      <c r="F1580" s="2">
        <v>2079.789</v>
      </c>
    </row>
    <row r="1581" spans="3:6" x14ac:dyDescent="0.25">
      <c r="C1581" s="2" t="s">
        <v>2152</v>
      </c>
      <c r="D1581" s="2" t="s">
        <v>82</v>
      </c>
      <c r="E1581" s="2">
        <v>141</v>
      </c>
      <c r="F1581" s="2">
        <v>2881.669</v>
      </c>
    </row>
    <row r="1582" spans="3:6" x14ac:dyDescent="0.25">
      <c r="C1582" s="2" t="s">
        <v>2153</v>
      </c>
      <c r="D1582" s="2" t="s">
        <v>82</v>
      </c>
      <c r="E1582" s="2">
        <v>20</v>
      </c>
      <c r="F1582" s="2">
        <v>410.24</v>
      </c>
    </row>
    <row r="1583" spans="3:6" x14ac:dyDescent="0.25">
      <c r="C1583" s="2" t="s">
        <v>2154</v>
      </c>
      <c r="D1583" s="2" t="s">
        <v>82</v>
      </c>
      <c r="E1583" s="2">
        <v>49</v>
      </c>
      <c r="F1583" s="2">
        <v>970.128</v>
      </c>
    </row>
    <row r="1584" spans="3:6" x14ac:dyDescent="0.25">
      <c r="C1584" s="2" t="s">
        <v>2155</v>
      </c>
      <c r="D1584" s="2" t="s">
        <v>82</v>
      </c>
      <c r="E1584" s="2">
        <v>66</v>
      </c>
      <c r="F1584" s="2">
        <v>1301.08</v>
      </c>
    </row>
    <row r="1585" spans="3:6" x14ac:dyDescent="0.25">
      <c r="C1585" s="2" t="s">
        <v>2156</v>
      </c>
      <c r="D1585" s="2" t="s">
        <v>82</v>
      </c>
      <c r="E1585" s="2">
        <v>59</v>
      </c>
      <c r="F1585" s="2">
        <v>1157.41</v>
      </c>
    </row>
    <row r="1586" spans="3:6" x14ac:dyDescent="0.25">
      <c r="C1586" s="2" t="s">
        <v>2157</v>
      </c>
      <c r="D1586" s="2" t="s">
        <v>82</v>
      </c>
      <c r="E1586" s="2">
        <v>12</v>
      </c>
      <c r="F1586" s="2">
        <v>234.63</v>
      </c>
    </row>
    <row r="1587" spans="3:6" x14ac:dyDescent="0.25">
      <c r="C1587" s="2" t="s">
        <v>2158</v>
      </c>
      <c r="D1587" s="2" t="s">
        <v>82</v>
      </c>
      <c r="E1587" s="2">
        <v>34</v>
      </c>
      <c r="F1587" s="2">
        <v>637.78</v>
      </c>
    </row>
    <row r="1588" spans="3:6" x14ac:dyDescent="0.25">
      <c r="C1588" s="2" t="s">
        <v>2159</v>
      </c>
      <c r="D1588" s="2" t="s">
        <v>82</v>
      </c>
      <c r="E1588" s="2">
        <v>22</v>
      </c>
      <c r="F1588" s="2">
        <v>431</v>
      </c>
    </row>
    <row r="1589" spans="3:6" x14ac:dyDescent="0.25">
      <c r="C1589" s="2" t="s">
        <v>2160</v>
      </c>
      <c r="D1589" s="2" t="s">
        <v>82</v>
      </c>
      <c r="E1589" s="2">
        <v>14</v>
      </c>
      <c r="F1589" s="2">
        <v>282.42</v>
      </c>
    </row>
    <row r="1590" spans="3:6" x14ac:dyDescent="0.25">
      <c r="C1590" s="2" t="s">
        <v>2161</v>
      </c>
      <c r="D1590" s="2" t="s">
        <v>82</v>
      </c>
      <c r="E1590" s="2">
        <v>8</v>
      </c>
      <c r="F1590" s="2">
        <v>157.17</v>
      </c>
    </row>
    <row r="1591" spans="3:6" x14ac:dyDescent="0.25">
      <c r="C1591" s="2" t="s">
        <v>2162</v>
      </c>
      <c r="D1591" s="2" t="s">
        <v>82</v>
      </c>
      <c r="E1591" s="2">
        <v>14</v>
      </c>
      <c r="F1591" s="2">
        <v>300.55</v>
      </c>
    </row>
    <row r="1592" spans="3:6" x14ac:dyDescent="0.25">
      <c r="C1592" s="2" t="s">
        <v>2163</v>
      </c>
      <c r="D1592" s="2" t="s">
        <v>82</v>
      </c>
      <c r="E1592" s="2">
        <v>42</v>
      </c>
      <c r="F1592" s="2">
        <v>864.49</v>
      </c>
    </row>
    <row r="1593" spans="3:6" x14ac:dyDescent="0.25">
      <c r="C1593" s="2" t="s">
        <v>2164</v>
      </c>
      <c r="D1593" s="2" t="s">
        <v>82</v>
      </c>
      <c r="E1593" s="2">
        <v>44</v>
      </c>
      <c r="F1593" s="2">
        <v>884.17</v>
      </c>
    </row>
    <row r="1594" spans="3:6" x14ac:dyDescent="0.25">
      <c r="C1594" s="2" t="s">
        <v>2165</v>
      </c>
      <c r="D1594" s="2" t="s">
        <v>82</v>
      </c>
      <c r="E1594" s="2">
        <v>64</v>
      </c>
      <c r="F1594" s="2">
        <v>1250.82</v>
      </c>
    </row>
    <row r="1595" spans="3:6" x14ac:dyDescent="0.25">
      <c r="C1595" s="2" t="s">
        <v>2166</v>
      </c>
      <c r="D1595" s="2" t="s">
        <v>82</v>
      </c>
      <c r="E1595" s="2">
        <v>54</v>
      </c>
      <c r="F1595" s="2">
        <v>991.67</v>
      </c>
    </row>
    <row r="1596" spans="3:6" x14ac:dyDescent="0.25">
      <c r="C1596" s="2" t="s">
        <v>2167</v>
      </c>
      <c r="D1596" s="2" t="s">
        <v>82</v>
      </c>
      <c r="E1596" s="2">
        <v>119</v>
      </c>
      <c r="F1596" s="2">
        <v>2028.26</v>
      </c>
    </row>
    <row r="1597" spans="3:6" x14ac:dyDescent="0.25">
      <c r="C1597" s="2" t="s">
        <v>2168</v>
      </c>
      <c r="D1597" s="2" t="s">
        <v>82</v>
      </c>
      <c r="E1597" s="2">
        <v>103</v>
      </c>
      <c r="F1597" s="2">
        <v>1965.17</v>
      </c>
    </row>
    <row r="1598" spans="3:6" x14ac:dyDescent="0.25">
      <c r="C1598" s="2" t="s">
        <v>2169</v>
      </c>
      <c r="D1598" s="2" t="s">
        <v>82</v>
      </c>
      <c r="E1598" s="2">
        <v>75</v>
      </c>
      <c r="F1598" s="2">
        <v>1525.88</v>
      </c>
    </row>
    <row r="1599" spans="3:6" x14ac:dyDescent="0.25">
      <c r="C1599" s="2" t="s">
        <v>2170</v>
      </c>
      <c r="D1599" s="2" t="s">
        <v>82</v>
      </c>
      <c r="E1599" s="2">
        <v>53</v>
      </c>
      <c r="F1599" s="2">
        <v>226.569</v>
      </c>
    </row>
    <row r="1600" spans="3:6" x14ac:dyDescent="0.25">
      <c r="C1600" s="2" t="s">
        <v>2171</v>
      </c>
      <c r="D1600" s="2" t="s">
        <v>82</v>
      </c>
      <c r="E1600" s="2">
        <v>141</v>
      </c>
      <c r="F1600" s="2">
        <v>1336.838</v>
      </c>
    </row>
    <row r="1601" spans="3:6" x14ac:dyDescent="0.25">
      <c r="C1601" s="2" t="s">
        <v>2172</v>
      </c>
      <c r="D1601" s="2" t="s">
        <v>82</v>
      </c>
      <c r="E1601" s="2">
        <v>141</v>
      </c>
      <c r="F1601" s="2">
        <v>2907.17</v>
      </c>
    </row>
    <row r="1602" spans="3:6" x14ac:dyDescent="0.25">
      <c r="C1602" s="2" t="s">
        <v>2173</v>
      </c>
      <c r="D1602" s="2" t="s">
        <v>82</v>
      </c>
      <c r="E1602" s="2">
        <v>141</v>
      </c>
      <c r="F1602" s="2">
        <v>2798.869</v>
      </c>
    </row>
    <row r="1603" spans="3:6" x14ac:dyDescent="0.25">
      <c r="C1603" s="2" t="s">
        <v>2174</v>
      </c>
      <c r="D1603" s="2" t="s">
        <v>82</v>
      </c>
      <c r="E1603" s="2">
        <v>141</v>
      </c>
      <c r="F1603" s="2">
        <v>2906.79</v>
      </c>
    </row>
    <row r="1604" spans="3:6" x14ac:dyDescent="0.25">
      <c r="C1604" s="2" t="s">
        <v>2175</v>
      </c>
      <c r="D1604" s="2" t="s">
        <v>82</v>
      </c>
      <c r="E1604" s="2">
        <v>92</v>
      </c>
      <c r="F1604" s="2">
        <v>1785.83</v>
      </c>
    </row>
    <row r="1605" spans="3:6" x14ac:dyDescent="0.25">
      <c r="C1605" s="2" t="s">
        <v>2176</v>
      </c>
      <c r="D1605" s="2" t="s">
        <v>82</v>
      </c>
      <c r="E1605" s="2">
        <v>50</v>
      </c>
      <c r="F1605" s="2">
        <v>935.209</v>
      </c>
    </row>
    <row r="1606" spans="3:6" x14ac:dyDescent="0.25">
      <c r="C1606" s="2" t="s">
        <v>2177</v>
      </c>
      <c r="D1606" s="2" t="s">
        <v>82</v>
      </c>
      <c r="E1606" s="2">
        <v>65</v>
      </c>
      <c r="F1606" s="2">
        <v>1227.88</v>
      </c>
    </row>
    <row r="1607" spans="3:6" x14ac:dyDescent="0.25">
      <c r="C1607" s="2" t="s">
        <v>2178</v>
      </c>
      <c r="D1607" s="2" t="s">
        <v>82</v>
      </c>
      <c r="E1607" s="2">
        <v>16</v>
      </c>
      <c r="F1607" s="2">
        <v>250.01</v>
      </c>
    </row>
    <row r="1608" spans="3:6" x14ac:dyDescent="0.25">
      <c r="C1608" s="2" t="s">
        <v>2179</v>
      </c>
      <c r="D1608" s="2" t="s">
        <v>82</v>
      </c>
      <c r="E1608" s="2">
        <v>60</v>
      </c>
      <c r="F1608" s="2">
        <v>1206.84</v>
      </c>
    </row>
    <row r="1609" spans="3:6" x14ac:dyDescent="0.25">
      <c r="C1609" s="2" t="s">
        <v>2180</v>
      </c>
      <c r="D1609" s="2" t="s">
        <v>82</v>
      </c>
      <c r="E1609" s="2">
        <v>56</v>
      </c>
      <c r="F1609" s="2">
        <v>1105.42</v>
      </c>
    </row>
    <row r="1610" spans="3:6" x14ac:dyDescent="0.25">
      <c r="C1610" s="2" t="s">
        <v>2181</v>
      </c>
      <c r="D1610" s="2" t="s">
        <v>82</v>
      </c>
      <c r="E1610" s="2">
        <v>49</v>
      </c>
      <c r="F1610" s="2">
        <v>1000.68</v>
      </c>
    </row>
    <row r="1611" spans="3:6" x14ac:dyDescent="0.25">
      <c r="C1611" s="2" t="s">
        <v>2182</v>
      </c>
      <c r="D1611" s="2" t="s">
        <v>82</v>
      </c>
      <c r="E1611" s="2">
        <v>36</v>
      </c>
      <c r="F1611" s="2">
        <v>712.41</v>
      </c>
    </row>
    <row r="1612" spans="3:6" x14ac:dyDescent="0.25">
      <c r="C1612" s="2" t="s">
        <v>2183</v>
      </c>
      <c r="D1612" s="2" t="s">
        <v>82</v>
      </c>
      <c r="E1612" s="2">
        <v>121</v>
      </c>
      <c r="F1612" s="2">
        <v>1496.696</v>
      </c>
    </row>
    <row r="1614" spans="1:7" x14ac:dyDescent="0.25">
      <c r="A1614" s="1">
        <v>46219</v>
      </c>
      <c r="B1614" s="2" t="s">
        <v>7</v>
      </c>
      <c r="C1614" s="2" t="s">
        <v>2184</v>
      </c>
      <c r="D1614" s="2" t="s">
        <v>9</v>
      </c>
      <c r="E1614" s="2">
        <v>92</v>
      </c>
      <c r="F1614" s="2">
        <v>1811.67</v>
      </c>
      <c r="G1614" s="1">
        <v>46218</v>
      </c>
    </row>
    <row r="1615" spans="3:6" x14ac:dyDescent="0.25">
      <c r="C1615" s="2" t="s">
        <v>2185</v>
      </c>
      <c r="D1615" s="2" t="s">
        <v>9</v>
      </c>
      <c r="E1615" s="2">
        <v>89</v>
      </c>
      <c r="F1615" s="2">
        <v>1800.77</v>
      </c>
    </row>
    <row r="1617" spans="1:7" x14ac:dyDescent="0.25">
      <c r="A1617" s="1">
        <v>46219</v>
      </c>
      <c r="B1617" s="2" t="s">
        <v>358</v>
      </c>
      <c r="C1617" s="2" t="s">
        <v>2186</v>
      </c>
      <c r="D1617" s="2" t="s">
        <v>136</v>
      </c>
      <c r="E1617" s="2">
        <v>112</v>
      </c>
      <c r="F1617" s="2">
        <v>2292.13</v>
      </c>
      <c r="G1617" s="1">
        <v>46218</v>
      </c>
    </row>
    <row r="1618" spans="3:6" x14ac:dyDescent="0.25">
      <c r="C1618" s="2" t="s">
        <v>2187</v>
      </c>
      <c r="D1618" s="2" t="s">
        <v>136</v>
      </c>
      <c r="E1618" s="2">
        <v>21</v>
      </c>
      <c r="F1618" s="2">
        <v>362.37</v>
      </c>
    </row>
    <row r="1620" spans="1:7" x14ac:dyDescent="0.25">
      <c r="A1620" s="1">
        <v>46220</v>
      </c>
      <c r="B1620" s="2" t="s">
        <v>71</v>
      </c>
      <c r="C1620" s="2" t="s">
        <v>2188</v>
      </c>
      <c r="D1620" s="2" t="s">
        <v>73</v>
      </c>
      <c r="E1620" s="2">
        <v>98</v>
      </c>
      <c r="F1620" s="2">
        <v>1915.589</v>
      </c>
      <c r="G1620" s="1">
        <v>46220</v>
      </c>
    </row>
    <row r="1621" spans="3:6" x14ac:dyDescent="0.25">
      <c r="C1621" s="2" t="s">
        <v>2189</v>
      </c>
      <c r="D1621" s="2" t="s">
        <v>73</v>
      </c>
      <c r="E1621" s="2">
        <v>83</v>
      </c>
      <c r="F1621" s="2">
        <v>1642.95</v>
      </c>
    </row>
    <row r="1622" spans="3:6" x14ac:dyDescent="0.25">
      <c r="C1622" s="2" t="s">
        <v>2190</v>
      </c>
      <c r="D1622" s="2" t="s">
        <v>73</v>
      </c>
      <c r="E1622" s="2">
        <v>6</v>
      </c>
      <c r="F1622" s="2">
        <v>122.79</v>
      </c>
    </row>
    <row r="1623" spans="3:6" x14ac:dyDescent="0.25">
      <c r="C1623" s="2" t="s">
        <v>2191</v>
      </c>
      <c r="D1623" s="2" t="s">
        <v>73</v>
      </c>
      <c r="E1623" s="2">
        <v>58</v>
      </c>
      <c r="F1623" s="2">
        <v>1055.19</v>
      </c>
    </row>
    <row r="1624" spans="3:6" x14ac:dyDescent="0.25">
      <c r="C1624" s="2" t="s">
        <v>2192</v>
      </c>
      <c r="D1624" s="2" t="s">
        <v>73</v>
      </c>
      <c r="E1624" s="2">
        <v>36</v>
      </c>
      <c r="F1624" s="2">
        <v>621.04</v>
      </c>
    </row>
    <row r="1626" spans="1:7" x14ac:dyDescent="0.25">
      <c r="A1626" s="1">
        <v>46220</v>
      </c>
      <c r="B1626" s="2" t="s">
        <v>229</v>
      </c>
      <c r="C1626" s="2" t="s">
        <v>2193</v>
      </c>
      <c r="D1626" s="2" t="s">
        <v>82</v>
      </c>
      <c r="E1626" s="2">
        <v>60</v>
      </c>
      <c r="F1626" s="2">
        <v>1250.05</v>
      </c>
      <c r="G1626" s="1">
        <v>46220</v>
      </c>
    </row>
    <row r="1627" spans="3:6" x14ac:dyDescent="0.25">
      <c r="C1627" s="2" t="s">
        <v>2194</v>
      </c>
      <c r="D1627" s="2" t="s">
        <v>82</v>
      </c>
      <c r="E1627" s="2">
        <v>61</v>
      </c>
      <c r="F1627" s="2">
        <v>1231.74</v>
      </c>
    </row>
    <row r="1628" spans="3:6" x14ac:dyDescent="0.25">
      <c r="C1628" s="2" t="s">
        <v>2195</v>
      </c>
      <c r="D1628" s="2" t="s">
        <v>82</v>
      </c>
      <c r="E1628" s="2">
        <v>36</v>
      </c>
      <c r="F1628" s="2">
        <v>685.22</v>
      </c>
    </row>
    <row r="1629" spans="3:6" x14ac:dyDescent="0.25">
      <c r="C1629" s="2" t="s">
        <v>2196</v>
      </c>
      <c r="D1629" s="2" t="s">
        <v>82</v>
      </c>
      <c r="E1629" s="2">
        <v>46</v>
      </c>
      <c r="F1629" s="2">
        <v>969.919</v>
      </c>
    </row>
    <row r="1630" spans="3:6" x14ac:dyDescent="0.25">
      <c r="C1630" s="2" t="s">
        <v>2197</v>
      </c>
      <c r="D1630" s="2" t="s">
        <v>82</v>
      </c>
      <c r="E1630" s="2">
        <v>39</v>
      </c>
      <c r="F1630" s="2">
        <v>786.16</v>
      </c>
    </row>
    <row r="1631" spans="3:6" x14ac:dyDescent="0.25">
      <c r="C1631" s="2" t="s">
        <v>2198</v>
      </c>
      <c r="D1631" s="2" t="s">
        <v>82</v>
      </c>
      <c r="E1631" s="2">
        <v>51</v>
      </c>
      <c r="F1631" s="2">
        <v>974.06</v>
      </c>
    </row>
    <row r="1632" spans="3:6" x14ac:dyDescent="0.25">
      <c r="C1632" s="2" t="s">
        <v>2199</v>
      </c>
      <c r="D1632" s="2" t="s">
        <v>82</v>
      </c>
      <c r="E1632" s="2">
        <v>34</v>
      </c>
      <c r="F1632" s="2">
        <v>683.56</v>
      </c>
    </row>
    <row r="1633" spans="3:6" x14ac:dyDescent="0.25">
      <c r="C1633" s="2" t="s">
        <v>2200</v>
      </c>
      <c r="D1633" s="2" t="s">
        <v>82</v>
      </c>
      <c r="E1633" s="2">
        <v>36</v>
      </c>
      <c r="F1633" s="2">
        <v>717.42</v>
      </c>
    </row>
    <row r="1634" spans="3:6" x14ac:dyDescent="0.25">
      <c r="C1634" s="2" t="s">
        <v>2201</v>
      </c>
      <c r="D1634" s="2" t="s">
        <v>82</v>
      </c>
      <c r="E1634" s="2">
        <v>14</v>
      </c>
      <c r="F1634" s="2">
        <v>286.42</v>
      </c>
    </row>
    <row r="1635" spans="3:6" x14ac:dyDescent="0.25">
      <c r="C1635" s="2" t="s">
        <v>2202</v>
      </c>
      <c r="D1635" s="2" t="s">
        <v>82</v>
      </c>
      <c r="E1635" s="2">
        <v>35</v>
      </c>
      <c r="F1635" s="2">
        <v>516.462</v>
      </c>
    </row>
    <row r="1636" spans="3:6" x14ac:dyDescent="0.25">
      <c r="C1636" s="2" t="s">
        <v>2203</v>
      </c>
      <c r="D1636" s="2" t="s">
        <v>82</v>
      </c>
      <c r="E1636" s="2">
        <v>47</v>
      </c>
      <c r="F1636" s="2">
        <v>979.02</v>
      </c>
    </row>
    <row r="1637" spans="3:6" x14ac:dyDescent="0.25">
      <c r="C1637" s="2" t="s">
        <v>2204</v>
      </c>
      <c r="D1637" s="2" t="s">
        <v>82</v>
      </c>
      <c r="E1637" s="2">
        <v>67</v>
      </c>
      <c r="F1637" s="2">
        <v>1318.67</v>
      </c>
    </row>
    <row r="1638" spans="3:6" x14ac:dyDescent="0.25">
      <c r="C1638" s="2" t="s">
        <v>2205</v>
      </c>
      <c r="D1638" s="2" t="s">
        <v>82</v>
      </c>
      <c r="E1638" s="2">
        <v>67</v>
      </c>
      <c r="F1638" s="2">
        <v>1317.43</v>
      </c>
    </row>
    <row r="1639" spans="3:6" x14ac:dyDescent="0.25">
      <c r="C1639" s="2" t="s">
        <v>2206</v>
      </c>
      <c r="D1639" s="2" t="s">
        <v>82</v>
      </c>
      <c r="E1639" s="2">
        <v>75</v>
      </c>
      <c r="F1639" s="2">
        <v>1441.7</v>
      </c>
    </row>
    <row r="1640" spans="3:6" x14ac:dyDescent="0.25">
      <c r="C1640" s="2" t="s">
        <v>2207</v>
      </c>
      <c r="D1640" s="2" t="s">
        <v>82</v>
      </c>
      <c r="E1640" s="2">
        <v>3</v>
      </c>
      <c r="F1640" s="2">
        <v>32.73</v>
      </c>
    </row>
    <row r="1641" spans="3:6" x14ac:dyDescent="0.25">
      <c r="C1641" s="2" t="s">
        <v>2208</v>
      </c>
      <c r="D1641" s="2" t="s">
        <v>82</v>
      </c>
      <c r="E1641" s="2">
        <v>30</v>
      </c>
      <c r="F1641" s="2">
        <v>127.69</v>
      </c>
    </row>
    <row r="1642" spans="3:6" x14ac:dyDescent="0.25">
      <c r="C1642" s="2" t="s">
        <v>2209</v>
      </c>
      <c r="D1642" s="2" t="s">
        <v>82</v>
      </c>
      <c r="E1642" s="2">
        <v>70</v>
      </c>
      <c r="F1642" s="2">
        <v>342.009</v>
      </c>
    </row>
    <row r="1643" spans="3:6" x14ac:dyDescent="0.25">
      <c r="C1643" s="2" t="s">
        <v>2210</v>
      </c>
      <c r="D1643" s="2" t="s">
        <v>82</v>
      </c>
      <c r="E1643" s="2">
        <v>127</v>
      </c>
      <c r="F1643" s="2">
        <v>1840.019</v>
      </c>
    </row>
    <row r="1644" spans="3:6" x14ac:dyDescent="0.25">
      <c r="C1644" s="2" t="s">
        <v>2211</v>
      </c>
      <c r="D1644" s="2" t="s">
        <v>82</v>
      </c>
      <c r="E1644" s="2">
        <f>121+121+141</f>
        <v>383</v>
      </c>
      <c r="F1644" s="2">
        <f>1135.519+1183.346+1336.838</f>
        <v>3655.7029999999995</v>
      </c>
    </row>
    <row r="1645" spans="3:6" x14ac:dyDescent="0.25">
      <c r="C1645" s="2" t="s">
        <v>2212</v>
      </c>
      <c r="D1645" s="2" t="s">
        <v>82</v>
      </c>
      <c r="E1645" s="2">
        <v>15</v>
      </c>
      <c r="F1645" s="2">
        <v>273.25</v>
      </c>
    </row>
    <row r="1646" spans="3:6" x14ac:dyDescent="0.25">
      <c r="C1646" s="2" t="s">
        <v>2213</v>
      </c>
      <c r="D1646" s="2" t="s">
        <v>82</v>
      </c>
      <c r="E1646" s="2">
        <v>49</v>
      </c>
      <c r="F1646" s="2">
        <v>882.959</v>
      </c>
    </row>
    <row r="1647" spans="3:6" x14ac:dyDescent="0.25">
      <c r="C1647" s="2" t="s">
        <v>2214</v>
      </c>
      <c r="D1647" s="2" t="s">
        <v>82</v>
      </c>
      <c r="E1647" s="2">
        <v>27</v>
      </c>
      <c r="F1647" s="2">
        <v>552.21</v>
      </c>
    </row>
    <row r="1648" spans="3:6" x14ac:dyDescent="0.25">
      <c r="C1648" s="2" t="s">
        <v>2215</v>
      </c>
      <c r="D1648" s="2" t="s">
        <v>82</v>
      </c>
      <c r="E1648" s="2">
        <v>27</v>
      </c>
      <c r="F1648" s="2">
        <v>535.2</v>
      </c>
    </row>
    <row r="1649" spans="3:6" x14ac:dyDescent="0.25">
      <c r="C1649" s="2" t="s">
        <v>2216</v>
      </c>
      <c r="D1649" s="2" t="s">
        <v>82</v>
      </c>
      <c r="E1649" s="2">
        <v>24</v>
      </c>
      <c r="F1649" s="2">
        <v>486.03</v>
      </c>
    </row>
    <row r="1650" spans="3:6" x14ac:dyDescent="0.25">
      <c r="C1650" s="2" t="s">
        <v>2217</v>
      </c>
      <c r="D1650" s="2" t="s">
        <v>82</v>
      </c>
      <c r="E1650" s="2">
        <v>141</v>
      </c>
      <c r="F1650" s="2">
        <v>2721.6</v>
      </c>
    </row>
    <row r="1651" spans="3:6" x14ac:dyDescent="0.25">
      <c r="C1651" s="2" t="s">
        <v>2218</v>
      </c>
      <c r="D1651" s="2" t="s">
        <v>82</v>
      </c>
      <c r="E1651" s="2">
        <v>40</v>
      </c>
      <c r="F1651" s="2">
        <v>766.33</v>
      </c>
    </row>
    <row r="1652" spans="3:6" x14ac:dyDescent="0.25">
      <c r="C1652" s="2" t="s">
        <v>2219</v>
      </c>
      <c r="D1652" s="2" t="s">
        <v>82</v>
      </c>
      <c r="E1652" s="2">
        <v>27</v>
      </c>
      <c r="F1652" s="2">
        <v>536.91</v>
      </c>
    </row>
    <row r="1653" spans="3:6" x14ac:dyDescent="0.25">
      <c r="C1653" s="2" t="s">
        <v>2220</v>
      </c>
      <c r="D1653" s="2" t="s">
        <v>82</v>
      </c>
      <c r="E1653" s="2">
        <v>37</v>
      </c>
      <c r="F1653" s="2">
        <v>725.33</v>
      </c>
    </row>
    <row r="1654" spans="3:6" x14ac:dyDescent="0.25">
      <c r="C1654" s="2" t="s">
        <v>2221</v>
      </c>
      <c r="D1654" s="2" t="s">
        <v>82</v>
      </c>
      <c r="E1654" s="2">
        <v>15</v>
      </c>
      <c r="F1654" s="2">
        <v>203.78</v>
      </c>
    </row>
    <row r="1655" spans="3:6" x14ac:dyDescent="0.25">
      <c r="C1655" s="2" t="s">
        <v>2222</v>
      </c>
      <c r="D1655" s="2" t="s">
        <v>82</v>
      </c>
      <c r="E1655" s="2">
        <v>24</v>
      </c>
      <c r="F1655" s="2">
        <v>482.34</v>
      </c>
    </row>
    <row r="1656" spans="3:6" x14ac:dyDescent="0.25">
      <c r="C1656" s="2" t="s">
        <v>2223</v>
      </c>
      <c r="D1656" s="2" t="s">
        <v>82</v>
      </c>
      <c r="E1656" s="2">
        <v>141</v>
      </c>
      <c r="F1656" s="2">
        <v>2901.89</v>
      </c>
    </row>
    <row r="1657" spans="3:6" x14ac:dyDescent="0.25">
      <c r="C1657" s="2" t="s">
        <v>2224</v>
      </c>
      <c r="D1657" s="2" t="s">
        <v>82</v>
      </c>
      <c r="E1657" s="2">
        <v>141</v>
      </c>
      <c r="F1657" s="2">
        <v>2780.179</v>
      </c>
    </row>
    <row r="1658" spans="3:6" x14ac:dyDescent="0.25">
      <c r="C1658" s="2" t="s">
        <v>2225</v>
      </c>
      <c r="D1658" s="2" t="s">
        <v>82</v>
      </c>
      <c r="E1658" s="2">
        <v>112</v>
      </c>
      <c r="F1658" s="2">
        <v>2313.819</v>
      </c>
    </row>
    <row r="1659" spans="3:6" x14ac:dyDescent="0.25">
      <c r="C1659" s="2" t="s">
        <v>2226</v>
      </c>
      <c r="D1659" s="2" t="s">
        <v>82</v>
      </c>
      <c r="E1659" s="2">
        <v>29</v>
      </c>
      <c r="F1659" s="2">
        <v>590.69</v>
      </c>
    </row>
    <row r="1660" spans="3:6" x14ac:dyDescent="0.25">
      <c r="C1660" s="2" t="s">
        <v>2227</v>
      </c>
      <c r="D1660" s="2" t="s">
        <v>82</v>
      </c>
      <c r="E1660" s="2">
        <v>25</v>
      </c>
      <c r="F1660" s="2">
        <v>425.46</v>
      </c>
    </row>
    <row r="1661" spans="3:6" x14ac:dyDescent="0.25">
      <c r="C1661" s="2" t="s">
        <v>2228</v>
      </c>
      <c r="D1661" s="2" t="s">
        <v>82</v>
      </c>
      <c r="E1661" s="2">
        <v>27</v>
      </c>
      <c r="F1661" s="2">
        <v>517.92</v>
      </c>
    </row>
    <row r="1662" spans="3:6" x14ac:dyDescent="0.25">
      <c r="C1662" s="2" t="s">
        <v>2229</v>
      </c>
      <c r="D1662" s="2" t="s">
        <v>82</v>
      </c>
      <c r="E1662" s="2">
        <v>19</v>
      </c>
      <c r="F1662" s="2">
        <v>392.57</v>
      </c>
    </row>
    <row r="1663" spans="3:6" x14ac:dyDescent="0.25">
      <c r="C1663" s="2" t="s">
        <v>2230</v>
      </c>
      <c r="D1663" s="2" t="s">
        <v>82</v>
      </c>
      <c r="E1663" s="2">
        <v>30</v>
      </c>
      <c r="F1663" s="2">
        <v>582.469</v>
      </c>
    </row>
    <row r="1664" spans="3:6" x14ac:dyDescent="0.25">
      <c r="C1664" s="2" t="s">
        <v>2231</v>
      </c>
      <c r="D1664" s="2" t="s">
        <v>82</v>
      </c>
      <c r="E1664" s="2">
        <v>40</v>
      </c>
      <c r="F1664" s="2">
        <v>817.06</v>
      </c>
    </row>
    <row r="1665" spans="3:6" x14ac:dyDescent="0.25">
      <c r="C1665" s="2" t="s">
        <v>2232</v>
      </c>
      <c r="D1665" s="2" t="s">
        <v>82</v>
      </c>
      <c r="E1665" s="2">
        <v>96</v>
      </c>
      <c r="F1665" s="2">
        <v>2039.68</v>
      </c>
    </row>
    <row r="1666" spans="3:6" x14ac:dyDescent="0.25">
      <c r="C1666" s="2" t="s">
        <v>2233</v>
      </c>
      <c r="D1666" s="2" t="s">
        <v>82</v>
      </c>
      <c r="E1666" s="2">
        <v>21</v>
      </c>
      <c r="F1666" s="2">
        <v>446.73</v>
      </c>
    </row>
    <row r="1667" spans="3:6" x14ac:dyDescent="0.25">
      <c r="C1667" s="2" t="s">
        <v>2234</v>
      </c>
      <c r="D1667" s="2" t="s">
        <v>82</v>
      </c>
      <c r="E1667" s="2">
        <v>7</v>
      </c>
      <c r="F1667" s="2">
        <v>152.41</v>
      </c>
    </row>
    <row r="1668" spans="3:6" x14ac:dyDescent="0.25">
      <c r="C1668" s="2" t="s">
        <v>2235</v>
      </c>
      <c r="D1668" s="2" t="s">
        <v>82</v>
      </c>
      <c r="E1668" s="2">
        <v>17</v>
      </c>
      <c r="F1668" s="2">
        <v>357.98</v>
      </c>
    </row>
    <row r="1669" spans="3:6" x14ac:dyDescent="0.25">
      <c r="C1669" s="2" t="s">
        <v>2236</v>
      </c>
      <c r="D1669" s="2" t="s">
        <v>82</v>
      </c>
      <c r="E1669" s="2">
        <v>79</v>
      </c>
      <c r="F1669" s="2">
        <v>1599.37</v>
      </c>
    </row>
    <row r="1670" spans="3:6" x14ac:dyDescent="0.25">
      <c r="C1670" s="2" t="s">
        <v>2237</v>
      </c>
      <c r="D1670" s="2" t="s">
        <v>82</v>
      </c>
      <c r="E1670" s="2">
        <v>62</v>
      </c>
      <c r="F1670" s="2">
        <v>1329.12</v>
      </c>
    </row>
    <row r="1671" spans="3:6" x14ac:dyDescent="0.25">
      <c r="C1671" s="2" t="s">
        <v>2238</v>
      </c>
      <c r="D1671" s="2" t="s">
        <v>82</v>
      </c>
      <c r="E1671" s="2">
        <v>102</v>
      </c>
      <c r="F1671" s="2">
        <v>1988.539</v>
      </c>
    </row>
    <row r="1672" spans="3:6" x14ac:dyDescent="0.25">
      <c r="C1672" s="2" t="s">
        <v>2239</v>
      </c>
      <c r="D1672" s="2" t="s">
        <v>82</v>
      </c>
      <c r="E1672" s="2">
        <v>83</v>
      </c>
      <c r="F1672" s="2">
        <v>1597.462</v>
      </c>
    </row>
    <row r="1673" spans="3:6" x14ac:dyDescent="0.25">
      <c r="C1673" s="2" t="s">
        <v>2240</v>
      </c>
      <c r="D1673" s="2" t="s">
        <v>82</v>
      </c>
      <c r="E1673" s="2">
        <v>52</v>
      </c>
      <c r="F1673" s="2">
        <v>1077.24</v>
      </c>
    </row>
    <row r="1674" spans="3:6" x14ac:dyDescent="0.25">
      <c r="C1674" s="2" t="s">
        <v>2241</v>
      </c>
      <c r="D1674" s="2" t="s">
        <v>82</v>
      </c>
      <c r="E1674" s="2">
        <v>50</v>
      </c>
      <c r="F1674" s="2">
        <v>974.3</v>
      </c>
    </row>
    <row r="1675" spans="3:6" x14ac:dyDescent="0.25">
      <c r="C1675" s="2" t="s">
        <v>2242</v>
      </c>
      <c r="D1675" s="2" t="s">
        <v>82</v>
      </c>
      <c r="E1675" s="2">
        <v>62</v>
      </c>
      <c r="F1675" s="2">
        <v>1215.34</v>
      </c>
    </row>
    <row r="1676" spans="3:6" x14ac:dyDescent="0.25">
      <c r="C1676" s="2" t="s">
        <v>2243</v>
      </c>
      <c r="D1676" s="2" t="s">
        <v>82</v>
      </c>
      <c r="E1676" s="2">
        <v>40</v>
      </c>
      <c r="F1676" s="2">
        <v>769.74</v>
      </c>
    </row>
    <row r="1677" spans="3:6" x14ac:dyDescent="0.25">
      <c r="C1677" s="2" t="s">
        <v>2244</v>
      </c>
      <c r="D1677" s="2" t="s">
        <v>82</v>
      </c>
      <c r="E1677" s="2">
        <v>80</v>
      </c>
      <c r="F1677" s="2">
        <v>1576.85</v>
      </c>
    </row>
    <row r="1678" spans="3:6" x14ac:dyDescent="0.25">
      <c r="C1678" s="2" t="s">
        <v>2245</v>
      </c>
      <c r="D1678" s="2" t="s">
        <v>82</v>
      </c>
      <c r="E1678" s="2">
        <v>16</v>
      </c>
      <c r="F1678" s="2">
        <v>324.95</v>
      </c>
    </row>
    <row r="1679" spans="3:6" x14ac:dyDescent="0.25">
      <c r="C1679" s="2" t="s">
        <v>2246</v>
      </c>
      <c r="D1679" s="2" t="s">
        <v>82</v>
      </c>
      <c r="E1679" s="2">
        <v>7</v>
      </c>
      <c r="F1679" s="2">
        <v>126</v>
      </c>
    </row>
    <row r="1681" spans="1:7" x14ac:dyDescent="0.25">
      <c r="A1681" s="1">
        <v>46220</v>
      </c>
      <c r="B1681" s="2" t="s">
        <v>290</v>
      </c>
      <c r="C1681" s="2" t="s">
        <v>2247</v>
      </c>
      <c r="D1681" s="2" t="s">
        <v>178</v>
      </c>
      <c r="E1681" s="2">
        <v>123</v>
      </c>
      <c r="F1681" s="2">
        <v>2505</v>
      </c>
      <c r="G1681" s="1">
        <v>46220</v>
      </c>
    </row>
    <row r="1682" spans="3:6" x14ac:dyDescent="0.25">
      <c r="C1682" s="2" t="s">
        <v>2248</v>
      </c>
      <c r="D1682" s="2" t="s">
        <v>178</v>
      </c>
      <c r="E1682" s="2">
        <v>123</v>
      </c>
      <c r="F1682" s="2">
        <v>2497.759</v>
      </c>
    </row>
    <row r="1683" spans="3:6" x14ac:dyDescent="0.25">
      <c r="C1683" s="2" t="s">
        <v>2249</v>
      </c>
      <c r="D1683" s="2" t="s">
        <v>178</v>
      </c>
      <c r="E1683" s="2">
        <v>115</v>
      </c>
      <c r="F1683" s="2">
        <v>2245.049</v>
      </c>
    </row>
    <row r="1684" spans="3:6" x14ac:dyDescent="0.25">
      <c r="C1684" s="2" t="s">
        <v>2250</v>
      </c>
      <c r="D1684" s="2" t="s">
        <v>178</v>
      </c>
      <c r="E1684" s="2">
        <v>124</v>
      </c>
      <c r="F1684" s="2">
        <v>2521.41</v>
      </c>
    </row>
    <row r="1685" spans="3:6" x14ac:dyDescent="0.25">
      <c r="C1685" s="2" t="s">
        <v>2251</v>
      </c>
      <c r="D1685" s="2" t="s">
        <v>178</v>
      </c>
      <c r="E1685" s="2">
        <v>149</v>
      </c>
      <c r="F1685" s="2">
        <v>622.048</v>
      </c>
    </row>
    <row r="1686" spans="3:6" x14ac:dyDescent="0.25">
      <c r="C1686" s="2" t="s">
        <v>2252</v>
      </c>
      <c r="D1686" s="2" t="s">
        <v>178</v>
      </c>
      <c r="E1686" s="2">
        <v>120</v>
      </c>
      <c r="F1686" s="2">
        <v>2487.77</v>
      </c>
    </row>
    <row r="1687" spans="3:6" x14ac:dyDescent="0.25">
      <c r="C1687" s="2" t="s">
        <v>2253</v>
      </c>
      <c r="D1687" s="2" t="s">
        <v>178</v>
      </c>
      <c r="E1687" s="2">
        <v>141</v>
      </c>
      <c r="F1687" s="2">
        <v>2832.63</v>
      </c>
    </row>
    <row r="1688" spans="3:6" x14ac:dyDescent="0.25">
      <c r="C1688" s="2" t="s">
        <v>2254</v>
      </c>
      <c r="D1688" s="2" t="s">
        <v>178</v>
      </c>
      <c r="E1688" s="2">
        <v>140</v>
      </c>
      <c r="F1688" s="2">
        <v>2791.175</v>
      </c>
    </row>
    <row r="1689" spans="3:6" x14ac:dyDescent="0.25">
      <c r="C1689" s="2" t="s">
        <v>2255</v>
      </c>
      <c r="D1689" s="2" t="s">
        <v>178</v>
      </c>
      <c r="E1689" s="2">
        <v>140</v>
      </c>
      <c r="F1689" s="2">
        <v>2818.077</v>
      </c>
    </row>
    <row r="1690" spans="3:6" x14ac:dyDescent="0.25">
      <c r="C1690" s="2" t="s">
        <v>2256</v>
      </c>
      <c r="D1690" s="2" t="s">
        <v>178</v>
      </c>
      <c r="E1690" s="2">
        <v>140</v>
      </c>
      <c r="F1690" s="2">
        <v>2928.81</v>
      </c>
    </row>
    <row r="1691" spans="3:6" x14ac:dyDescent="0.25">
      <c r="C1691" s="2" t="s">
        <v>2257</v>
      </c>
      <c r="D1691" s="2" t="s">
        <v>178</v>
      </c>
      <c r="E1691" s="2">
        <v>100</v>
      </c>
      <c r="F1691" s="2">
        <v>2000.99</v>
      </c>
    </row>
    <row r="1692" spans="3:6" x14ac:dyDescent="0.25">
      <c r="C1692" s="2" t="s">
        <v>2258</v>
      </c>
      <c r="D1692" s="2" t="s">
        <v>178</v>
      </c>
      <c r="E1692" s="2">
        <v>141</v>
      </c>
      <c r="F1692" s="2">
        <v>2747.059</v>
      </c>
    </row>
    <row r="1693" spans="3:6" x14ac:dyDescent="0.25">
      <c r="C1693" s="2" t="s">
        <v>2259</v>
      </c>
      <c r="D1693" s="2" t="s">
        <v>178</v>
      </c>
      <c r="E1693" s="2">
        <v>140</v>
      </c>
      <c r="F1693" s="2">
        <v>2797.99</v>
      </c>
    </row>
    <row r="1694" spans="3:6" x14ac:dyDescent="0.25">
      <c r="C1694" s="2" t="s">
        <v>2260</v>
      </c>
      <c r="D1694" s="2" t="s">
        <v>178</v>
      </c>
      <c r="E1694" s="2">
        <v>141</v>
      </c>
      <c r="F1694" s="2">
        <v>2870.45</v>
      </c>
    </row>
    <row r="1695" spans="3:6" x14ac:dyDescent="0.25">
      <c r="C1695" s="2" t="s">
        <v>2261</v>
      </c>
      <c r="D1695" s="2" t="s">
        <v>178</v>
      </c>
      <c r="E1695" s="2">
        <v>141</v>
      </c>
      <c r="F1695" s="2">
        <v>2645.179</v>
      </c>
    </row>
    <row r="1696" spans="3:6" x14ac:dyDescent="0.25">
      <c r="C1696" s="2" t="s">
        <v>2262</v>
      </c>
      <c r="D1696" s="2" t="s">
        <v>178</v>
      </c>
      <c r="E1696" s="2">
        <v>141</v>
      </c>
      <c r="F1696" s="2">
        <v>2805.999</v>
      </c>
    </row>
    <row r="1697" spans="3:6" x14ac:dyDescent="0.25">
      <c r="C1697" s="2" t="s">
        <v>2263</v>
      </c>
      <c r="D1697" s="2" t="s">
        <v>178</v>
      </c>
      <c r="E1697" s="2">
        <v>42</v>
      </c>
      <c r="F1697" s="2">
        <v>865.88</v>
      </c>
    </row>
    <row r="1698" spans="3:6" x14ac:dyDescent="0.25">
      <c r="C1698" s="2" t="s">
        <v>2264</v>
      </c>
      <c r="D1698" s="2" t="s">
        <v>178</v>
      </c>
      <c r="E1698" s="2">
        <v>37</v>
      </c>
      <c r="F1698" s="2">
        <v>721.31</v>
      </c>
    </row>
    <row r="1699" spans="3:6" x14ac:dyDescent="0.25">
      <c r="C1699" s="2" t="s">
        <v>2265</v>
      </c>
      <c r="D1699" s="2" t="s">
        <v>178</v>
      </c>
      <c r="E1699" s="2">
        <v>45</v>
      </c>
      <c r="F1699" s="2">
        <v>204.89</v>
      </c>
    </row>
    <row r="1700" spans="3:6" x14ac:dyDescent="0.25">
      <c r="C1700" s="2" t="s">
        <v>2266</v>
      </c>
      <c r="D1700" s="2" t="s">
        <v>178</v>
      </c>
      <c r="E1700" s="2">
        <v>138</v>
      </c>
      <c r="F1700" s="2">
        <v>2228.799</v>
      </c>
    </row>
    <row r="1701" spans="3:6" x14ac:dyDescent="0.25">
      <c r="C1701" s="2" t="s">
        <v>2267</v>
      </c>
      <c r="D1701" s="2" t="s">
        <v>178</v>
      </c>
      <c r="E1701" s="2">
        <v>57</v>
      </c>
      <c r="F1701" s="2">
        <v>1085.15</v>
      </c>
    </row>
    <row r="1702" spans="3:6" x14ac:dyDescent="0.25">
      <c r="C1702" s="2" t="s">
        <v>2268</v>
      </c>
      <c r="D1702" s="2" t="s">
        <v>178</v>
      </c>
      <c r="E1702" s="2">
        <v>23</v>
      </c>
      <c r="F1702" s="2">
        <v>396.68</v>
      </c>
    </row>
    <row r="1703" spans="3:6" x14ac:dyDescent="0.25">
      <c r="C1703" s="2" t="s">
        <v>2269</v>
      </c>
      <c r="D1703" s="2" t="s">
        <v>178</v>
      </c>
      <c r="E1703" s="2">
        <v>58</v>
      </c>
      <c r="F1703" s="2">
        <v>949.66</v>
      </c>
    </row>
    <row r="1704" spans="3:6" x14ac:dyDescent="0.25">
      <c r="C1704" s="2" t="s">
        <v>2270</v>
      </c>
      <c r="D1704" s="2" t="s">
        <v>178</v>
      </c>
      <c r="E1704" s="2">
        <v>6</v>
      </c>
      <c r="F1704" s="2">
        <v>130.49</v>
      </c>
    </row>
    <row r="1705" spans="3:6" x14ac:dyDescent="0.25">
      <c r="C1705" s="2" t="s">
        <v>2271</v>
      </c>
      <c r="D1705" s="2" t="s">
        <v>178</v>
      </c>
      <c r="E1705" s="2">
        <v>141</v>
      </c>
      <c r="F1705" s="2">
        <v>2375.094</v>
      </c>
    </row>
    <row r="1706" spans="3:6" x14ac:dyDescent="0.25">
      <c r="C1706" s="2" t="s">
        <v>2272</v>
      </c>
      <c r="D1706" s="2" t="s">
        <v>178</v>
      </c>
      <c r="E1706" s="2">
        <v>141</v>
      </c>
      <c r="F1706" s="2">
        <v>2824.83</v>
      </c>
    </row>
    <row r="1707" spans="3:6" x14ac:dyDescent="0.25">
      <c r="C1707" s="2" t="s">
        <v>2273</v>
      </c>
      <c r="D1707" s="2" t="s">
        <v>178</v>
      </c>
      <c r="E1707" s="2">
        <v>54</v>
      </c>
      <c r="F1707" s="2">
        <v>1076.47</v>
      </c>
    </row>
    <row r="1708" spans="3:6" x14ac:dyDescent="0.25">
      <c r="C1708" s="2" t="s">
        <v>2274</v>
      </c>
      <c r="D1708" s="2" t="s">
        <v>178</v>
      </c>
      <c r="E1708" s="2">
        <v>48</v>
      </c>
      <c r="F1708" s="2">
        <v>955.18</v>
      </c>
    </row>
    <row r="1709" spans="3:6" x14ac:dyDescent="0.25">
      <c r="C1709" s="2" t="s">
        <v>2275</v>
      </c>
      <c r="D1709" s="2" t="s">
        <v>178</v>
      </c>
      <c r="E1709" s="2">
        <v>141</v>
      </c>
      <c r="F1709" s="2">
        <v>2806.18</v>
      </c>
    </row>
    <row r="1710" spans="3:6" x14ac:dyDescent="0.25">
      <c r="C1710" s="2" t="s">
        <v>2276</v>
      </c>
      <c r="D1710" s="2" t="s">
        <v>178</v>
      </c>
      <c r="E1710" s="2">
        <v>63</v>
      </c>
      <c r="F1710" s="2">
        <v>1098</v>
      </c>
    </row>
    <row r="1711" spans="3:6" x14ac:dyDescent="0.25">
      <c r="C1711" s="2" t="s">
        <v>2277</v>
      </c>
      <c r="D1711" s="2" t="s">
        <v>178</v>
      </c>
      <c r="E1711" s="2">
        <v>2</v>
      </c>
      <c r="F1711" s="2">
        <v>19.35</v>
      </c>
    </row>
    <row r="1712" spans="3:6" x14ac:dyDescent="0.25">
      <c r="C1712" s="2" t="s">
        <v>2278</v>
      </c>
      <c r="D1712" s="2" t="s">
        <v>178</v>
      </c>
      <c r="E1712" s="2">
        <v>15</v>
      </c>
      <c r="F1712" s="2">
        <v>120.9</v>
      </c>
    </row>
    <row r="1713" spans="3:6" x14ac:dyDescent="0.25">
      <c r="C1713" s="2" t="s">
        <v>2279</v>
      </c>
      <c r="D1713" s="2" t="s">
        <v>178</v>
      </c>
      <c r="E1713" s="2">
        <v>14</v>
      </c>
      <c r="F1713" s="2">
        <v>264.39</v>
      </c>
    </row>
    <row r="1714" spans="3:6" x14ac:dyDescent="0.25">
      <c r="C1714" s="2" t="s">
        <v>2280</v>
      </c>
      <c r="D1714" s="2" t="s">
        <v>178</v>
      </c>
      <c r="E1714" s="2">
        <v>50</v>
      </c>
      <c r="F1714" s="2">
        <v>888.08</v>
      </c>
    </row>
    <row r="1715" spans="3:6" x14ac:dyDescent="0.25">
      <c r="C1715" s="2" t="s">
        <v>2281</v>
      </c>
      <c r="D1715" s="2" t="s">
        <v>178</v>
      </c>
      <c r="E1715" s="2">
        <v>56</v>
      </c>
      <c r="F1715" s="2">
        <v>1131.81</v>
      </c>
    </row>
    <row r="1716" spans="3:6" x14ac:dyDescent="0.25">
      <c r="C1716" s="2" t="s">
        <v>2282</v>
      </c>
      <c r="D1716" s="2" t="s">
        <v>178</v>
      </c>
      <c r="E1716" s="2">
        <v>20</v>
      </c>
      <c r="F1716" s="2">
        <v>405.97</v>
      </c>
    </row>
    <row r="1717" spans="3:6" x14ac:dyDescent="0.25">
      <c r="C1717" s="2" t="s">
        <v>2283</v>
      </c>
      <c r="D1717" s="2" t="s">
        <v>178</v>
      </c>
      <c r="E1717" s="2">
        <v>19</v>
      </c>
      <c r="F1717" s="2">
        <v>390.62</v>
      </c>
    </row>
    <row r="1718" spans="3:6" x14ac:dyDescent="0.25">
      <c r="C1718" s="2" t="s">
        <v>2284</v>
      </c>
      <c r="D1718" s="2" t="s">
        <v>178</v>
      </c>
      <c r="E1718" s="2">
        <v>5</v>
      </c>
      <c r="F1718" s="2">
        <v>76.65</v>
      </c>
    </row>
    <row r="1719" spans="3:6" x14ac:dyDescent="0.25">
      <c r="C1719" s="2" t="s">
        <v>2285</v>
      </c>
      <c r="D1719" s="2" t="s">
        <v>178</v>
      </c>
      <c r="E1719" s="2">
        <v>73</v>
      </c>
      <c r="F1719" s="2">
        <v>1560.87</v>
      </c>
    </row>
    <row r="1720" spans="3:6" x14ac:dyDescent="0.25">
      <c r="C1720" s="2" t="s">
        <v>2286</v>
      </c>
      <c r="D1720" s="2" t="s">
        <v>178</v>
      </c>
      <c r="E1720" s="2">
        <v>29</v>
      </c>
      <c r="F1720" s="2">
        <v>595.7</v>
      </c>
    </row>
    <row r="1721" spans="3:6" x14ac:dyDescent="0.25">
      <c r="C1721" s="2" t="s">
        <v>2287</v>
      </c>
      <c r="D1721" s="2" t="s">
        <v>178</v>
      </c>
      <c r="E1721" s="2">
        <v>69</v>
      </c>
      <c r="F1721" s="2">
        <v>1365.13</v>
      </c>
    </row>
    <row r="1722" spans="3:6" x14ac:dyDescent="0.25">
      <c r="C1722" s="2" t="s">
        <v>2288</v>
      </c>
      <c r="D1722" s="2" t="s">
        <v>178</v>
      </c>
      <c r="E1722" s="2">
        <v>73</v>
      </c>
      <c r="F1722" s="2">
        <v>1474.05</v>
      </c>
    </row>
    <row r="1723" spans="3:6" x14ac:dyDescent="0.25">
      <c r="C1723" s="2" t="s">
        <v>2289</v>
      </c>
      <c r="D1723" s="2" t="s">
        <v>178</v>
      </c>
      <c r="E1723" s="2">
        <v>63</v>
      </c>
      <c r="F1723" s="2">
        <v>1303.57</v>
      </c>
    </row>
    <row r="1724" spans="3:6" x14ac:dyDescent="0.25">
      <c r="C1724" s="2" t="s">
        <v>2290</v>
      </c>
      <c r="D1724" s="2" t="s">
        <v>178</v>
      </c>
      <c r="E1724" s="2">
        <v>24</v>
      </c>
      <c r="F1724" s="2">
        <v>445.24</v>
      </c>
    </row>
    <row r="1725" spans="3:6" x14ac:dyDescent="0.25">
      <c r="C1725" s="2" t="s">
        <v>2291</v>
      </c>
      <c r="D1725" s="2" t="s">
        <v>178</v>
      </c>
      <c r="E1725" s="2">
        <v>54</v>
      </c>
      <c r="F1725" s="2">
        <v>1136.259</v>
      </c>
    </row>
    <row r="1726" spans="3:6" x14ac:dyDescent="0.25">
      <c r="C1726" s="2" t="s">
        <v>2292</v>
      </c>
      <c r="D1726" s="2" t="s">
        <v>178</v>
      </c>
      <c r="E1726" s="2">
        <v>59</v>
      </c>
      <c r="F1726" s="2">
        <v>262.269</v>
      </c>
    </row>
    <row r="1727" spans="3:6" x14ac:dyDescent="0.25">
      <c r="C1727" s="2" t="s">
        <v>2293</v>
      </c>
      <c r="D1727" s="2" t="s">
        <v>178</v>
      </c>
      <c r="E1727" s="2">
        <v>34</v>
      </c>
      <c r="F1727" s="2">
        <v>682.71</v>
      </c>
    </row>
    <row r="1728" spans="3:6" x14ac:dyDescent="0.25">
      <c r="C1728" s="2" t="s">
        <v>2294</v>
      </c>
      <c r="D1728" s="2" t="s">
        <v>178</v>
      </c>
      <c r="E1728" s="2">
        <v>91</v>
      </c>
      <c r="F1728" s="2">
        <v>1847.62</v>
      </c>
    </row>
    <row r="1729" spans="3:6" x14ac:dyDescent="0.25">
      <c r="C1729" s="2" t="s">
        <v>2295</v>
      </c>
      <c r="D1729" s="2" t="s">
        <v>178</v>
      </c>
      <c r="E1729" s="2">
        <v>16</v>
      </c>
      <c r="F1729" s="2">
        <v>294.61</v>
      </c>
    </row>
    <row r="1730" spans="3:6" x14ac:dyDescent="0.25">
      <c r="C1730" s="2" t="s">
        <v>2296</v>
      </c>
      <c r="D1730" s="2" t="s">
        <v>178</v>
      </c>
      <c r="E1730" s="2">
        <v>18</v>
      </c>
      <c r="F1730" s="2">
        <v>394.57</v>
      </c>
    </row>
    <row r="1731" spans="3:6" x14ac:dyDescent="0.25">
      <c r="C1731" s="2" t="s">
        <v>2297</v>
      </c>
      <c r="D1731" s="2" t="s">
        <v>178</v>
      </c>
      <c r="E1731" s="2">
        <v>35</v>
      </c>
      <c r="F1731" s="2">
        <v>721.6</v>
      </c>
    </row>
    <row r="1732" spans="3:6" x14ac:dyDescent="0.25">
      <c r="C1732" s="2" t="s">
        <v>2298</v>
      </c>
      <c r="D1732" s="2" t="s">
        <v>178</v>
      </c>
      <c r="E1732" s="2">
        <v>31</v>
      </c>
      <c r="F1732" s="2">
        <v>531.54</v>
      </c>
    </row>
    <row r="1733" spans="3:6" x14ac:dyDescent="0.25">
      <c r="C1733" s="2" t="s">
        <v>2299</v>
      </c>
      <c r="D1733" s="2" t="s">
        <v>178</v>
      </c>
      <c r="E1733" s="2">
        <v>57</v>
      </c>
      <c r="F1733" s="2">
        <v>1137.51</v>
      </c>
    </row>
    <row r="1735" spans="1:7" x14ac:dyDescent="0.25">
      <c r="A1735" s="1">
        <v>46220</v>
      </c>
      <c r="B1735" s="2" t="s">
        <v>2300</v>
      </c>
      <c r="C1735" s="2" t="s">
        <v>2301</v>
      </c>
      <c r="D1735" s="2" t="s">
        <v>15</v>
      </c>
      <c r="E1735" s="2">
        <v>102</v>
      </c>
      <c r="F1735" s="2">
        <v>1866.459</v>
      </c>
      <c r="G1735" s="1">
        <v>46220</v>
      </c>
    </row>
    <row r="1736" spans="3:6" x14ac:dyDescent="0.25">
      <c r="C1736" s="2" t="s">
        <v>2302</v>
      </c>
      <c r="D1736" s="2" t="s">
        <v>15</v>
      </c>
      <c r="E1736" s="2">
        <v>102</v>
      </c>
      <c r="F1736" s="2">
        <v>1992.048</v>
      </c>
    </row>
    <row r="1737" spans="3:6" x14ac:dyDescent="0.25">
      <c r="C1737" s="2" t="s">
        <v>2303</v>
      </c>
      <c r="D1737" s="2" t="s">
        <v>15</v>
      </c>
      <c r="E1737" s="2">
        <v>148</v>
      </c>
      <c r="F1737" s="2">
        <v>2982.289</v>
      </c>
    </row>
    <row r="1738" spans="3:6" x14ac:dyDescent="0.25">
      <c r="C1738" s="2" t="s">
        <v>2304</v>
      </c>
      <c r="D1738" s="2" t="s">
        <v>15</v>
      </c>
      <c r="E1738" s="2">
        <v>148</v>
      </c>
      <c r="F1738" s="2">
        <v>2790.588</v>
      </c>
    </row>
    <row r="1739" spans="3:6" x14ac:dyDescent="0.25">
      <c r="C1739" s="2" t="s">
        <v>2305</v>
      </c>
      <c r="D1739" s="2" t="s">
        <v>15</v>
      </c>
      <c r="E1739" s="2">
        <v>148</v>
      </c>
      <c r="F1739" s="2">
        <v>2954.679</v>
      </c>
    </row>
    <row r="1740" spans="3:6" x14ac:dyDescent="0.25">
      <c r="C1740" s="2" t="s">
        <v>2306</v>
      </c>
      <c r="D1740" s="2" t="s">
        <v>15</v>
      </c>
      <c r="E1740" s="2">
        <v>148</v>
      </c>
      <c r="F1740" s="2">
        <v>2947.35</v>
      </c>
    </row>
    <row r="1741" spans="3:6" x14ac:dyDescent="0.25">
      <c r="C1741" s="2" t="s">
        <v>2307</v>
      </c>
      <c r="D1741" s="2" t="s">
        <v>15</v>
      </c>
      <c r="E1741" s="2">
        <v>148</v>
      </c>
      <c r="F1741" s="2">
        <v>2902.36</v>
      </c>
    </row>
    <row r="1742" spans="3:6" x14ac:dyDescent="0.25">
      <c r="C1742" s="2" t="s">
        <v>2308</v>
      </c>
      <c r="D1742" s="2" t="s">
        <v>15</v>
      </c>
      <c r="E1742" s="2">
        <v>148</v>
      </c>
      <c r="F1742" s="2">
        <v>2959.767</v>
      </c>
    </row>
    <row r="1743" spans="3:6" x14ac:dyDescent="0.25">
      <c r="C1743" s="2" t="s">
        <v>2309</v>
      </c>
      <c r="D1743" s="2" t="s">
        <v>15</v>
      </c>
      <c r="E1743" s="2">
        <v>148</v>
      </c>
      <c r="F1743" s="2">
        <v>2811.36</v>
      </c>
    </row>
    <row r="1744" spans="3:6" x14ac:dyDescent="0.25">
      <c r="C1744" s="2" t="s">
        <v>2310</v>
      </c>
      <c r="D1744" s="2" t="s">
        <v>15</v>
      </c>
      <c r="E1744" s="2">
        <v>148</v>
      </c>
      <c r="F1744" s="2">
        <v>2769.7</v>
      </c>
    </row>
    <row r="1745" spans="3:6" x14ac:dyDescent="0.25">
      <c r="C1745" s="2" t="s">
        <v>2311</v>
      </c>
      <c r="D1745" s="2" t="s">
        <v>15</v>
      </c>
      <c r="E1745" s="2">
        <v>107</v>
      </c>
      <c r="F1745" s="2">
        <v>1724.747</v>
      </c>
    </row>
    <row r="1746" spans="3:6" x14ac:dyDescent="0.25">
      <c r="C1746" s="2" t="s">
        <v>2312</v>
      </c>
      <c r="D1746" s="2" t="s">
        <v>15</v>
      </c>
      <c r="E1746" s="2">
        <v>59</v>
      </c>
      <c r="F1746" s="2">
        <v>1364.13</v>
      </c>
    </row>
    <row r="1747" spans="3:6" x14ac:dyDescent="0.25">
      <c r="C1747" s="2" t="s">
        <v>2313</v>
      </c>
      <c r="D1747" s="2" t="s">
        <v>15</v>
      </c>
      <c r="E1747" s="2">
        <v>148</v>
      </c>
      <c r="F1747" s="2">
        <v>2936.28</v>
      </c>
    </row>
    <row r="1748" spans="3:6" x14ac:dyDescent="0.25">
      <c r="C1748" s="2" t="s">
        <v>2314</v>
      </c>
      <c r="D1748" s="2" t="s">
        <v>15</v>
      </c>
      <c r="E1748" s="2">
        <v>148</v>
      </c>
      <c r="F1748" s="2">
        <v>2753.65</v>
      </c>
    </row>
    <row r="1749" spans="3:6" x14ac:dyDescent="0.25">
      <c r="C1749" s="2" t="s">
        <v>2315</v>
      </c>
      <c r="D1749" s="2" t="s">
        <v>15</v>
      </c>
      <c r="E1749" s="2">
        <v>148</v>
      </c>
      <c r="F1749" s="2">
        <v>2738.149</v>
      </c>
    </row>
    <row r="1750" spans="3:6" x14ac:dyDescent="0.25">
      <c r="C1750" s="2" t="s">
        <v>2316</v>
      </c>
      <c r="D1750" s="2" t="s">
        <v>15</v>
      </c>
      <c r="E1750" s="2">
        <v>148</v>
      </c>
      <c r="F1750" s="2">
        <v>2887.629</v>
      </c>
    </row>
    <row r="1751" spans="3:6" x14ac:dyDescent="0.25">
      <c r="C1751" s="2" t="s">
        <v>2317</v>
      </c>
      <c r="D1751" s="2" t="s">
        <v>15</v>
      </c>
      <c r="E1751" s="2">
        <v>148</v>
      </c>
      <c r="F1751" s="2">
        <v>2696.04</v>
      </c>
    </row>
    <row r="1752" spans="3:6" x14ac:dyDescent="0.25">
      <c r="C1752" s="2" t="s">
        <v>2318</v>
      </c>
      <c r="D1752" s="2" t="s">
        <v>15</v>
      </c>
      <c r="E1752" s="2">
        <v>148</v>
      </c>
      <c r="F1752" s="2">
        <v>2897.929</v>
      </c>
    </row>
    <row r="1753" spans="3:6" x14ac:dyDescent="0.25">
      <c r="C1753" s="2" t="s">
        <v>2319</v>
      </c>
      <c r="D1753" s="2" t="s">
        <v>15</v>
      </c>
      <c r="E1753" s="2">
        <v>148</v>
      </c>
      <c r="F1753" s="2">
        <v>2882.33</v>
      </c>
    </row>
    <row r="1754" spans="3:6" x14ac:dyDescent="0.25">
      <c r="C1754" s="2" t="s">
        <v>2320</v>
      </c>
      <c r="D1754" s="2" t="s">
        <v>15</v>
      </c>
      <c r="E1754" s="2">
        <v>148</v>
      </c>
      <c r="F1754" s="2">
        <v>2719.618</v>
      </c>
    </row>
    <row r="1755" spans="3:6" x14ac:dyDescent="0.25">
      <c r="C1755" s="2" t="s">
        <v>2321</v>
      </c>
      <c r="D1755" s="2" t="s">
        <v>15</v>
      </c>
      <c r="E1755" s="2">
        <v>148</v>
      </c>
      <c r="F1755" s="2">
        <v>2869.12</v>
      </c>
    </row>
    <row r="1756" spans="3:6" x14ac:dyDescent="0.25">
      <c r="C1756" s="2" t="s">
        <v>2322</v>
      </c>
      <c r="D1756" s="2" t="s">
        <v>15</v>
      </c>
      <c r="E1756" s="2">
        <v>148</v>
      </c>
      <c r="F1756" s="2">
        <v>2906.81</v>
      </c>
    </row>
    <row r="1757" spans="3:6" x14ac:dyDescent="0.25">
      <c r="C1757" s="2" t="s">
        <v>2323</v>
      </c>
      <c r="D1757" s="2" t="s">
        <v>15</v>
      </c>
      <c r="E1757" s="2">
        <v>148</v>
      </c>
      <c r="F1757" s="2">
        <v>2907.79</v>
      </c>
    </row>
    <row r="1758" spans="3:6" x14ac:dyDescent="0.25">
      <c r="C1758" s="2" t="s">
        <v>2324</v>
      </c>
      <c r="D1758" s="2" t="s">
        <v>15</v>
      </c>
      <c r="E1758" s="2">
        <v>148</v>
      </c>
      <c r="F1758" s="2">
        <v>2883.77</v>
      </c>
    </row>
    <row r="1759" spans="3:6" x14ac:dyDescent="0.25">
      <c r="C1759" s="2" t="s">
        <v>2325</v>
      </c>
      <c r="D1759" s="2" t="s">
        <v>15</v>
      </c>
      <c r="E1759" s="2">
        <v>148</v>
      </c>
      <c r="F1759" s="2">
        <v>2755.287</v>
      </c>
    </row>
    <row r="1760" spans="3:6" x14ac:dyDescent="0.25">
      <c r="C1760" s="2" t="s">
        <v>2326</v>
      </c>
      <c r="D1760" s="2" t="s">
        <v>15</v>
      </c>
      <c r="E1760" s="2">
        <v>134</v>
      </c>
      <c r="F1760" s="2">
        <v>2542.85</v>
      </c>
    </row>
    <row r="1761" spans="3:6" x14ac:dyDescent="0.25">
      <c r="C1761" s="2" t="s">
        <v>2327</v>
      </c>
      <c r="D1761" s="2" t="s">
        <v>15</v>
      </c>
      <c r="E1761" s="2">
        <v>148</v>
      </c>
      <c r="F1761" s="2">
        <v>2865.889</v>
      </c>
    </row>
    <row r="1762" spans="3:6" x14ac:dyDescent="0.25">
      <c r="C1762" s="2" t="s">
        <v>2328</v>
      </c>
      <c r="D1762" s="2" t="s">
        <v>15</v>
      </c>
      <c r="E1762" s="2">
        <v>121</v>
      </c>
      <c r="F1762" s="2">
        <v>2489.289</v>
      </c>
    </row>
    <row r="1763" spans="3:6" x14ac:dyDescent="0.25">
      <c r="C1763" s="2" t="s">
        <v>2329</v>
      </c>
      <c r="D1763" s="2" t="s">
        <v>15</v>
      </c>
      <c r="E1763" s="2">
        <v>121</v>
      </c>
      <c r="F1763" s="2">
        <v>2431.53</v>
      </c>
    </row>
    <row r="1764" spans="3:6" x14ac:dyDescent="0.25">
      <c r="C1764" s="2" t="s">
        <v>2330</v>
      </c>
      <c r="D1764" s="2" t="s">
        <v>15</v>
      </c>
      <c r="E1764" s="2">
        <v>121</v>
      </c>
      <c r="F1764" s="2">
        <v>2420.049</v>
      </c>
    </row>
    <row r="1765" spans="3:6" x14ac:dyDescent="0.25">
      <c r="C1765" s="2" t="s">
        <v>2331</v>
      </c>
      <c r="D1765" s="2" t="s">
        <v>15</v>
      </c>
      <c r="E1765" s="2">
        <v>121</v>
      </c>
      <c r="F1765" s="2">
        <v>2368.349</v>
      </c>
    </row>
    <row r="1766" spans="3:6" x14ac:dyDescent="0.25">
      <c r="C1766" s="2" t="s">
        <v>2332</v>
      </c>
      <c r="D1766" s="2" t="s">
        <v>15</v>
      </c>
      <c r="E1766" s="2">
        <v>102</v>
      </c>
      <c r="F1766" s="2">
        <v>2167.66</v>
      </c>
    </row>
    <row r="1767" spans="3:6" x14ac:dyDescent="0.25">
      <c r="C1767" s="2" t="s">
        <v>2333</v>
      </c>
      <c r="D1767" s="2" t="s">
        <v>15</v>
      </c>
      <c r="E1767" s="2">
        <v>102</v>
      </c>
      <c r="F1767" s="2">
        <v>2020.09</v>
      </c>
    </row>
    <row r="1768" spans="3:6" x14ac:dyDescent="0.25">
      <c r="C1768" s="2" t="s">
        <v>2334</v>
      </c>
      <c r="D1768" s="2" t="s">
        <v>15</v>
      </c>
      <c r="E1768" s="2">
        <v>102</v>
      </c>
      <c r="F1768" s="2">
        <v>2056.83</v>
      </c>
    </row>
    <row r="1769" spans="3:6" x14ac:dyDescent="0.25">
      <c r="C1769" s="2" t="s">
        <v>2335</v>
      </c>
      <c r="D1769" s="2" t="s">
        <v>15</v>
      </c>
      <c r="E1769" s="2">
        <v>102</v>
      </c>
      <c r="F1769" s="2">
        <v>1930.459</v>
      </c>
    </row>
    <row r="1770" spans="3:6" x14ac:dyDescent="0.25">
      <c r="C1770" s="2" t="s">
        <v>2336</v>
      </c>
      <c r="D1770" s="2" t="s">
        <v>15</v>
      </c>
      <c r="E1770" s="2">
        <v>102</v>
      </c>
      <c r="F1770" s="2">
        <v>2037.519</v>
      </c>
    </row>
    <row r="1771" spans="3:6" x14ac:dyDescent="0.25">
      <c r="C1771" s="2" t="s">
        <v>2337</v>
      </c>
      <c r="D1771" s="2" t="s">
        <v>15</v>
      </c>
      <c r="E1771" s="2">
        <v>75</v>
      </c>
      <c r="F1771" s="2">
        <v>1572.45</v>
      </c>
    </row>
    <row r="1772" spans="3:6" x14ac:dyDescent="0.25">
      <c r="C1772" s="2" t="s">
        <v>2338</v>
      </c>
      <c r="D1772" s="2" t="s">
        <v>15</v>
      </c>
      <c r="E1772" s="2">
        <v>41</v>
      </c>
      <c r="F1772" s="2">
        <v>803.009</v>
      </c>
    </row>
    <row r="1774" spans="1:7" x14ac:dyDescent="0.25">
      <c r="A1774" s="1">
        <v>46220</v>
      </c>
      <c r="B1774" s="2" t="s">
        <v>989</v>
      </c>
      <c r="C1774" s="2" t="s">
        <v>2339</v>
      </c>
      <c r="D1774" s="2" t="s">
        <v>9</v>
      </c>
      <c r="E1774" s="2">
        <v>149</v>
      </c>
      <c r="F1774" s="2">
        <v>3015.849</v>
      </c>
      <c r="G1774" s="1">
        <v>46219</v>
      </c>
    </row>
    <row r="1775" spans="3:6" x14ac:dyDescent="0.25">
      <c r="C1775" s="2" t="s">
        <v>2340</v>
      </c>
      <c r="D1775" s="2" t="s">
        <v>9</v>
      </c>
      <c r="E1775" s="2">
        <v>147</v>
      </c>
      <c r="F1775" s="2">
        <v>3053.05</v>
      </c>
    </row>
    <row r="1776" spans="3:6" x14ac:dyDescent="0.25">
      <c r="C1776" s="2" t="s">
        <v>2341</v>
      </c>
      <c r="D1776" s="2" t="s">
        <v>9</v>
      </c>
      <c r="E1776" s="2">
        <v>80</v>
      </c>
      <c r="F1776" s="2">
        <v>1625.52</v>
      </c>
    </row>
    <row r="1778" spans="1:7" x14ac:dyDescent="0.25">
      <c r="A1778" s="1">
        <v>46220</v>
      </c>
      <c r="B1778" s="2" t="s">
        <v>7</v>
      </c>
      <c r="C1778" s="2" t="s">
        <v>2342</v>
      </c>
      <c r="D1778" s="2" t="s">
        <v>9</v>
      </c>
      <c r="E1778" s="2">
        <v>90</v>
      </c>
      <c r="F1778" s="2">
        <v>1854.9</v>
      </c>
      <c r="G1778" s="1">
        <v>46220</v>
      </c>
    </row>
    <row r="1779" spans="3:6" x14ac:dyDescent="0.25">
      <c r="C1779" s="2" t="s">
        <v>2343</v>
      </c>
      <c r="D1779" s="2" t="s">
        <v>9</v>
      </c>
      <c r="E1779" s="2">
        <v>87</v>
      </c>
      <c r="F1779" s="2">
        <v>1778.81</v>
      </c>
    </row>
    <row r="1781" spans="1:7" x14ac:dyDescent="0.25">
      <c r="A1781" s="1">
        <v>46220</v>
      </c>
      <c r="B1781" s="2" t="s">
        <v>57</v>
      </c>
      <c r="C1781" s="2" t="s">
        <v>2344</v>
      </c>
      <c r="D1781" s="2" t="s">
        <v>59</v>
      </c>
      <c r="E1781" s="2">
        <v>105</v>
      </c>
      <c r="F1781" s="2">
        <v>2091.538</v>
      </c>
      <c r="G1781" s="1">
        <v>46219</v>
      </c>
    </row>
    <row r="1782" spans="3:6" x14ac:dyDescent="0.25">
      <c r="C1782" s="2" t="s">
        <v>2345</v>
      </c>
      <c r="D1782" s="2" t="s">
        <v>59</v>
      </c>
      <c r="E1782" s="2">
        <v>105</v>
      </c>
      <c r="F1782" s="2">
        <v>2060.65</v>
      </c>
    </row>
    <row r="1783" spans="3:6" x14ac:dyDescent="0.25">
      <c r="C1783" s="2" t="s">
        <v>2346</v>
      </c>
      <c r="D1783" s="2" t="s">
        <v>59</v>
      </c>
      <c r="E1783" s="2">
        <v>163</v>
      </c>
      <c r="F1783" s="2">
        <v>3153.218</v>
      </c>
    </row>
    <row r="1784" spans="3:6" x14ac:dyDescent="0.25">
      <c r="C1784" s="2" t="s">
        <v>2347</v>
      </c>
      <c r="D1784" s="2" t="s">
        <v>59</v>
      </c>
      <c r="E1784" s="2">
        <v>263</v>
      </c>
      <c r="F1784" s="2">
        <v>5130.649</v>
      </c>
    </row>
    <row r="1785" spans="3:6" x14ac:dyDescent="0.25">
      <c r="C1785" s="2" t="s">
        <v>2348</v>
      </c>
      <c r="D1785" s="2" t="s">
        <v>59</v>
      </c>
      <c r="E1785" s="2">
        <v>323</v>
      </c>
      <c r="F1785" s="2">
        <v>6005.728</v>
      </c>
    </row>
    <row r="1786" spans="3:6" x14ac:dyDescent="0.25">
      <c r="C1786" s="2" t="s">
        <v>2349</v>
      </c>
      <c r="D1786" s="2" t="s">
        <v>59</v>
      </c>
      <c r="E1786" s="2">
        <v>105</v>
      </c>
      <c r="F1786" s="2">
        <v>2005.399</v>
      </c>
    </row>
    <row r="1787" spans="3:6" x14ac:dyDescent="0.25">
      <c r="C1787" s="2" t="s">
        <v>2350</v>
      </c>
      <c r="D1787" s="2" t="s">
        <v>59</v>
      </c>
      <c r="E1787" s="2">
        <v>268</v>
      </c>
      <c r="F1787" s="2">
        <v>5363.279</v>
      </c>
    </row>
    <row r="1788" spans="3:6" x14ac:dyDescent="0.25">
      <c r="C1788" s="2" t="s">
        <v>2351</v>
      </c>
      <c r="D1788" s="2" t="s">
        <v>59</v>
      </c>
      <c r="E1788" s="2">
        <v>149</v>
      </c>
      <c r="F1788" s="2">
        <v>3059.67</v>
      </c>
    </row>
    <row r="1790" spans="1:7" x14ac:dyDescent="0.25">
      <c r="A1790" s="1">
        <v>46220</v>
      </c>
      <c r="B1790" s="2" t="s">
        <v>347</v>
      </c>
      <c r="C1790" s="2" t="s">
        <v>2352</v>
      </c>
      <c r="D1790" s="2" t="s">
        <v>59</v>
      </c>
      <c r="E1790" s="2">
        <v>100</v>
      </c>
      <c r="F1790" s="2">
        <v>1984.33</v>
      </c>
      <c r="G1790" s="1">
        <v>46220</v>
      </c>
    </row>
    <row r="1791" spans="3:6" x14ac:dyDescent="0.25">
      <c r="C1791" s="2" t="s">
        <v>2353</v>
      </c>
      <c r="D1791" s="2" t="s">
        <v>59</v>
      </c>
      <c r="E1791" s="2">
        <v>135</v>
      </c>
      <c r="F1791" s="2">
        <v>2840.67</v>
      </c>
    </row>
    <row r="1792" spans="3:6" x14ac:dyDescent="0.25">
      <c r="C1792" s="2" t="s">
        <v>2354</v>
      </c>
      <c r="D1792" s="2" t="s">
        <v>59</v>
      </c>
      <c r="E1792" s="2">
        <v>102</v>
      </c>
      <c r="F1792" s="2">
        <v>1949.869</v>
      </c>
    </row>
    <row r="1793" spans="3:6" x14ac:dyDescent="0.25">
      <c r="C1793" s="2" t="s">
        <v>2355</v>
      </c>
      <c r="D1793" s="2" t="s">
        <v>59</v>
      </c>
      <c r="E1793" s="2">
        <v>142</v>
      </c>
      <c r="F1793" s="2">
        <v>2693.82</v>
      </c>
    </row>
    <row r="1794" spans="3:6" x14ac:dyDescent="0.25">
      <c r="C1794" s="2" t="s">
        <v>2356</v>
      </c>
      <c r="D1794" s="2" t="s">
        <v>59</v>
      </c>
      <c r="E1794" s="2">
        <v>142</v>
      </c>
      <c r="F1794" s="2">
        <v>2770.689</v>
      </c>
    </row>
    <row r="1796" spans="1:7" x14ac:dyDescent="0.25">
      <c r="A1796" s="1">
        <v>46221</v>
      </c>
      <c r="B1796" s="2" t="s">
        <v>1012</v>
      </c>
      <c r="C1796" s="2" t="s">
        <v>2357</v>
      </c>
      <c r="D1796" s="2" t="s">
        <v>73</v>
      </c>
      <c r="E1796" s="2">
        <v>99</v>
      </c>
      <c r="F1796" s="2">
        <v>1859.369</v>
      </c>
      <c r="G1796" s="1">
        <v>46224</v>
      </c>
    </row>
    <row r="1797" spans="3:6" x14ac:dyDescent="0.25">
      <c r="C1797" s="2" t="s">
        <v>2358</v>
      </c>
      <c r="D1797" s="2" t="s">
        <v>73</v>
      </c>
      <c r="E1797" s="2">
        <v>87</v>
      </c>
      <c r="F1797" s="2">
        <v>1811.22</v>
      </c>
    </row>
    <row r="1798" spans="3:6" x14ac:dyDescent="0.25">
      <c r="C1798" s="2" t="s">
        <v>2359</v>
      </c>
      <c r="D1798" s="2" t="s">
        <v>73</v>
      </c>
      <c r="E1798" s="2">
        <v>19</v>
      </c>
      <c r="F1798" s="2">
        <v>385.4</v>
      </c>
    </row>
    <row r="1799" spans="3:6" x14ac:dyDescent="0.25">
      <c r="C1799" s="2" t="s">
        <v>2360</v>
      </c>
      <c r="D1799" s="2" t="s">
        <v>73</v>
      </c>
      <c r="E1799" s="2">
        <v>16</v>
      </c>
      <c r="F1799" s="2">
        <v>317.38</v>
      </c>
    </row>
    <row r="1800" spans="3:6" x14ac:dyDescent="0.25">
      <c r="C1800" s="2" t="s">
        <v>2361</v>
      </c>
      <c r="D1800" s="2" t="s">
        <v>73</v>
      </c>
      <c r="E1800" s="2">
        <v>48</v>
      </c>
      <c r="F1800" s="2">
        <v>887.028</v>
      </c>
    </row>
    <row r="1801" spans="3:5" x14ac:dyDescent="0.25">
      <c r="C1801" s="2" t="s">
        <v>2362</v>
      </c>
      <c r="D1801" s="2" t="s">
        <v>73</v>
      </c>
      <c r="E1801" s="2">
        <v>15</v>
      </c>
    </row>
    <row r="1802" spans="3:6" x14ac:dyDescent="0.25">
      <c r="C1802" s="2" t="s">
        <v>2363</v>
      </c>
      <c r="D1802" s="2" t="s">
        <v>73</v>
      </c>
      <c r="E1802" s="2">
        <v>12</v>
      </c>
      <c r="F1802" s="2">
        <v>219.009</v>
      </c>
    </row>
    <row r="1803" spans="3:6" x14ac:dyDescent="0.25">
      <c r="C1803" s="2" t="s">
        <v>2364</v>
      </c>
      <c r="D1803" s="2" t="s">
        <v>73</v>
      </c>
      <c r="E1803" s="2">
        <v>19</v>
      </c>
      <c r="F1803" s="2">
        <v>339</v>
      </c>
    </row>
    <row r="1804" spans="3:6" x14ac:dyDescent="0.25">
      <c r="C1804" s="2" t="s">
        <v>2365</v>
      </c>
      <c r="D1804" s="2" t="s">
        <v>73</v>
      </c>
      <c r="E1804" s="2">
        <v>57</v>
      </c>
      <c r="F1804" s="2">
        <v>1155.34</v>
      </c>
    </row>
    <row r="1806" spans="1:7" x14ac:dyDescent="0.25">
      <c r="A1806" s="1">
        <v>46221</v>
      </c>
      <c r="B1806" s="2" t="s">
        <v>7</v>
      </c>
      <c r="C1806" s="2" t="s">
        <v>2366</v>
      </c>
      <c r="D1806" s="2" t="s">
        <v>9</v>
      </c>
      <c r="E1806" s="2">
        <v>90</v>
      </c>
      <c r="F1806" s="2">
        <v>1821.11</v>
      </c>
      <c r="G1806" s="1">
        <v>46224</v>
      </c>
    </row>
    <row r="1807" spans="3:6" x14ac:dyDescent="0.25">
      <c r="C1807" s="2" t="s">
        <v>2367</v>
      </c>
      <c r="D1807" s="2" t="s">
        <v>9</v>
      </c>
      <c r="E1807" s="2">
        <v>90</v>
      </c>
      <c r="F1807" s="2">
        <v>1923.51</v>
      </c>
    </row>
    <row r="1809" spans="1:7" x14ac:dyDescent="0.25">
      <c r="A1809" s="1">
        <v>46221</v>
      </c>
      <c r="B1809" s="2" t="s">
        <v>2368</v>
      </c>
      <c r="C1809" s="2" t="s">
        <v>2369</v>
      </c>
      <c r="D1809" s="2" t="s">
        <v>292</v>
      </c>
      <c r="E1809" s="2">
        <v>105</v>
      </c>
      <c r="F1809" s="2">
        <v>1980.848</v>
      </c>
      <c r="G1809" s="1">
        <v>46224</v>
      </c>
    </row>
    <row r="1810" spans="3:6" x14ac:dyDescent="0.25">
      <c r="C1810" s="2" t="s">
        <v>2370</v>
      </c>
      <c r="D1810" s="2" t="s">
        <v>292</v>
      </c>
      <c r="E1810" s="2">
        <v>103</v>
      </c>
      <c r="F1810" s="2">
        <v>2031.84</v>
      </c>
    </row>
    <row r="1811" spans="3:6" x14ac:dyDescent="0.25">
      <c r="C1811" s="2" t="s">
        <v>2371</v>
      </c>
      <c r="D1811" s="2" t="s">
        <v>292</v>
      </c>
      <c r="E1811" s="2">
        <v>50</v>
      </c>
      <c r="F1811" s="2">
        <v>977.15</v>
      </c>
    </row>
    <row r="1813" spans="1:7" x14ac:dyDescent="0.25">
      <c r="A1813" s="1">
        <v>46221</v>
      </c>
      <c r="B1813" s="2" t="s">
        <v>12</v>
      </c>
      <c r="C1813" s="2" t="s">
        <v>2098</v>
      </c>
      <c r="D1813" s="2" t="s">
        <v>15</v>
      </c>
      <c r="E1813" s="2">
        <v>163</v>
      </c>
      <c r="F1813" s="2">
        <v>3239.72</v>
      </c>
      <c r="G1813" s="1">
        <v>46224</v>
      </c>
    </row>
    <row r="1814" spans="3:6" x14ac:dyDescent="0.25">
      <c r="C1814" s="2" t="s">
        <v>2092</v>
      </c>
      <c r="D1814" s="2" t="s">
        <v>15</v>
      </c>
      <c r="E1814" s="2">
        <v>105</v>
      </c>
      <c r="F1814" s="2">
        <v>2135.28</v>
      </c>
    </row>
    <row r="1815" spans="3:6" x14ac:dyDescent="0.25">
      <c r="C1815" s="2" t="s">
        <v>2372</v>
      </c>
      <c r="D1815" s="2" t="s">
        <v>15</v>
      </c>
      <c r="E1815" s="2">
        <v>117</v>
      </c>
      <c r="F1815" s="2">
        <v>544.165</v>
      </c>
    </row>
    <row r="1816" spans="3:6" x14ac:dyDescent="0.25">
      <c r="C1816" s="2" t="s">
        <v>2373</v>
      </c>
      <c r="D1816" s="2" t="s">
        <v>15</v>
      </c>
      <c r="E1816" s="2">
        <v>163</v>
      </c>
      <c r="F1816" s="2">
        <v>3015.299</v>
      </c>
    </row>
    <row r="1817" spans="3:6" x14ac:dyDescent="0.25">
      <c r="C1817" s="2" t="s">
        <v>2374</v>
      </c>
      <c r="D1817" s="2" t="s">
        <v>15</v>
      </c>
      <c r="E1817" s="2">
        <v>163</v>
      </c>
      <c r="F1817" s="2">
        <v>3187.23</v>
      </c>
    </row>
    <row r="1818" spans="3:4" x14ac:dyDescent="0.25">
      <c r="C1818" s="2" t="s">
        <v>2375</v>
      </c>
      <c r="D1818" s="2" t="s">
        <v>15</v>
      </c>
    </row>
    <row r="1819" spans="3:6" x14ac:dyDescent="0.25">
      <c r="C1819" s="2" t="s">
        <v>2376</v>
      </c>
      <c r="D1819" s="2" t="s">
        <v>15</v>
      </c>
      <c r="E1819" s="2">
        <v>111</v>
      </c>
      <c r="F1819" s="2">
        <v>2161.22</v>
      </c>
    </row>
    <row r="1820" spans="3:6" x14ac:dyDescent="0.25">
      <c r="C1820" s="2" t="s">
        <v>2377</v>
      </c>
      <c r="D1820" s="2" t="s">
        <v>15</v>
      </c>
      <c r="E1820" s="2">
        <v>163</v>
      </c>
      <c r="F1820" s="2">
        <v>3056.168</v>
      </c>
    </row>
    <row r="1821" spans="3:6" x14ac:dyDescent="0.25">
      <c r="C1821" s="2" t="s">
        <v>2378</v>
      </c>
      <c r="D1821" s="2" t="s">
        <v>15</v>
      </c>
      <c r="E1821" s="2">
        <v>105</v>
      </c>
      <c r="F1821" s="2">
        <v>2157.98</v>
      </c>
    </row>
    <row r="1822" spans="3:6" x14ac:dyDescent="0.25">
      <c r="C1822" s="2" t="s">
        <v>2379</v>
      </c>
      <c r="D1822" s="2" t="s">
        <v>15</v>
      </c>
      <c r="E1822" s="2">
        <v>105</v>
      </c>
      <c r="F1822" s="2">
        <v>2092.85</v>
      </c>
    </row>
    <row r="1823" spans="3:6" x14ac:dyDescent="0.25">
      <c r="C1823" s="2" t="s">
        <v>2380</v>
      </c>
      <c r="D1823" s="2" t="s">
        <v>26</v>
      </c>
      <c r="E1823" s="2">
        <v>100</v>
      </c>
      <c r="F1823" s="2">
        <v>1972.09</v>
      </c>
    </row>
    <row r="1824" spans="3:6" x14ac:dyDescent="0.25">
      <c r="C1824" s="2" t="s">
        <v>2381</v>
      </c>
      <c r="D1824" s="2" t="s">
        <v>26</v>
      </c>
      <c r="E1824" s="2">
        <v>56</v>
      </c>
      <c r="F1824" s="2">
        <v>1109.02</v>
      </c>
    </row>
    <row r="1825" spans="3:6" x14ac:dyDescent="0.25">
      <c r="C1825" s="2" t="s">
        <v>2382</v>
      </c>
      <c r="D1825" s="2" t="s">
        <v>26</v>
      </c>
      <c r="E1825" s="2">
        <v>100</v>
      </c>
      <c r="F1825" s="2">
        <v>2054.06</v>
      </c>
    </row>
    <row r="1826" spans="3:6" x14ac:dyDescent="0.25">
      <c r="C1826" s="2" t="s">
        <v>2383</v>
      </c>
      <c r="D1826" s="2" t="s">
        <v>26</v>
      </c>
      <c r="E1826" s="2">
        <v>56</v>
      </c>
      <c r="F1826" s="2">
        <v>1159.49</v>
      </c>
    </row>
    <row r="1827" spans="3:6" x14ac:dyDescent="0.25">
      <c r="C1827" s="2" t="s">
        <v>2384</v>
      </c>
      <c r="D1827" s="2" t="s">
        <v>26</v>
      </c>
      <c r="E1827" s="2">
        <v>100</v>
      </c>
      <c r="F1827" s="2">
        <v>2043.84</v>
      </c>
    </row>
    <row r="1828" spans="3:6" x14ac:dyDescent="0.25">
      <c r="C1828" s="2" t="s">
        <v>2385</v>
      </c>
      <c r="D1828" s="2" t="s">
        <v>26</v>
      </c>
      <c r="E1828" s="2">
        <v>56</v>
      </c>
      <c r="F1828" s="2">
        <v>1134.39</v>
      </c>
    </row>
    <row r="1829" spans="3:6" x14ac:dyDescent="0.25">
      <c r="C1829" s="2" t="s">
        <v>2386</v>
      </c>
      <c r="D1829" s="2" t="s">
        <v>26</v>
      </c>
      <c r="E1829" s="2">
        <v>100</v>
      </c>
      <c r="F1829" s="2">
        <v>1967.65</v>
      </c>
    </row>
    <row r="1830" spans="3:6" x14ac:dyDescent="0.25">
      <c r="C1830" s="2" t="s">
        <v>2387</v>
      </c>
      <c r="D1830" s="2" t="s">
        <v>26</v>
      </c>
      <c r="E1830" s="2">
        <v>56</v>
      </c>
      <c r="F1830" s="2">
        <v>1113.19</v>
      </c>
    </row>
    <row r="1831" spans="3:6" x14ac:dyDescent="0.25">
      <c r="C1831" s="2" t="s">
        <v>2388</v>
      </c>
      <c r="D1831" s="2" t="s">
        <v>30</v>
      </c>
      <c r="E1831" s="2">
        <v>95</v>
      </c>
      <c r="F1831" s="2">
        <v>1973.33</v>
      </c>
    </row>
    <row r="1832" spans="3:6" x14ac:dyDescent="0.25">
      <c r="C1832" s="2" t="s">
        <v>2389</v>
      </c>
      <c r="D1832" s="2" t="s">
        <v>30</v>
      </c>
      <c r="E1832" s="2">
        <v>156</v>
      </c>
      <c r="F1832" s="2">
        <v>3079.22</v>
      </c>
    </row>
    <row r="1833" spans="3:6" x14ac:dyDescent="0.25">
      <c r="C1833" s="2" t="s">
        <v>2390</v>
      </c>
      <c r="D1833" s="2" t="s">
        <v>30</v>
      </c>
      <c r="E1833" s="2">
        <v>134</v>
      </c>
      <c r="F1833" s="2">
        <v>2681.34</v>
      </c>
    </row>
    <row r="1834" spans="3:6" x14ac:dyDescent="0.25">
      <c r="C1834" s="2" t="s">
        <v>2391</v>
      </c>
      <c r="D1834" s="2" t="s">
        <v>30</v>
      </c>
      <c r="E1834" s="2">
        <v>134</v>
      </c>
      <c r="F1834" s="2">
        <v>2754.619</v>
      </c>
    </row>
    <row r="1835" spans="3:6" x14ac:dyDescent="0.25">
      <c r="C1835" s="2" t="s">
        <v>2392</v>
      </c>
      <c r="D1835" s="2" t="s">
        <v>30</v>
      </c>
      <c r="E1835" s="2">
        <v>134</v>
      </c>
      <c r="F1835" s="2">
        <v>2591.77</v>
      </c>
    </row>
    <row r="1836" spans="3:6" x14ac:dyDescent="0.25">
      <c r="C1836" s="2" t="s">
        <v>2393</v>
      </c>
      <c r="D1836" s="2" t="s">
        <v>30</v>
      </c>
      <c r="E1836" s="2">
        <v>134</v>
      </c>
      <c r="F1836" s="2">
        <v>2707.44</v>
      </c>
    </row>
    <row r="1837" spans="3:6" x14ac:dyDescent="0.25">
      <c r="C1837" s="2" t="s">
        <v>2394</v>
      </c>
      <c r="D1837" s="2" t="s">
        <v>30</v>
      </c>
      <c r="E1837" s="2">
        <v>134</v>
      </c>
      <c r="F1837" s="2">
        <v>2717.728</v>
      </c>
    </row>
    <row r="1838" spans="3:6" x14ac:dyDescent="0.25">
      <c r="C1838" s="2" t="s">
        <v>2395</v>
      </c>
      <c r="D1838" s="2" t="s">
        <v>30</v>
      </c>
      <c r="E1838" s="2">
        <v>134</v>
      </c>
      <c r="F1838" s="2">
        <v>2708.709</v>
      </c>
    </row>
    <row r="1839" spans="3:6" x14ac:dyDescent="0.25">
      <c r="C1839" s="2" t="s">
        <v>2396</v>
      </c>
      <c r="D1839" s="2" t="s">
        <v>30</v>
      </c>
      <c r="E1839" s="2">
        <v>42</v>
      </c>
      <c r="F1839" s="2">
        <v>794.64</v>
      </c>
    </row>
    <row r="1840" spans="3:6" x14ac:dyDescent="0.25">
      <c r="C1840" s="2" t="s">
        <v>2397</v>
      </c>
      <c r="D1840" s="2" t="s">
        <v>36</v>
      </c>
      <c r="E1840" s="2">
        <v>60</v>
      </c>
      <c r="F1840" s="2">
        <v>1116.95</v>
      </c>
    </row>
    <row r="1841" spans="3:6" x14ac:dyDescent="0.25">
      <c r="C1841" s="2" t="s">
        <v>2398</v>
      </c>
      <c r="D1841" s="2" t="s">
        <v>36</v>
      </c>
      <c r="E1841" s="2">
        <v>45</v>
      </c>
      <c r="F1841" s="2">
        <v>823.879</v>
      </c>
    </row>
    <row r="1842" spans="3:6" x14ac:dyDescent="0.25">
      <c r="C1842" s="2" t="s">
        <v>2399</v>
      </c>
      <c r="D1842" s="2" t="s">
        <v>36</v>
      </c>
      <c r="E1842" s="2">
        <v>60</v>
      </c>
      <c r="F1842" s="2">
        <v>1039.509</v>
      </c>
    </row>
    <row r="1843" spans="3:6" x14ac:dyDescent="0.25">
      <c r="C1843" s="2" t="s">
        <v>2400</v>
      </c>
      <c r="D1843" s="2" t="s">
        <v>36</v>
      </c>
      <c r="E1843" s="2">
        <v>45</v>
      </c>
      <c r="F1843" s="2">
        <v>873.02</v>
      </c>
    </row>
    <row r="1844" spans="3:6" x14ac:dyDescent="0.25">
      <c r="C1844" s="2" t="s">
        <v>2401</v>
      </c>
      <c r="D1844" s="2" t="s">
        <v>36</v>
      </c>
      <c r="E1844" s="2">
        <v>80</v>
      </c>
      <c r="F1844" s="2">
        <v>1547.84</v>
      </c>
    </row>
    <row r="1845" spans="3:4" x14ac:dyDescent="0.25">
      <c r="C1845" s="2" t="s">
        <v>2402</v>
      </c>
      <c r="D1845" s="2" t="s">
        <v>36</v>
      </c>
    </row>
    <row r="1846" spans="3:6" x14ac:dyDescent="0.25">
      <c r="C1846" s="2" t="s">
        <v>2403</v>
      </c>
      <c r="D1846" s="2" t="s">
        <v>36</v>
      </c>
      <c r="E1846" s="2">
        <v>20</v>
      </c>
      <c r="F1846" s="2">
        <v>414.07</v>
      </c>
    </row>
    <row r="1847" spans="3:6" x14ac:dyDescent="0.25">
      <c r="C1847" s="2" t="s">
        <v>2404</v>
      </c>
      <c r="D1847" s="2" t="s">
        <v>36</v>
      </c>
      <c r="E1847" s="2">
        <v>80</v>
      </c>
      <c r="F1847" s="2">
        <v>1607.739</v>
      </c>
    </row>
    <row r="1848" spans="3:6" x14ac:dyDescent="0.25">
      <c r="C1848" s="2" t="s">
        <v>2405</v>
      </c>
      <c r="D1848" s="2" t="s">
        <v>36</v>
      </c>
      <c r="E1848" s="2">
        <v>25</v>
      </c>
      <c r="F1848" s="2">
        <v>506.04</v>
      </c>
    </row>
    <row r="1849" spans="3:6" x14ac:dyDescent="0.25">
      <c r="C1849" s="2" t="s">
        <v>2406</v>
      </c>
      <c r="D1849" s="2" t="s">
        <v>42</v>
      </c>
      <c r="E1849" s="2">
        <v>65</v>
      </c>
      <c r="F1849" s="2">
        <v>1208.54</v>
      </c>
    </row>
    <row r="1850" spans="3:6" x14ac:dyDescent="0.25">
      <c r="C1850" s="2" t="s">
        <v>2407</v>
      </c>
      <c r="D1850" s="2" t="s">
        <v>42</v>
      </c>
      <c r="E1850" s="2">
        <v>91</v>
      </c>
      <c r="F1850" s="2">
        <v>1788.31</v>
      </c>
    </row>
    <row r="1851" spans="3:6" x14ac:dyDescent="0.25">
      <c r="C1851" s="2" t="s">
        <v>2408</v>
      </c>
      <c r="D1851" s="2" t="s">
        <v>42</v>
      </c>
      <c r="E1851" s="2">
        <v>100</v>
      </c>
      <c r="F1851" s="2">
        <v>1852.36</v>
      </c>
    </row>
    <row r="1852" spans="3:6" x14ac:dyDescent="0.25">
      <c r="C1852" s="2" t="s">
        <v>2409</v>
      </c>
      <c r="D1852" s="2" t="s">
        <v>42</v>
      </c>
      <c r="E1852" s="2">
        <v>56</v>
      </c>
      <c r="F1852" s="2">
        <v>1079.56</v>
      </c>
    </row>
    <row r="1853" spans="3:6" x14ac:dyDescent="0.25">
      <c r="C1853" s="2" t="s">
        <v>2410</v>
      </c>
      <c r="D1853" s="2" t="s">
        <v>15</v>
      </c>
      <c r="E1853" s="2">
        <v>163</v>
      </c>
      <c r="F1853" s="2">
        <v>3275.5</v>
      </c>
    </row>
    <row r="1855" spans="2:7" x14ac:dyDescent="0.25">
      <c r="B1855" s="2" t="s">
        <v>48</v>
      </c>
      <c r="C1855" s="2" t="s">
        <v>2411</v>
      </c>
      <c r="D1855" s="2" t="s">
        <v>30</v>
      </c>
      <c r="E1855" s="2">
        <v>12</v>
      </c>
      <c r="F1855" s="2">
        <v>138.63</v>
      </c>
      <c r="G1855" s="1">
        <v>46224</v>
      </c>
    </row>
    <row r="1856" spans="3:6" x14ac:dyDescent="0.25">
      <c r="C1856" s="2" t="s">
        <v>2412</v>
      </c>
      <c r="D1856" s="2" t="s">
        <v>30</v>
      </c>
      <c r="E1856" s="2">
        <v>136</v>
      </c>
      <c r="F1856" s="2">
        <v>2410.278</v>
      </c>
    </row>
    <row r="1857" spans="3:6" x14ac:dyDescent="0.25">
      <c r="C1857" s="2" t="s">
        <v>2413</v>
      </c>
      <c r="D1857" s="2" t="s">
        <v>53</v>
      </c>
      <c r="E1857" s="2">
        <v>71</v>
      </c>
      <c r="F1857" s="2">
        <v>1350.2</v>
      </c>
    </row>
    <row r="1858" spans="3:6" x14ac:dyDescent="0.25">
      <c r="C1858" s="2" t="s">
        <v>2414</v>
      </c>
      <c r="D1858" s="2" t="s">
        <v>53</v>
      </c>
      <c r="E1858" s="2">
        <v>35</v>
      </c>
      <c r="F1858" s="2">
        <v>512.49</v>
      </c>
    </row>
    <row r="1859" spans="3:6" x14ac:dyDescent="0.25">
      <c r="C1859" s="2" t="s">
        <v>2415</v>
      </c>
      <c r="D1859" s="2" t="s">
        <v>53</v>
      </c>
      <c r="E1859" s="2">
        <v>105</v>
      </c>
      <c r="F1859" s="2">
        <v>1933.04</v>
      </c>
    </row>
    <row r="1860" spans="3:6" x14ac:dyDescent="0.25">
      <c r="C1860" s="2" t="s">
        <v>2416</v>
      </c>
      <c r="D1860" s="2" t="s">
        <v>30</v>
      </c>
      <c r="E1860" s="2">
        <v>156</v>
      </c>
      <c r="F1860" s="2">
        <v>2661.58</v>
      </c>
    </row>
    <row r="1861" spans="3:6" x14ac:dyDescent="0.25">
      <c r="C1861" s="2" t="s">
        <v>2417</v>
      </c>
      <c r="D1861" s="2" t="s">
        <v>30</v>
      </c>
      <c r="E1861" s="2">
        <v>156</v>
      </c>
      <c r="F1861" s="2">
        <v>2705.33</v>
      </c>
    </row>
    <row r="1863" spans="1:7" x14ac:dyDescent="0.25">
      <c r="A1863" s="1">
        <v>46221</v>
      </c>
      <c r="B1863" s="2" t="s">
        <v>57</v>
      </c>
      <c r="C1863" s="2" t="s">
        <v>2418</v>
      </c>
      <c r="D1863" s="2" t="s">
        <v>59</v>
      </c>
      <c r="E1863" s="2">
        <v>156</v>
      </c>
      <c r="F1863" s="2">
        <v>3054.41</v>
      </c>
      <c r="G1863" s="1">
        <v>46224</v>
      </c>
    </row>
    <row r="1864" spans="3:6" x14ac:dyDescent="0.25">
      <c r="C1864" s="2" t="s">
        <v>2419</v>
      </c>
      <c r="D1864" s="2" t="s">
        <v>59</v>
      </c>
      <c r="E1864" s="2">
        <v>105</v>
      </c>
      <c r="F1864" s="2">
        <v>2000.06</v>
      </c>
    </row>
    <row r="1865" spans="3:6" x14ac:dyDescent="0.25">
      <c r="C1865" s="2" t="s">
        <v>2420</v>
      </c>
      <c r="D1865" s="2" t="s">
        <v>59</v>
      </c>
      <c r="E1865" s="2">
        <v>152</v>
      </c>
      <c r="F1865" s="2">
        <v>2970.339</v>
      </c>
    </row>
    <row r="1866" spans="3:6" x14ac:dyDescent="0.25">
      <c r="C1866" s="2" t="s">
        <v>2421</v>
      </c>
      <c r="D1866" s="2" t="s">
        <v>59</v>
      </c>
      <c r="E1866" s="2">
        <v>156</v>
      </c>
      <c r="F1866" s="2">
        <v>3004.08</v>
      </c>
    </row>
    <row r="1867" spans="3:6" x14ac:dyDescent="0.25">
      <c r="C1867" s="2" t="s">
        <v>2422</v>
      </c>
      <c r="D1867" s="2" t="s">
        <v>59</v>
      </c>
      <c r="E1867" s="2">
        <v>210</v>
      </c>
      <c r="F1867" s="2">
        <v>4125.488</v>
      </c>
    </row>
    <row r="1868" spans="3:6" x14ac:dyDescent="0.25">
      <c r="C1868" s="2" t="s">
        <v>2423</v>
      </c>
      <c r="D1868" s="2" t="s">
        <v>59</v>
      </c>
      <c r="E1868" s="2">
        <v>156</v>
      </c>
      <c r="F1868" s="2">
        <v>3071.74</v>
      </c>
    </row>
    <row r="1869" spans="3:6" x14ac:dyDescent="0.25">
      <c r="C1869" s="2" t="s">
        <v>2424</v>
      </c>
      <c r="D1869" s="2" t="s">
        <v>59</v>
      </c>
      <c r="E1869" s="2">
        <v>155</v>
      </c>
      <c r="F1869" s="2">
        <v>3047.67</v>
      </c>
    </row>
    <row r="1870" spans="3:6" x14ac:dyDescent="0.25">
      <c r="C1870" s="2" t="s">
        <v>2425</v>
      </c>
      <c r="D1870" s="2" t="s">
        <v>59</v>
      </c>
      <c r="E1870" s="2">
        <v>154</v>
      </c>
      <c r="F1870" s="2">
        <v>3250.48</v>
      </c>
    </row>
    <row r="1871" spans="3:6" x14ac:dyDescent="0.25">
      <c r="C1871" s="2" t="s">
        <v>2426</v>
      </c>
      <c r="D1871" s="2" t="s">
        <v>59</v>
      </c>
      <c r="E1871" s="2">
        <v>70</v>
      </c>
      <c r="F1871" s="2">
        <v>1386.49</v>
      </c>
    </row>
    <row r="1872" spans="3:6" x14ac:dyDescent="0.25">
      <c r="C1872" s="2" t="s">
        <v>2427</v>
      </c>
      <c r="D1872" s="2" t="s">
        <v>59</v>
      </c>
      <c r="E1872" s="2">
        <v>86</v>
      </c>
      <c r="F1872" s="2">
        <v>1471.789</v>
      </c>
    </row>
    <row r="1874" spans="1:7" x14ac:dyDescent="0.25">
      <c r="A1874" s="1">
        <v>46221</v>
      </c>
      <c r="B1874" s="2" t="s">
        <v>2428</v>
      </c>
      <c r="C1874" s="2" t="s">
        <v>2429</v>
      </c>
      <c r="D1874" s="2" t="s">
        <v>59</v>
      </c>
      <c r="E1874" s="2">
        <v>156</v>
      </c>
      <c r="F1874" s="2">
        <v>3097.409</v>
      </c>
      <c r="G1874" s="1">
        <v>46224</v>
      </c>
    </row>
    <row r="1875" spans="3:6" x14ac:dyDescent="0.25">
      <c r="C1875" s="2" t="s">
        <v>2430</v>
      </c>
      <c r="D1875" s="2" t="s">
        <v>59</v>
      </c>
      <c r="E1875" s="2">
        <v>156</v>
      </c>
      <c r="F1875" s="2">
        <v>3093.05</v>
      </c>
    </row>
    <row r="1876" spans="3:6" x14ac:dyDescent="0.25">
      <c r="C1876" s="2" t="s">
        <v>2431</v>
      </c>
      <c r="D1876" s="2" t="s">
        <v>59</v>
      </c>
      <c r="E1876" s="2">
        <v>156</v>
      </c>
      <c r="F1876" s="2">
        <v>3047.26</v>
      </c>
    </row>
    <row r="1877" spans="3:6" x14ac:dyDescent="0.25">
      <c r="C1877" s="2" t="s">
        <v>2432</v>
      </c>
      <c r="D1877" s="2" t="s">
        <v>59</v>
      </c>
      <c r="E1877" s="2">
        <v>105</v>
      </c>
      <c r="F1877" s="2">
        <v>1987.258</v>
      </c>
    </row>
    <row r="1878" spans="3:6" x14ac:dyDescent="0.25">
      <c r="C1878" s="2" t="s">
        <v>2433</v>
      </c>
      <c r="D1878" s="2" t="s">
        <v>59</v>
      </c>
      <c r="E1878" s="2">
        <v>312</v>
      </c>
      <c r="F1878" s="2">
        <v>6062.227</v>
      </c>
    </row>
    <row r="1879" spans="3:6" x14ac:dyDescent="0.25">
      <c r="C1879" s="2" t="s">
        <v>2434</v>
      </c>
      <c r="D1879" s="2" t="s">
        <v>59</v>
      </c>
      <c r="E1879" s="2">
        <v>261</v>
      </c>
      <c r="F1879" s="2">
        <v>5349.999</v>
      </c>
    </row>
    <row r="1880" spans="3:6" x14ac:dyDescent="0.25">
      <c r="C1880" s="2" t="s">
        <v>2435</v>
      </c>
      <c r="D1880" s="2" t="s">
        <v>59</v>
      </c>
      <c r="E1880" s="2">
        <v>105</v>
      </c>
      <c r="F1880" s="2">
        <v>2170.48</v>
      </c>
    </row>
    <row r="1881" spans="3:6" x14ac:dyDescent="0.25">
      <c r="C1881" s="2" t="s">
        <v>2436</v>
      </c>
      <c r="D1881" s="2" t="s">
        <v>59</v>
      </c>
      <c r="E1881" s="2">
        <v>105</v>
      </c>
      <c r="F1881" s="2">
        <v>2113.849</v>
      </c>
    </row>
    <row r="1882" spans="3:6" x14ac:dyDescent="0.25">
      <c r="C1882" s="2" t="s">
        <v>2437</v>
      </c>
      <c r="D1882" s="2" t="s">
        <v>59</v>
      </c>
      <c r="E1882" s="2">
        <v>57</v>
      </c>
      <c r="F1882" s="2">
        <v>1238.861</v>
      </c>
    </row>
    <row r="1884" spans="1:7" x14ac:dyDescent="0.25">
      <c r="A1884" s="1">
        <v>46222</v>
      </c>
      <c r="B1884" s="2" t="s">
        <v>80</v>
      </c>
      <c r="C1884" s="2" t="s">
        <v>2438</v>
      </c>
      <c r="D1884" s="2" t="s">
        <v>82</v>
      </c>
      <c r="E1884" s="2">
        <v>43</v>
      </c>
      <c r="F1884" s="2">
        <v>839.46</v>
      </c>
      <c r="G1884" s="1">
        <v>46224</v>
      </c>
    </row>
    <row r="1885" spans="3:6" x14ac:dyDescent="0.25">
      <c r="C1885" s="2" t="s">
        <v>2439</v>
      </c>
      <c r="D1885" s="2" t="s">
        <v>82</v>
      </c>
      <c r="E1885" s="2">
        <v>17</v>
      </c>
      <c r="F1885" s="2">
        <v>327.43</v>
      </c>
    </row>
    <row r="1886" spans="3:6" x14ac:dyDescent="0.25">
      <c r="C1886" s="2" t="s">
        <v>2440</v>
      </c>
      <c r="D1886" s="2" t="s">
        <v>82</v>
      </c>
      <c r="E1886" s="2">
        <v>114</v>
      </c>
      <c r="F1886" s="2">
        <v>2275.577</v>
      </c>
    </row>
    <row r="1887" spans="3:6" x14ac:dyDescent="0.25">
      <c r="C1887" s="2" t="s">
        <v>2441</v>
      </c>
      <c r="D1887" s="2" t="s">
        <v>82</v>
      </c>
      <c r="E1887" s="2">
        <v>109</v>
      </c>
      <c r="F1887" s="2">
        <v>2246.43</v>
      </c>
    </row>
    <row r="1888" spans="3:6" x14ac:dyDescent="0.25">
      <c r="C1888" s="2" t="s">
        <v>2442</v>
      </c>
      <c r="D1888" s="2" t="s">
        <v>82</v>
      </c>
      <c r="E1888" s="2">
        <v>70</v>
      </c>
      <c r="F1888" s="2">
        <v>1405.06</v>
      </c>
    </row>
    <row r="1889" spans="3:6" x14ac:dyDescent="0.25">
      <c r="C1889" s="2" t="s">
        <v>2443</v>
      </c>
      <c r="D1889" s="2" t="s">
        <v>82</v>
      </c>
      <c r="E1889" s="2">
        <v>10</v>
      </c>
      <c r="F1889" s="2">
        <v>208.84</v>
      </c>
    </row>
    <row r="1890" spans="3:6" x14ac:dyDescent="0.25">
      <c r="C1890" s="2" t="s">
        <v>2444</v>
      </c>
      <c r="D1890" s="2" t="s">
        <v>82</v>
      </c>
      <c r="E1890" s="2">
        <v>141</v>
      </c>
      <c r="F1890" s="2">
        <v>2806.357</v>
      </c>
    </row>
    <row r="1891" spans="3:6" x14ac:dyDescent="0.25">
      <c r="C1891" s="2" t="s">
        <v>2445</v>
      </c>
      <c r="D1891" s="2" t="s">
        <v>82</v>
      </c>
      <c r="E1891" s="2">
        <v>141</v>
      </c>
      <c r="F1891" s="2">
        <v>2926.76</v>
      </c>
    </row>
    <row r="1892" spans="3:6" x14ac:dyDescent="0.25">
      <c r="C1892" s="2" t="s">
        <v>2446</v>
      </c>
      <c r="D1892" s="2" t="s">
        <v>82</v>
      </c>
      <c r="E1892" s="2">
        <v>141</v>
      </c>
      <c r="F1892" s="2">
        <v>2833.69</v>
      </c>
    </row>
    <row r="1893" spans="3:6" x14ac:dyDescent="0.25">
      <c r="C1893" s="2" t="s">
        <v>2447</v>
      </c>
      <c r="D1893" s="2" t="s">
        <v>82</v>
      </c>
      <c r="E1893" s="2">
        <v>60</v>
      </c>
      <c r="F1893" s="2">
        <v>272.028</v>
      </c>
    </row>
    <row r="1894" spans="3:6" x14ac:dyDescent="0.25">
      <c r="C1894" s="2" t="s">
        <v>2448</v>
      </c>
      <c r="D1894" s="2" t="s">
        <v>82</v>
      </c>
      <c r="E1894" s="2">
        <v>12</v>
      </c>
      <c r="F1894" s="2">
        <v>75.46</v>
      </c>
    </row>
    <row r="1895" spans="3:6" x14ac:dyDescent="0.25">
      <c r="C1895" s="2" t="s">
        <v>2449</v>
      </c>
      <c r="D1895" s="2" t="s">
        <v>82</v>
      </c>
      <c r="E1895" s="2">
        <v>63</v>
      </c>
      <c r="F1895" s="2">
        <v>1312.64</v>
      </c>
    </row>
    <row r="1896" spans="3:6" x14ac:dyDescent="0.25">
      <c r="C1896" s="2" t="s">
        <v>2450</v>
      </c>
      <c r="D1896" s="2" t="s">
        <v>82</v>
      </c>
      <c r="E1896" s="2">
        <v>121</v>
      </c>
      <c r="F1896" s="2">
        <v>2374.12</v>
      </c>
    </row>
    <row r="1897" spans="3:6" x14ac:dyDescent="0.25">
      <c r="C1897" s="2" t="s">
        <v>2451</v>
      </c>
      <c r="D1897" s="2" t="s">
        <v>82</v>
      </c>
      <c r="E1897" s="2">
        <v>141</v>
      </c>
      <c r="F1897" s="2">
        <v>2880.999</v>
      </c>
    </row>
    <row r="1898" spans="3:6" x14ac:dyDescent="0.25">
      <c r="C1898" s="2" t="s">
        <v>2452</v>
      </c>
      <c r="D1898" s="2" t="s">
        <v>82</v>
      </c>
      <c r="E1898" s="2">
        <v>141</v>
      </c>
      <c r="F1898" s="2">
        <v>2915.07</v>
      </c>
    </row>
    <row r="1899" spans="3:6" x14ac:dyDescent="0.25">
      <c r="C1899" s="2" t="s">
        <v>2453</v>
      </c>
      <c r="D1899" s="2" t="s">
        <v>82</v>
      </c>
      <c r="E1899" s="2">
        <v>141</v>
      </c>
      <c r="F1899" s="2">
        <v>2830.729</v>
      </c>
    </row>
    <row r="1900" spans="3:6" x14ac:dyDescent="0.25">
      <c r="C1900" s="2" t="s">
        <v>2454</v>
      </c>
      <c r="D1900" s="2" t="s">
        <v>82</v>
      </c>
      <c r="E1900" s="2">
        <v>142</v>
      </c>
      <c r="F1900" s="2">
        <v>2735.82</v>
      </c>
    </row>
    <row r="1901" spans="3:6" x14ac:dyDescent="0.25">
      <c r="C1901" s="2" t="s">
        <v>2455</v>
      </c>
      <c r="D1901" s="2" t="s">
        <v>82</v>
      </c>
      <c r="E1901" s="2">
        <v>142</v>
      </c>
      <c r="F1901" s="2">
        <v>2739.458</v>
      </c>
    </row>
    <row r="1902" spans="3:6" x14ac:dyDescent="0.25">
      <c r="C1902" s="2" t="s">
        <v>2456</v>
      </c>
      <c r="D1902" s="2" t="s">
        <v>82</v>
      </c>
      <c r="E1902" s="2">
        <v>117</v>
      </c>
      <c r="F1902" s="2">
        <v>1529.684</v>
      </c>
    </row>
    <row r="1903" spans="3:6" x14ac:dyDescent="0.25">
      <c r="C1903" s="2" t="s">
        <v>2457</v>
      </c>
      <c r="D1903" s="2" t="s">
        <v>82</v>
      </c>
      <c r="E1903" s="2">
        <v>41</v>
      </c>
      <c r="F1903" s="2">
        <v>926.129</v>
      </c>
    </row>
    <row r="1904" spans="3:6" x14ac:dyDescent="0.25">
      <c r="C1904" s="2" t="s">
        <v>2458</v>
      </c>
      <c r="D1904" s="2" t="s">
        <v>82</v>
      </c>
      <c r="E1904" s="2">
        <v>78</v>
      </c>
      <c r="F1904" s="2">
        <v>1576.56</v>
      </c>
    </row>
    <row r="1905" spans="3:6" x14ac:dyDescent="0.25">
      <c r="C1905" s="2" t="s">
        <v>2459</v>
      </c>
      <c r="D1905" s="2" t="s">
        <v>82</v>
      </c>
      <c r="E1905" s="2">
        <v>60</v>
      </c>
      <c r="F1905" s="2">
        <v>250.018</v>
      </c>
    </row>
    <row r="1906" spans="3:6" x14ac:dyDescent="0.25">
      <c r="C1906" s="2" t="s">
        <v>2460</v>
      </c>
      <c r="D1906" s="2" t="s">
        <v>82</v>
      </c>
      <c r="E1906" s="2">
        <v>30</v>
      </c>
      <c r="F1906" s="2">
        <v>143.16</v>
      </c>
    </row>
    <row r="1907" spans="3:6" x14ac:dyDescent="0.25">
      <c r="C1907" s="2" t="s">
        <v>2461</v>
      </c>
      <c r="D1907" s="2" t="s">
        <v>82</v>
      </c>
      <c r="E1907" s="2">
        <v>62</v>
      </c>
      <c r="F1907" s="2">
        <v>1302.25</v>
      </c>
    </row>
    <row r="1908" spans="3:6" x14ac:dyDescent="0.25">
      <c r="C1908" s="2" t="s">
        <v>2462</v>
      </c>
      <c r="D1908" s="2" t="s">
        <v>82</v>
      </c>
      <c r="E1908" s="2">
        <v>36</v>
      </c>
      <c r="F1908" s="2">
        <v>752.45</v>
      </c>
    </row>
    <row r="1909" spans="3:6" x14ac:dyDescent="0.25">
      <c r="C1909" s="2" t="s">
        <v>2463</v>
      </c>
      <c r="D1909" s="2" t="s">
        <v>82</v>
      </c>
      <c r="E1909" s="2">
        <v>30</v>
      </c>
      <c r="F1909" s="2">
        <v>592.78</v>
      </c>
    </row>
    <row r="1910" spans="3:6" x14ac:dyDescent="0.25">
      <c r="C1910" s="2" t="s">
        <v>2464</v>
      </c>
      <c r="D1910" s="2" t="s">
        <v>82</v>
      </c>
      <c r="E1910" s="2">
        <v>36</v>
      </c>
      <c r="F1910" s="2">
        <v>756.35</v>
      </c>
    </row>
    <row r="1911" spans="3:6" x14ac:dyDescent="0.25">
      <c r="C1911" s="2" t="s">
        <v>2465</v>
      </c>
      <c r="D1911" s="2" t="s">
        <v>82</v>
      </c>
      <c r="E1911" s="2">
        <v>27</v>
      </c>
      <c r="F1911" s="2">
        <v>534.72</v>
      </c>
    </row>
    <row r="1912" spans="3:6" x14ac:dyDescent="0.25">
      <c r="C1912" s="2" t="s">
        <v>2466</v>
      </c>
      <c r="D1912" s="2" t="s">
        <v>82</v>
      </c>
      <c r="E1912" s="2">
        <v>13</v>
      </c>
      <c r="F1912" s="2">
        <v>261.23</v>
      </c>
    </row>
    <row r="1913" spans="3:6" x14ac:dyDescent="0.25">
      <c r="C1913" s="2" t="s">
        <v>2467</v>
      </c>
      <c r="D1913" s="2" t="s">
        <v>82</v>
      </c>
      <c r="E1913" s="2">
        <v>55</v>
      </c>
      <c r="F1913" s="2">
        <v>1079.45</v>
      </c>
    </row>
    <row r="1914" spans="3:6" x14ac:dyDescent="0.25">
      <c r="C1914" s="2" t="s">
        <v>2468</v>
      </c>
      <c r="D1914" s="2" t="s">
        <v>82</v>
      </c>
      <c r="E1914" s="2">
        <v>47</v>
      </c>
      <c r="F1914" s="2">
        <v>962.85</v>
      </c>
    </row>
    <row r="1915" spans="3:6" x14ac:dyDescent="0.25">
      <c r="C1915" s="2" t="s">
        <v>2469</v>
      </c>
      <c r="D1915" s="2" t="s">
        <v>82</v>
      </c>
      <c r="E1915" s="2">
        <v>134</v>
      </c>
      <c r="F1915" s="2">
        <v>2825.239</v>
      </c>
    </row>
    <row r="1916" spans="3:6" x14ac:dyDescent="0.25">
      <c r="C1916" s="2" t="s">
        <v>2470</v>
      </c>
      <c r="D1916" s="2" t="s">
        <v>82</v>
      </c>
      <c r="E1916" s="2">
        <v>102</v>
      </c>
      <c r="F1916" s="2">
        <v>1975.76</v>
      </c>
    </row>
    <row r="1917" spans="3:6" x14ac:dyDescent="0.25">
      <c r="C1917" s="2" t="s">
        <v>2471</v>
      </c>
      <c r="D1917" s="2" t="s">
        <v>82</v>
      </c>
      <c r="E1917" s="2">
        <v>41</v>
      </c>
      <c r="F1917" s="2">
        <v>823.23</v>
      </c>
    </row>
    <row r="1918" spans="3:6" x14ac:dyDescent="0.25">
      <c r="C1918" s="2" t="s">
        <v>2472</v>
      </c>
      <c r="D1918" s="2" t="s">
        <v>82</v>
      </c>
      <c r="E1918" s="2">
        <v>61</v>
      </c>
      <c r="F1918" s="2">
        <v>1273.86</v>
      </c>
    </row>
    <row r="1919" spans="3:6" x14ac:dyDescent="0.25">
      <c r="C1919" s="2" t="s">
        <v>2473</v>
      </c>
      <c r="D1919" s="2" t="s">
        <v>82</v>
      </c>
      <c r="E1919" s="2">
        <v>90</v>
      </c>
      <c r="F1919" s="2">
        <v>1726.74</v>
      </c>
    </row>
    <row r="1920" spans="3:6" x14ac:dyDescent="0.25">
      <c r="C1920" s="2" t="s">
        <v>2474</v>
      </c>
      <c r="D1920" s="2" t="s">
        <v>82</v>
      </c>
      <c r="E1920" s="2">
        <v>51</v>
      </c>
      <c r="F1920" s="2">
        <v>1032.56</v>
      </c>
    </row>
    <row r="1921" spans="3:6" x14ac:dyDescent="0.25">
      <c r="C1921" s="2" t="s">
        <v>2475</v>
      </c>
      <c r="D1921" s="2" t="s">
        <v>82</v>
      </c>
      <c r="E1921" s="2">
        <v>53</v>
      </c>
      <c r="F1921" s="2">
        <v>1087.38</v>
      </c>
    </row>
    <row r="1922" spans="3:6" x14ac:dyDescent="0.25">
      <c r="C1922" s="2" t="s">
        <v>2476</v>
      </c>
      <c r="D1922" s="2" t="s">
        <v>82</v>
      </c>
      <c r="E1922" s="2">
        <v>17</v>
      </c>
      <c r="F1922" s="2">
        <v>316.79</v>
      </c>
    </row>
    <row r="1923" spans="3:6" x14ac:dyDescent="0.25">
      <c r="C1923" s="2" t="s">
        <v>2477</v>
      </c>
      <c r="D1923" s="2" t="s">
        <v>82</v>
      </c>
      <c r="E1923" s="2">
        <v>71</v>
      </c>
      <c r="F1923" s="2">
        <v>1266.588</v>
      </c>
    </row>
    <row r="1925" spans="1:7" x14ac:dyDescent="0.25">
      <c r="A1925" s="1">
        <v>46222</v>
      </c>
      <c r="B1925" s="2" t="s">
        <v>122</v>
      </c>
      <c r="C1925" s="2" t="s">
        <v>2478</v>
      </c>
      <c r="D1925" s="2" t="s">
        <v>9</v>
      </c>
      <c r="E1925" s="2">
        <v>156</v>
      </c>
      <c r="F1925" s="2">
        <v>3075.689</v>
      </c>
      <c r="G1925" s="1">
        <v>46224</v>
      </c>
    </row>
    <row r="1926" spans="3:6" x14ac:dyDescent="0.25">
      <c r="C1926" s="2" t="s">
        <v>2479</v>
      </c>
      <c r="D1926" s="2" t="s">
        <v>9</v>
      </c>
      <c r="E1926" s="2">
        <v>156</v>
      </c>
      <c r="F1926" s="2">
        <v>3140.96</v>
      </c>
    </row>
    <row r="1927" spans="3:6" x14ac:dyDescent="0.25">
      <c r="C1927" s="2" t="s">
        <v>2480</v>
      </c>
      <c r="D1927" s="2" t="s">
        <v>9</v>
      </c>
      <c r="E1927" s="2">
        <v>91</v>
      </c>
      <c r="F1927" s="2">
        <v>1593.16</v>
      </c>
    </row>
    <row r="1929" spans="1:7" x14ac:dyDescent="0.25">
      <c r="A1929" s="1">
        <v>46222</v>
      </c>
      <c r="B1929" s="2" t="s">
        <v>7</v>
      </c>
      <c r="C1929" s="2" t="s">
        <v>2481</v>
      </c>
      <c r="D1929" s="2" t="s">
        <v>9</v>
      </c>
      <c r="E1929" s="2">
        <v>99</v>
      </c>
      <c r="F1929" s="2">
        <v>1855.949</v>
      </c>
      <c r="G1929" s="1">
        <v>46224</v>
      </c>
    </row>
    <row r="1930" spans="3:6" x14ac:dyDescent="0.25">
      <c r="C1930" s="2" t="s">
        <v>2482</v>
      </c>
      <c r="D1930" s="2" t="s">
        <v>9</v>
      </c>
      <c r="E1930" s="2">
        <f>88+9</f>
        <v>97</v>
      </c>
      <c r="F1930" s="2">
        <v>1741.868</v>
      </c>
    </row>
    <row r="1932" spans="1:7" x14ac:dyDescent="0.25">
      <c r="A1932" s="1">
        <v>46222</v>
      </c>
      <c r="B1932" s="2" t="s">
        <v>2483</v>
      </c>
      <c r="C1932" s="2" t="s">
        <v>2484</v>
      </c>
      <c r="D1932" s="2" t="s">
        <v>15</v>
      </c>
      <c r="E1932" s="2">
        <v>163</v>
      </c>
      <c r="F1932" s="2">
        <v>3172.669</v>
      </c>
      <c r="G1932" s="1">
        <v>46224</v>
      </c>
    </row>
    <row r="1933" spans="3:6" x14ac:dyDescent="0.25">
      <c r="C1933" s="2" t="s">
        <v>2485</v>
      </c>
      <c r="D1933" s="2" t="s">
        <v>15</v>
      </c>
      <c r="E1933" s="2">
        <v>105</v>
      </c>
      <c r="F1933" s="2">
        <v>2120.21</v>
      </c>
    </row>
    <row r="1934" spans="3:6" x14ac:dyDescent="0.25">
      <c r="C1934" s="2" t="s">
        <v>2486</v>
      </c>
      <c r="D1934" s="2" t="s">
        <v>15</v>
      </c>
      <c r="E1934" s="2">
        <v>105</v>
      </c>
      <c r="F1934" s="2">
        <v>2093.6</v>
      </c>
    </row>
    <row r="1935" spans="3:6" x14ac:dyDescent="0.25">
      <c r="C1935" s="2" t="s">
        <v>2487</v>
      </c>
      <c r="D1935" s="2" t="s">
        <v>30</v>
      </c>
      <c r="E1935" s="2">
        <v>30</v>
      </c>
      <c r="F1935" s="2">
        <v>594.18</v>
      </c>
    </row>
    <row r="1936" spans="3:6" x14ac:dyDescent="0.25">
      <c r="C1936" s="2" t="s">
        <v>2488</v>
      </c>
      <c r="D1936" s="2" t="s">
        <v>15</v>
      </c>
      <c r="E1936" s="2">
        <v>50</v>
      </c>
      <c r="F1936" s="2">
        <v>1015.789</v>
      </c>
    </row>
    <row r="1937" spans="3:6" x14ac:dyDescent="0.25">
      <c r="C1937" s="2" t="s">
        <v>2489</v>
      </c>
      <c r="D1937" s="2" t="s">
        <v>15</v>
      </c>
      <c r="E1937" s="2">
        <v>55</v>
      </c>
      <c r="F1937" s="2">
        <v>1117.31</v>
      </c>
    </row>
    <row r="1938" spans="3:6" x14ac:dyDescent="0.25">
      <c r="C1938" s="2" t="s">
        <v>2490</v>
      </c>
      <c r="D1938" s="2" t="s">
        <v>15</v>
      </c>
      <c r="E1938" s="2">
        <v>105</v>
      </c>
      <c r="F1938" s="2">
        <v>2139.41</v>
      </c>
    </row>
    <row r="1939" spans="3:6" x14ac:dyDescent="0.25">
      <c r="C1939" s="2" t="s">
        <v>2491</v>
      </c>
      <c r="D1939" s="2" t="s">
        <v>15</v>
      </c>
      <c r="E1939" s="2">
        <v>105</v>
      </c>
      <c r="F1939" s="2">
        <v>1960.258</v>
      </c>
    </row>
    <row r="1940" spans="3:6" x14ac:dyDescent="0.25">
      <c r="C1940" s="2" t="s">
        <v>2492</v>
      </c>
      <c r="D1940" s="2" t="s">
        <v>30</v>
      </c>
      <c r="E1940" s="2">
        <v>134</v>
      </c>
      <c r="F1940" s="2">
        <v>2637.82</v>
      </c>
    </row>
    <row r="1941" spans="3:6" x14ac:dyDescent="0.25">
      <c r="C1941" s="2" t="s">
        <v>2493</v>
      </c>
      <c r="D1941" s="2" t="s">
        <v>30</v>
      </c>
      <c r="E1941" s="2">
        <v>134</v>
      </c>
      <c r="F1941" s="2">
        <v>2713.85</v>
      </c>
    </row>
    <row r="1942" spans="3:6" x14ac:dyDescent="0.25">
      <c r="C1942" s="2" t="s">
        <v>2494</v>
      </c>
      <c r="D1942" s="2" t="s">
        <v>30</v>
      </c>
      <c r="E1942" s="2">
        <v>134</v>
      </c>
      <c r="F1942" s="2">
        <v>2610.979</v>
      </c>
    </row>
    <row r="1943" spans="3:6" x14ac:dyDescent="0.25">
      <c r="C1943" s="2" t="s">
        <v>2495</v>
      </c>
      <c r="D1943" s="2" t="s">
        <v>30</v>
      </c>
      <c r="E1943" s="2">
        <v>134</v>
      </c>
      <c r="F1943" s="2">
        <v>2729.549</v>
      </c>
    </row>
    <row r="1944" spans="3:6" x14ac:dyDescent="0.25">
      <c r="C1944" s="2" t="s">
        <v>2496</v>
      </c>
      <c r="D1944" s="2" t="s">
        <v>30</v>
      </c>
      <c r="E1944" s="2">
        <v>134</v>
      </c>
      <c r="F1944" s="2">
        <v>2766.77</v>
      </c>
    </row>
    <row r="1945" spans="3:6" x14ac:dyDescent="0.25">
      <c r="C1945" s="2" t="s">
        <v>2497</v>
      </c>
      <c r="D1945" s="2" t="s">
        <v>15</v>
      </c>
      <c r="E1945" s="2">
        <v>163</v>
      </c>
      <c r="F1945" s="2">
        <v>3217.12</v>
      </c>
    </row>
    <row r="1946" spans="3:6" x14ac:dyDescent="0.25">
      <c r="C1946" s="2" t="s">
        <v>2498</v>
      </c>
      <c r="D1946" s="2" t="s">
        <v>15</v>
      </c>
      <c r="E1946" s="2">
        <v>163</v>
      </c>
      <c r="F1946" s="2">
        <v>2991.04</v>
      </c>
    </row>
    <row r="1947" spans="3:6" x14ac:dyDescent="0.25">
      <c r="C1947" s="2" t="s">
        <v>2499</v>
      </c>
      <c r="D1947" s="2" t="s">
        <v>15</v>
      </c>
      <c r="E1947" s="2">
        <v>163</v>
      </c>
      <c r="F1947" s="2">
        <v>3095.21</v>
      </c>
    </row>
    <row r="1948" spans="3:6" x14ac:dyDescent="0.25">
      <c r="C1948" s="2" t="s">
        <v>2500</v>
      </c>
      <c r="D1948" s="2" t="s">
        <v>15</v>
      </c>
      <c r="E1948" s="2">
        <v>163</v>
      </c>
      <c r="F1948" s="2">
        <v>3252.8</v>
      </c>
    </row>
    <row r="1949" spans="3:6" x14ac:dyDescent="0.25">
      <c r="C1949" s="2" t="s">
        <v>2501</v>
      </c>
      <c r="D1949" s="2" t="s">
        <v>15</v>
      </c>
      <c r="E1949" s="2">
        <v>163</v>
      </c>
      <c r="F1949" s="2">
        <v>3143.009</v>
      </c>
    </row>
    <row r="1950" spans="3:6" x14ac:dyDescent="0.25">
      <c r="C1950" s="2" t="s">
        <v>2502</v>
      </c>
      <c r="D1950" s="2" t="s">
        <v>15</v>
      </c>
      <c r="E1950" s="2">
        <v>163</v>
      </c>
      <c r="F1950" s="2">
        <v>3003.749</v>
      </c>
    </row>
    <row r="1951" spans="3:6" x14ac:dyDescent="0.25">
      <c r="C1951" s="2" t="s">
        <v>2503</v>
      </c>
      <c r="D1951" s="2" t="s">
        <v>15</v>
      </c>
      <c r="E1951" s="2">
        <v>163</v>
      </c>
      <c r="F1951" s="2">
        <v>3120.1</v>
      </c>
    </row>
    <row r="1952" spans="3:6" x14ac:dyDescent="0.25">
      <c r="C1952" s="2" t="s">
        <v>2504</v>
      </c>
      <c r="D1952" s="2" t="s">
        <v>15</v>
      </c>
      <c r="E1952" s="2">
        <v>53</v>
      </c>
      <c r="F1952" s="2">
        <v>1341.57</v>
      </c>
    </row>
    <row r="1953" spans="3:6" x14ac:dyDescent="0.25">
      <c r="C1953" s="2" t="s">
        <v>2505</v>
      </c>
      <c r="D1953" s="2" t="s">
        <v>15</v>
      </c>
      <c r="E1953" s="2">
        <v>53</v>
      </c>
      <c r="F1953" s="2">
        <v>1307.511</v>
      </c>
    </row>
    <row r="1954" spans="3:6" x14ac:dyDescent="0.25">
      <c r="C1954" s="2" t="s">
        <v>2506</v>
      </c>
      <c r="D1954" s="2" t="s">
        <v>15</v>
      </c>
      <c r="E1954" s="2">
        <v>105</v>
      </c>
      <c r="F1954" s="2">
        <v>2101.579</v>
      </c>
    </row>
    <row r="1955" spans="3:6" x14ac:dyDescent="0.25">
      <c r="C1955" s="2" t="s">
        <v>2376</v>
      </c>
      <c r="D1955" s="2" t="s">
        <v>15</v>
      </c>
      <c r="E1955" s="2">
        <v>111</v>
      </c>
      <c r="F1955" s="2">
        <v>2161.22</v>
      </c>
    </row>
    <row r="1956" spans="3:6" x14ac:dyDescent="0.25">
      <c r="C1956" s="2" t="s">
        <v>2395</v>
      </c>
      <c r="D1956" s="2" t="s">
        <v>30</v>
      </c>
      <c r="E1956" s="2">
        <v>134</v>
      </c>
      <c r="F1956" s="2">
        <v>2708.709</v>
      </c>
    </row>
    <row r="1957" spans="3:6" x14ac:dyDescent="0.25">
      <c r="C1957" s="2" t="s">
        <v>2377</v>
      </c>
      <c r="D1957" s="2" t="s">
        <v>15</v>
      </c>
      <c r="E1957" s="2">
        <v>163</v>
      </c>
      <c r="F1957" s="2">
        <v>3056.168</v>
      </c>
    </row>
    <row r="1958" spans="3:6" x14ac:dyDescent="0.25">
      <c r="C1958" s="2" t="s">
        <v>2396</v>
      </c>
      <c r="D1958" s="2" t="s">
        <v>30</v>
      </c>
      <c r="E1958" s="2">
        <v>42</v>
      </c>
      <c r="F1958" s="2">
        <v>794.64</v>
      </c>
    </row>
    <row r="1959" spans="3:6" x14ac:dyDescent="0.25">
      <c r="C1959" s="2" t="s">
        <v>2373</v>
      </c>
      <c r="D1959" s="2" t="s">
        <v>15</v>
      </c>
      <c r="E1959" s="2">
        <v>163</v>
      </c>
      <c r="F1959" s="2">
        <v>3015.299</v>
      </c>
    </row>
    <row r="1960" spans="3:6" x14ac:dyDescent="0.25">
      <c r="C1960" s="2" t="s">
        <v>2374</v>
      </c>
      <c r="D1960" s="2" t="s">
        <v>15</v>
      </c>
      <c r="E1960" s="2">
        <v>163</v>
      </c>
      <c r="F1960" s="2">
        <v>3187.23</v>
      </c>
    </row>
    <row r="1961" spans="3:6" x14ac:dyDescent="0.25">
      <c r="C1961" s="2" t="s">
        <v>2484</v>
      </c>
      <c r="D1961" s="2" t="s">
        <v>15</v>
      </c>
      <c r="E1961" s="2">
        <v>163</v>
      </c>
      <c r="F1961" s="2">
        <v>3202</v>
      </c>
    </row>
    <row r="1963" spans="2:7" x14ac:dyDescent="0.25">
      <c r="B1963" s="2" t="s">
        <v>48</v>
      </c>
      <c r="C1963" s="2" t="s">
        <v>2507</v>
      </c>
      <c r="D1963" s="2" t="s">
        <v>30</v>
      </c>
      <c r="E1963" s="2">
        <v>106</v>
      </c>
      <c r="F1963" s="2">
        <v>1893.599</v>
      </c>
      <c r="G1963" s="1">
        <v>46224</v>
      </c>
    </row>
    <row r="1964" spans="3:6" x14ac:dyDescent="0.25">
      <c r="C1964" s="2" t="s">
        <v>2508</v>
      </c>
      <c r="D1964" s="2" t="s">
        <v>53</v>
      </c>
      <c r="E1964" s="2">
        <v>148</v>
      </c>
      <c r="F1964" s="2">
        <v>2705.27</v>
      </c>
    </row>
    <row r="1965" spans="3:6" x14ac:dyDescent="0.25">
      <c r="C1965" s="2" t="s">
        <v>2509</v>
      </c>
      <c r="D1965" s="2" t="s">
        <v>30</v>
      </c>
      <c r="E1965" s="2">
        <v>156</v>
      </c>
      <c r="F1965" s="2">
        <v>2753.5</v>
      </c>
    </row>
    <row r="1967" spans="1:7" x14ac:dyDescent="0.25">
      <c r="A1967" s="1">
        <v>46222</v>
      </c>
      <c r="B1967" s="2" t="s">
        <v>2510</v>
      </c>
      <c r="C1967" s="2" t="s">
        <v>2511</v>
      </c>
      <c r="D1967" s="2" t="s">
        <v>59</v>
      </c>
      <c r="E1967" s="2">
        <v>156</v>
      </c>
      <c r="F1967" s="2">
        <v>3024.36</v>
      </c>
      <c r="G1967" s="1">
        <v>46224</v>
      </c>
    </row>
    <row r="1968" spans="3:6" x14ac:dyDescent="0.25">
      <c r="C1968" s="2" t="s">
        <v>2512</v>
      </c>
      <c r="D1968" s="2" t="s">
        <v>59</v>
      </c>
      <c r="E1968" s="2">
        <v>105</v>
      </c>
      <c r="F1968" s="2">
        <v>2050.11</v>
      </c>
    </row>
    <row r="1969" spans="3:6" x14ac:dyDescent="0.25">
      <c r="C1969" s="2" t="s">
        <v>2513</v>
      </c>
      <c r="D1969" s="2" t="s">
        <v>59</v>
      </c>
      <c r="E1969" s="2">
        <v>156</v>
      </c>
      <c r="F1969" s="2">
        <v>3053.3</v>
      </c>
    </row>
    <row r="1970" spans="3:6" x14ac:dyDescent="0.25">
      <c r="C1970" s="2" t="s">
        <v>2514</v>
      </c>
      <c r="D1970" s="2" t="s">
        <v>59</v>
      </c>
      <c r="E1970" s="2">
        <v>156</v>
      </c>
      <c r="F1970" s="2">
        <v>2974.969</v>
      </c>
    </row>
    <row r="1971" spans="3:6" x14ac:dyDescent="0.25">
      <c r="C1971" s="2" t="s">
        <v>2515</v>
      </c>
      <c r="D1971" s="2" t="s">
        <v>59</v>
      </c>
      <c r="E1971" s="2">
        <v>312</v>
      </c>
      <c r="F1971" s="2">
        <v>6378.748</v>
      </c>
    </row>
    <row r="1972" spans="3:6" x14ac:dyDescent="0.25">
      <c r="C1972" s="2" t="s">
        <v>2516</v>
      </c>
      <c r="D1972" s="2" t="s">
        <v>59</v>
      </c>
      <c r="E1972" s="2">
        <v>210</v>
      </c>
      <c r="F1972" s="2">
        <v>4107.15</v>
      </c>
    </row>
    <row r="1973" spans="3:6" x14ac:dyDescent="0.25">
      <c r="C1973" s="2" t="s">
        <v>2517</v>
      </c>
      <c r="D1973" s="2" t="s">
        <v>59</v>
      </c>
      <c r="E1973" s="2">
        <v>154</v>
      </c>
      <c r="F1973" s="2">
        <v>2982.289</v>
      </c>
    </row>
    <row r="1974" spans="3:6" x14ac:dyDescent="0.25">
      <c r="C1974" s="2" t="s">
        <v>2518</v>
      </c>
      <c r="D1974" s="2" t="s">
        <v>59</v>
      </c>
      <c r="E1974" s="2">
        <v>189</v>
      </c>
      <c r="F1974" s="2">
        <v>3951.54</v>
      </c>
    </row>
    <row r="1976" spans="1:7" x14ac:dyDescent="0.25">
      <c r="A1976" s="1">
        <v>46223</v>
      </c>
      <c r="B1976" s="2" t="s">
        <v>1032</v>
      </c>
      <c r="C1976" s="2" t="s">
        <v>2519</v>
      </c>
      <c r="D1976" s="2" t="s">
        <v>73</v>
      </c>
      <c r="E1976" s="2">
        <v>99</v>
      </c>
      <c r="F1976" s="2">
        <v>1942.52</v>
      </c>
      <c r="G1976" s="1">
        <v>46224</v>
      </c>
    </row>
    <row r="1977" spans="3:6" x14ac:dyDescent="0.25">
      <c r="C1977" s="2" t="s">
        <v>2520</v>
      </c>
      <c r="D1977" s="2" t="s">
        <v>73</v>
      </c>
      <c r="E1977" s="2">
        <v>16</v>
      </c>
      <c r="F1977" s="2">
        <v>267.059</v>
      </c>
    </row>
    <row r="1978" spans="3:6" x14ac:dyDescent="0.25">
      <c r="C1978" s="2" t="s">
        <v>2521</v>
      </c>
      <c r="D1978" s="2" t="s">
        <v>73</v>
      </c>
      <c r="E1978" s="2">
        <v>69</v>
      </c>
      <c r="F1978" s="2">
        <v>1317.199</v>
      </c>
    </row>
    <row r="1979" spans="3:6" x14ac:dyDescent="0.25">
      <c r="C1979" s="2" t="s">
        <v>2522</v>
      </c>
      <c r="D1979" s="2" t="s">
        <v>73</v>
      </c>
      <c r="E1979" s="2">
        <v>16</v>
      </c>
      <c r="F1979" s="2">
        <v>288.42</v>
      </c>
    </row>
    <row r="1980" spans="3:6" x14ac:dyDescent="0.25">
      <c r="C1980" s="2" t="s">
        <v>2523</v>
      </c>
      <c r="D1980" s="2" t="s">
        <v>73</v>
      </c>
      <c r="E1980" s="2">
        <v>86</v>
      </c>
      <c r="F1980" s="2">
        <v>1744.919</v>
      </c>
    </row>
    <row r="1981" spans="3:6" x14ac:dyDescent="0.25">
      <c r="C1981" s="2" t="s">
        <v>2524</v>
      </c>
      <c r="D1981" s="2" t="s">
        <v>73</v>
      </c>
      <c r="E1981" s="2">
        <v>48</v>
      </c>
      <c r="F1981" s="2">
        <v>886.5</v>
      </c>
    </row>
    <row r="1982" spans="3:6" x14ac:dyDescent="0.25">
      <c r="C1982" s="2" t="s">
        <v>2525</v>
      </c>
      <c r="D1982" s="2" t="s">
        <v>73</v>
      </c>
      <c r="E1982" s="2">
        <v>40</v>
      </c>
      <c r="F1982" s="2">
        <v>657.01</v>
      </c>
    </row>
    <row r="1983" spans="3:6" x14ac:dyDescent="0.25">
      <c r="C1983" s="2" t="s">
        <v>2526</v>
      </c>
      <c r="D1983" s="2" t="s">
        <v>73</v>
      </c>
      <c r="E1983" s="2">
        <v>11</v>
      </c>
      <c r="F1983" s="2">
        <v>206.31</v>
      </c>
    </row>
    <row r="1985" spans="1:7" x14ac:dyDescent="0.25">
      <c r="A1985" s="1">
        <v>46223</v>
      </c>
      <c r="B1985" s="2" t="s">
        <v>176</v>
      </c>
      <c r="C1985" s="2" t="s">
        <v>2527</v>
      </c>
      <c r="D1985" s="2" t="s">
        <v>178</v>
      </c>
      <c r="E1985" s="2">
        <v>55</v>
      </c>
      <c r="F1985" s="2">
        <v>228.51</v>
      </c>
      <c r="G1985" s="1">
        <v>46224</v>
      </c>
    </row>
    <row r="1986" spans="3:6" x14ac:dyDescent="0.25">
      <c r="C1986" s="2" t="s">
        <v>2528</v>
      </c>
      <c r="D1986" s="2" t="s">
        <v>178</v>
      </c>
      <c r="E1986" s="2">
        <v>102</v>
      </c>
      <c r="F1986" s="2">
        <v>2081.71</v>
      </c>
    </row>
    <row r="1987" spans="3:6" x14ac:dyDescent="0.25">
      <c r="C1987" s="2" t="s">
        <v>2529</v>
      </c>
      <c r="D1987" s="2" t="s">
        <v>178</v>
      </c>
      <c r="E1987" s="2">
        <v>141</v>
      </c>
      <c r="F1987" s="2">
        <v>2842.87</v>
      </c>
    </row>
    <row r="1988" spans="3:6" x14ac:dyDescent="0.25">
      <c r="C1988" s="2" t="s">
        <v>2530</v>
      </c>
      <c r="D1988" s="2" t="s">
        <v>178</v>
      </c>
      <c r="E1988" s="2">
        <v>146</v>
      </c>
      <c r="F1988" s="2">
        <v>2816.209</v>
      </c>
    </row>
    <row r="1989" spans="3:6" x14ac:dyDescent="0.25">
      <c r="C1989" s="2" t="s">
        <v>2531</v>
      </c>
      <c r="D1989" s="2" t="s">
        <v>178</v>
      </c>
      <c r="E1989" s="2">
        <v>61</v>
      </c>
      <c r="F1989" s="2">
        <v>1168.79</v>
      </c>
    </row>
    <row r="1990" spans="3:6" x14ac:dyDescent="0.25">
      <c r="C1990" s="2" t="s">
        <v>2532</v>
      </c>
      <c r="D1990" s="2" t="s">
        <v>178</v>
      </c>
      <c r="E1990" s="2">
        <v>56</v>
      </c>
      <c r="F1990" s="2">
        <v>1031.66</v>
      </c>
    </row>
    <row r="1991" spans="3:6" x14ac:dyDescent="0.25">
      <c r="C1991" s="2" t="s">
        <v>2533</v>
      </c>
      <c r="D1991" s="2" t="s">
        <v>178</v>
      </c>
      <c r="E1991" s="2">
        <v>90</v>
      </c>
      <c r="F1991" s="2">
        <v>403.76</v>
      </c>
    </row>
    <row r="1992" spans="3:6" x14ac:dyDescent="0.25">
      <c r="C1992" s="2" t="s">
        <v>2534</v>
      </c>
      <c r="D1992" s="2" t="s">
        <v>178</v>
      </c>
      <c r="E1992" s="2">
        <v>141</v>
      </c>
      <c r="F1992" s="2">
        <v>2885.83</v>
      </c>
    </row>
    <row r="1993" spans="3:6" x14ac:dyDescent="0.25">
      <c r="C1993" s="2" t="s">
        <v>2535</v>
      </c>
      <c r="D1993" s="2" t="s">
        <v>178</v>
      </c>
      <c r="E1993" s="2">
        <v>141</v>
      </c>
      <c r="F1993" s="2">
        <v>2927.95</v>
      </c>
    </row>
    <row r="1994" spans="3:6" x14ac:dyDescent="0.25">
      <c r="C1994" s="2" t="s">
        <v>2536</v>
      </c>
      <c r="D1994" s="2" t="s">
        <v>178</v>
      </c>
      <c r="E1994" s="2">
        <v>141</v>
      </c>
      <c r="F1994" s="2">
        <v>2919.81</v>
      </c>
    </row>
    <row r="1995" spans="3:6" x14ac:dyDescent="0.25">
      <c r="C1995" s="2" t="s">
        <v>2537</v>
      </c>
      <c r="D1995" s="2" t="s">
        <v>178</v>
      </c>
      <c r="E1995" s="2">
        <v>145</v>
      </c>
      <c r="F1995" s="2">
        <v>2857.028</v>
      </c>
    </row>
    <row r="1996" spans="3:6" x14ac:dyDescent="0.25">
      <c r="C1996" s="2" t="s">
        <v>2538</v>
      </c>
      <c r="D1996" s="2" t="s">
        <v>178</v>
      </c>
      <c r="E1996" s="2">
        <v>71</v>
      </c>
      <c r="F1996" s="2">
        <v>316.909</v>
      </c>
    </row>
    <row r="1997" spans="3:6" x14ac:dyDescent="0.25">
      <c r="C1997" s="2" t="s">
        <v>2539</v>
      </c>
      <c r="D1997" s="2" t="s">
        <v>178</v>
      </c>
      <c r="E1997" s="2">
        <v>142</v>
      </c>
      <c r="F1997" s="2">
        <v>2818.26</v>
      </c>
    </row>
    <row r="1998" spans="3:6" x14ac:dyDescent="0.25">
      <c r="C1998" s="2" t="s">
        <v>2540</v>
      </c>
      <c r="D1998" s="2" t="s">
        <v>178</v>
      </c>
      <c r="E1998" s="2">
        <v>141</v>
      </c>
      <c r="F1998" s="2">
        <v>2883.74</v>
      </c>
    </row>
    <row r="1999" spans="3:6" x14ac:dyDescent="0.25">
      <c r="C1999" s="2" t="s">
        <v>2541</v>
      </c>
      <c r="D1999" s="2" t="s">
        <v>178</v>
      </c>
      <c r="E1999" s="2">
        <v>141</v>
      </c>
      <c r="F1999" s="2">
        <v>2886.679</v>
      </c>
    </row>
    <row r="2000" spans="3:6" x14ac:dyDescent="0.25">
      <c r="C2000" s="2" t="s">
        <v>2542</v>
      </c>
      <c r="D2000" s="2" t="s">
        <v>178</v>
      </c>
      <c r="E2000" s="2">
        <v>102</v>
      </c>
      <c r="F2000" s="2">
        <v>2075.44</v>
      </c>
    </row>
    <row r="2001" spans="3:6" x14ac:dyDescent="0.25">
      <c r="C2001" s="2" t="s">
        <v>2543</v>
      </c>
      <c r="D2001" s="2" t="s">
        <v>178</v>
      </c>
      <c r="E2001" s="2">
        <v>123</v>
      </c>
      <c r="F2001" s="2">
        <v>2562.55</v>
      </c>
    </row>
    <row r="2002" spans="3:6" x14ac:dyDescent="0.25">
      <c r="C2002" s="2" t="s">
        <v>2544</v>
      </c>
      <c r="D2002" s="2" t="s">
        <v>178</v>
      </c>
      <c r="E2002" s="2">
        <v>123</v>
      </c>
      <c r="F2002" s="2">
        <v>2084.03</v>
      </c>
    </row>
    <row r="2003" spans="3:6" x14ac:dyDescent="0.25">
      <c r="C2003" s="2" t="s">
        <v>2545</v>
      </c>
      <c r="D2003" s="2" t="s">
        <v>178</v>
      </c>
      <c r="E2003" s="2">
        <v>123</v>
      </c>
      <c r="F2003" s="2">
        <v>2459.42</v>
      </c>
    </row>
    <row r="2004" spans="3:6" x14ac:dyDescent="0.25">
      <c r="C2004" s="2" t="s">
        <v>2546</v>
      </c>
      <c r="D2004" s="2" t="s">
        <v>178</v>
      </c>
      <c r="E2004" s="2">
        <v>61</v>
      </c>
      <c r="F2004" s="2">
        <v>1258.19</v>
      </c>
    </row>
    <row r="2005" spans="3:6" x14ac:dyDescent="0.25">
      <c r="C2005" s="2" t="s">
        <v>2547</v>
      </c>
      <c r="D2005" s="2" t="s">
        <v>178</v>
      </c>
      <c r="E2005" s="2">
        <v>60</v>
      </c>
      <c r="F2005" s="2">
        <v>1149.25</v>
      </c>
    </row>
    <row r="2006" spans="3:6" x14ac:dyDescent="0.25">
      <c r="C2006" s="2" t="s">
        <v>2548</v>
      </c>
      <c r="D2006" s="2" t="s">
        <v>178</v>
      </c>
      <c r="E2006" s="2">
        <v>141</v>
      </c>
      <c r="F2006" s="2">
        <v>2822.479</v>
      </c>
    </row>
    <row r="2007" spans="3:6" x14ac:dyDescent="0.25">
      <c r="C2007" s="2" t="s">
        <v>2549</v>
      </c>
      <c r="D2007" s="2" t="s">
        <v>178</v>
      </c>
      <c r="E2007" s="2">
        <v>141</v>
      </c>
      <c r="F2007" s="2">
        <v>2864.15</v>
      </c>
    </row>
    <row r="2008" spans="3:6" x14ac:dyDescent="0.25">
      <c r="C2008" s="2" t="s">
        <v>2550</v>
      </c>
      <c r="D2008" s="2" t="s">
        <v>178</v>
      </c>
      <c r="E2008" s="2">
        <v>22</v>
      </c>
      <c r="F2008" s="2">
        <v>325.06</v>
      </c>
    </row>
    <row r="2009" spans="3:6" x14ac:dyDescent="0.25">
      <c r="C2009" s="2" t="s">
        <v>2551</v>
      </c>
      <c r="D2009" s="2" t="s">
        <v>178</v>
      </c>
      <c r="E2009" s="2">
        <v>107</v>
      </c>
      <c r="F2009" s="2">
        <v>1666.679</v>
      </c>
    </row>
    <row r="2010" spans="3:6" x14ac:dyDescent="0.25">
      <c r="C2010" s="2" t="s">
        <v>2552</v>
      </c>
      <c r="D2010" s="2" t="s">
        <v>178</v>
      </c>
      <c r="E2010" s="2">
        <v>12</v>
      </c>
      <c r="F2010" s="2">
        <v>186.57</v>
      </c>
    </row>
    <row r="2011" spans="3:6" x14ac:dyDescent="0.25">
      <c r="C2011" s="2" t="s">
        <v>2553</v>
      </c>
      <c r="D2011" s="2" t="s">
        <v>178</v>
      </c>
      <c r="E2011" s="2">
        <v>102</v>
      </c>
      <c r="F2011" s="2">
        <v>2055.118</v>
      </c>
    </row>
    <row r="2012" spans="3:6" x14ac:dyDescent="0.25">
      <c r="C2012" s="2" t="s">
        <v>2554</v>
      </c>
      <c r="D2012" s="2" t="s">
        <v>178</v>
      </c>
      <c r="E2012" s="2">
        <v>141</v>
      </c>
      <c r="F2012" s="2">
        <v>2566.1</v>
      </c>
    </row>
    <row r="2013" spans="3:6" x14ac:dyDescent="0.25">
      <c r="C2013" s="2" t="s">
        <v>2555</v>
      </c>
      <c r="D2013" s="2" t="s">
        <v>178</v>
      </c>
      <c r="E2013" s="2">
        <v>65</v>
      </c>
      <c r="F2013" s="2">
        <v>1248.255</v>
      </c>
    </row>
    <row r="2014" spans="3:6" x14ac:dyDescent="0.25">
      <c r="C2014" s="2" t="s">
        <v>2556</v>
      </c>
      <c r="D2014" s="2" t="s">
        <v>178</v>
      </c>
      <c r="E2014" s="2">
        <v>49</v>
      </c>
      <c r="F2014" s="2">
        <v>676.169</v>
      </c>
    </row>
    <row r="2015" spans="3:6" x14ac:dyDescent="0.25">
      <c r="C2015" s="2" t="s">
        <v>2557</v>
      </c>
      <c r="D2015" s="2" t="s">
        <v>178</v>
      </c>
      <c r="E2015" s="2">
        <v>27</v>
      </c>
      <c r="F2015" s="2">
        <v>480.679</v>
      </c>
    </row>
    <row r="2016" spans="3:6" x14ac:dyDescent="0.25">
      <c r="C2016" s="2" t="s">
        <v>2558</v>
      </c>
      <c r="D2016" s="2" t="s">
        <v>178</v>
      </c>
      <c r="E2016" s="2">
        <v>97</v>
      </c>
      <c r="F2016" s="2">
        <v>1853.99</v>
      </c>
    </row>
    <row r="2017" spans="3:6" x14ac:dyDescent="0.25">
      <c r="C2017" s="2" t="s">
        <v>2559</v>
      </c>
      <c r="D2017" s="2" t="s">
        <v>178</v>
      </c>
      <c r="E2017" s="2">
        <v>102</v>
      </c>
      <c r="F2017" s="2">
        <v>1698.04</v>
      </c>
    </row>
    <row r="2018" spans="3:6" x14ac:dyDescent="0.25">
      <c r="C2018" s="2" t="s">
        <v>2560</v>
      </c>
      <c r="D2018" s="2" t="s">
        <v>178</v>
      </c>
      <c r="E2018" s="2">
        <v>65</v>
      </c>
      <c r="F2018" s="2">
        <v>1326.37</v>
      </c>
    </row>
    <row r="2019" spans="3:6" x14ac:dyDescent="0.25">
      <c r="C2019" s="2" t="s">
        <v>2561</v>
      </c>
      <c r="D2019" s="2" t="s">
        <v>178</v>
      </c>
      <c r="E2019" s="2">
        <v>37</v>
      </c>
      <c r="F2019" s="2">
        <v>720.12</v>
      </c>
    </row>
    <row r="2020" spans="3:6" x14ac:dyDescent="0.25">
      <c r="C2020" s="2" t="s">
        <v>2562</v>
      </c>
      <c r="D2020" s="2" t="s">
        <v>178</v>
      </c>
      <c r="E2020" s="2">
        <v>141</v>
      </c>
      <c r="F2020" s="2">
        <v>2417.118</v>
      </c>
    </row>
    <row r="2021" spans="3:6" x14ac:dyDescent="0.25">
      <c r="C2021" s="2" t="s">
        <v>2563</v>
      </c>
      <c r="D2021" s="2" t="s">
        <v>178</v>
      </c>
      <c r="E2021" s="2">
        <v>74</v>
      </c>
      <c r="F2021" s="2">
        <v>1439.69</v>
      </c>
    </row>
    <row r="2022" spans="3:6" x14ac:dyDescent="0.25">
      <c r="C2022" s="2" t="s">
        <v>2564</v>
      </c>
      <c r="D2022" s="2" t="s">
        <v>178</v>
      </c>
      <c r="E2022" s="2">
        <v>18</v>
      </c>
      <c r="F2022" s="2">
        <v>358.96</v>
      </c>
    </row>
    <row r="2023" spans="3:6" x14ac:dyDescent="0.25">
      <c r="C2023" s="2" t="s">
        <v>2565</v>
      </c>
      <c r="D2023" s="2" t="s">
        <v>178</v>
      </c>
      <c r="E2023" s="2">
        <v>7</v>
      </c>
      <c r="F2023" s="2">
        <v>96.98</v>
      </c>
    </row>
    <row r="2024" spans="3:6" x14ac:dyDescent="0.25">
      <c r="C2024" s="2" t="s">
        <v>2566</v>
      </c>
      <c r="D2024" s="2" t="s">
        <v>178</v>
      </c>
      <c r="E2024" s="2">
        <v>2</v>
      </c>
      <c r="F2024" s="2">
        <v>14.75</v>
      </c>
    </row>
    <row r="2025" spans="3:6" x14ac:dyDescent="0.25">
      <c r="C2025" s="2" t="s">
        <v>2567</v>
      </c>
      <c r="D2025" s="2" t="s">
        <v>178</v>
      </c>
      <c r="E2025" s="2">
        <v>10</v>
      </c>
      <c r="F2025" s="2">
        <v>135.97</v>
      </c>
    </row>
    <row r="2026" spans="3:6" x14ac:dyDescent="0.25">
      <c r="C2026" s="2" t="s">
        <v>2568</v>
      </c>
      <c r="D2026" s="2" t="s">
        <v>178</v>
      </c>
      <c r="E2026" s="2">
        <v>17</v>
      </c>
      <c r="F2026" s="2">
        <v>297.88</v>
      </c>
    </row>
    <row r="2027" spans="3:6" x14ac:dyDescent="0.25">
      <c r="C2027" s="2" t="s">
        <v>2569</v>
      </c>
      <c r="D2027" s="2" t="s">
        <v>178</v>
      </c>
      <c r="E2027" s="2">
        <v>50</v>
      </c>
      <c r="F2027" s="2">
        <v>825.609</v>
      </c>
    </row>
    <row r="2028" spans="3:6" x14ac:dyDescent="0.25">
      <c r="C2028" s="2" t="s">
        <v>2570</v>
      </c>
      <c r="D2028" s="2" t="s">
        <v>178</v>
      </c>
      <c r="E2028" s="2">
        <v>64</v>
      </c>
      <c r="F2028" s="2">
        <v>1269.32</v>
      </c>
    </row>
    <row r="2029" spans="3:6" x14ac:dyDescent="0.25">
      <c r="C2029" s="2" t="s">
        <v>2571</v>
      </c>
      <c r="D2029" s="2" t="s">
        <v>178</v>
      </c>
      <c r="E2029" s="2">
        <v>77</v>
      </c>
      <c r="F2029" s="2">
        <v>1342.39</v>
      </c>
    </row>
    <row r="2030" spans="3:6" x14ac:dyDescent="0.25">
      <c r="C2030" s="2" t="s">
        <v>2572</v>
      </c>
      <c r="D2030" s="2" t="s">
        <v>178</v>
      </c>
      <c r="E2030" s="2">
        <v>27</v>
      </c>
      <c r="F2030" s="2">
        <v>515.37</v>
      </c>
    </row>
    <row r="2031" spans="3:6" x14ac:dyDescent="0.25">
      <c r="C2031" s="2" t="s">
        <v>2573</v>
      </c>
      <c r="D2031" s="2" t="s">
        <v>178</v>
      </c>
      <c r="E2031" s="2">
        <v>12</v>
      </c>
      <c r="F2031" s="2">
        <v>237.35</v>
      </c>
    </row>
    <row r="2032" spans="3:6" x14ac:dyDescent="0.25">
      <c r="C2032" s="2" t="s">
        <v>2574</v>
      </c>
      <c r="D2032" s="2" t="s">
        <v>178</v>
      </c>
      <c r="E2032" s="2">
        <v>7</v>
      </c>
      <c r="F2032" s="2">
        <v>147.6</v>
      </c>
    </row>
    <row r="2033" spans="3:6" x14ac:dyDescent="0.25">
      <c r="C2033" s="2" t="s">
        <v>2575</v>
      </c>
      <c r="D2033" s="2" t="s">
        <v>178</v>
      </c>
      <c r="E2033" s="2">
        <v>24</v>
      </c>
      <c r="F2033" s="2">
        <v>463.06</v>
      </c>
    </row>
    <row r="2034" spans="3:6" x14ac:dyDescent="0.25">
      <c r="C2034" s="2" t="s">
        <v>2576</v>
      </c>
      <c r="D2034" s="2" t="s">
        <v>178</v>
      </c>
      <c r="E2034" s="2">
        <v>71</v>
      </c>
      <c r="F2034" s="2">
        <v>1423.68</v>
      </c>
    </row>
    <row r="2035" spans="3:6" x14ac:dyDescent="0.25">
      <c r="C2035" s="2" t="s">
        <v>2577</v>
      </c>
      <c r="D2035" s="2" t="s">
        <v>178</v>
      </c>
      <c r="E2035" s="2">
        <v>133</v>
      </c>
      <c r="F2035" s="2">
        <v>2559.84</v>
      </c>
    </row>
    <row r="2036" spans="3:5" x14ac:dyDescent="0.25">
      <c r="C2036" s="2" t="s">
        <v>2578</v>
      </c>
      <c r="D2036" s="2" t="s">
        <v>178</v>
      </c>
      <c r="E2036" s="2">
        <v>138</v>
      </c>
    </row>
    <row r="2038" spans="1:7" x14ac:dyDescent="0.25">
      <c r="A2038" s="1">
        <v>46223</v>
      </c>
      <c r="B2038" s="2" t="s">
        <v>229</v>
      </c>
      <c r="C2038" s="2" t="s">
        <v>2579</v>
      </c>
      <c r="D2038" s="2" t="s">
        <v>82</v>
      </c>
      <c r="E2038" s="2">
        <v>8</v>
      </c>
      <c r="F2038" s="2">
        <v>170.15</v>
      </c>
      <c r="G2038" s="1">
        <v>46224</v>
      </c>
    </row>
    <row r="2039" spans="3:6" x14ac:dyDescent="0.25">
      <c r="C2039" s="2" t="s">
        <v>2580</v>
      </c>
      <c r="D2039" s="2" t="s">
        <v>82</v>
      </c>
      <c r="E2039" s="2">
        <v>61</v>
      </c>
      <c r="F2039" s="2">
        <v>1203.75</v>
      </c>
    </row>
    <row r="2040" spans="3:6" x14ac:dyDescent="0.25">
      <c r="C2040" s="2" t="s">
        <v>2581</v>
      </c>
      <c r="D2040" s="2" t="s">
        <v>82</v>
      </c>
      <c r="E2040" s="2">
        <v>3</v>
      </c>
      <c r="F2040" s="2">
        <v>18.15</v>
      </c>
    </row>
    <row r="2041" spans="3:6" x14ac:dyDescent="0.25">
      <c r="C2041" s="2" t="s">
        <v>2582</v>
      </c>
      <c r="D2041" s="2" t="s">
        <v>82</v>
      </c>
      <c r="E2041" s="2">
        <v>3</v>
      </c>
      <c r="F2041" s="2">
        <v>46.3</v>
      </c>
    </row>
    <row r="2042" spans="3:6" x14ac:dyDescent="0.25">
      <c r="C2042" s="2" t="s">
        <v>2583</v>
      </c>
      <c r="D2042" s="2" t="s">
        <v>82</v>
      </c>
      <c r="E2042" s="2">
        <v>3</v>
      </c>
      <c r="F2042" s="2">
        <v>57.3</v>
      </c>
    </row>
    <row r="2043" spans="3:6" x14ac:dyDescent="0.25">
      <c r="C2043" s="2" t="s">
        <v>2584</v>
      </c>
      <c r="D2043" s="2" t="s">
        <v>82</v>
      </c>
      <c r="E2043" s="2">
        <v>5</v>
      </c>
      <c r="F2043" s="2">
        <v>75.9</v>
      </c>
    </row>
    <row r="2044" spans="3:6" x14ac:dyDescent="0.25">
      <c r="C2044" s="2" t="s">
        <v>2585</v>
      </c>
      <c r="D2044" s="2" t="s">
        <v>82</v>
      </c>
      <c r="E2044" s="2">
        <v>5</v>
      </c>
      <c r="F2044" s="2">
        <v>66.9</v>
      </c>
    </row>
    <row r="2045" spans="3:6" x14ac:dyDescent="0.25">
      <c r="C2045" s="2" t="s">
        <v>2586</v>
      </c>
      <c r="D2045" s="2" t="s">
        <v>82</v>
      </c>
      <c r="E2045" s="2">
        <v>5</v>
      </c>
      <c r="F2045" s="2">
        <v>72.9</v>
      </c>
    </row>
    <row r="2046" spans="3:6" x14ac:dyDescent="0.25">
      <c r="C2046" s="2" t="s">
        <v>2587</v>
      </c>
      <c r="D2046" s="2" t="s">
        <v>82</v>
      </c>
      <c r="E2046" s="2">
        <v>51</v>
      </c>
      <c r="F2046" s="2">
        <v>1030.16</v>
      </c>
    </row>
    <row r="2047" spans="3:6" x14ac:dyDescent="0.25">
      <c r="C2047" s="2" t="s">
        <v>2588</v>
      </c>
      <c r="D2047" s="2" t="s">
        <v>82</v>
      </c>
      <c r="E2047" s="2">
        <v>65</v>
      </c>
      <c r="F2047" s="2">
        <v>1794.149</v>
      </c>
    </row>
    <row r="2048" spans="3:6" x14ac:dyDescent="0.25">
      <c r="C2048" s="2" t="s">
        <v>2589</v>
      </c>
      <c r="D2048" s="2" t="s">
        <v>82</v>
      </c>
      <c r="E2048" s="2">
        <v>77</v>
      </c>
      <c r="F2048" s="2">
        <v>1679.777</v>
      </c>
    </row>
    <row r="2049" spans="3:6" x14ac:dyDescent="0.25">
      <c r="C2049" s="2" t="s">
        <v>2590</v>
      </c>
      <c r="D2049" s="2" t="s">
        <v>82</v>
      </c>
      <c r="E2049" s="2">
        <v>83</v>
      </c>
      <c r="F2049" s="2">
        <v>2310.716</v>
      </c>
    </row>
    <row r="2050" spans="3:6" x14ac:dyDescent="0.25">
      <c r="C2050" s="2" t="s">
        <v>2591</v>
      </c>
      <c r="D2050" s="2" t="s">
        <v>82</v>
      </c>
      <c r="E2050" s="2">
        <v>97</v>
      </c>
      <c r="F2050" s="2">
        <v>2141.496</v>
      </c>
    </row>
    <row r="2051" spans="3:6" x14ac:dyDescent="0.25">
      <c r="C2051" s="2" t="s">
        <v>2592</v>
      </c>
      <c r="D2051" s="2" t="s">
        <v>82</v>
      </c>
      <c r="E2051" s="2">
        <v>141</v>
      </c>
      <c r="F2051" s="2">
        <v>2797.459</v>
      </c>
    </row>
    <row r="2052" spans="3:6" x14ac:dyDescent="0.25">
      <c r="C2052" s="2" t="s">
        <v>2593</v>
      </c>
      <c r="D2052" s="2" t="s">
        <v>82</v>
      </c>
      <c r="E2052" s="2">
        <v>141</v>
      </c>
      <c r="F2052" s="2">
        <v>2785.079</v>
      </c>
    </row>
    <row r="2053" spans="3:6" x14ac:dyDescent="0.25">
      <c r="C2053" s="2" t="s">
        <v>2594</v>
      </c>
      <c r="D2053" s="2" t="s">
        <v>82</v>
      </c>
      <c r="E2053" s="2">
        <v>141</v>
      </c>
      <c r="F2053" s="2">
        <v>2797.939</v>
      </c>
    </row>
    <row r="2054" spans="3:6" x14ac:dyDescent="0.25">
      <c r="C2054" s="2" t="s">
        <v>2595</v>
      </c>
      <c r="D2054" s="2" t="s">
        <v>82</v>
      </c>
      <c r="E2054" s="2">
        <v>102</v>
      </c>
      <c r="F2054" s="2">
        <v>1909.82</v>
      </c>
    </row>
    <row r="2055" spans="3:6" x14ac:dyDescent="0.25">
      <c r="C2055" s="2" t="s">
        <v>2596</v>
      </c>
      <c r="D2055" s="2" t="s">
        <v>82</v>
      </c>
      <c r="E2055" s="2">
        <v>75</v>
      </c>
      <c r="F2055" s="2">
        <v>1498.999</v>
      </c>
    </row>
    <row r="2056" spans="3:6" x14ac:dyDescent="0.25">
      <c r="C2056" s="2" t="s">
        <v>2597</v>
      </c>
      <c r="D2056" s="2" t="s">
        <v>82</v>
      </c>
      <c r="E2056" s="2">
        <v>50</v>
      </c>
      <c r="F2056" s="2">
        <v>1009.65</v>
      </c>
    </row>
    <row r="2057" spans="3:6" x14ac:dyDescent="0.25">
      <c r="C2057" s="2" t="s">
        <v>2598</v>
      </c>
      <c r="D2057" s="2" t="s">
        <v>82</v>
      </c>
      <c r="E2057" s="2">
        <v>50</v>
      </c>
      <c r="F2057" s="2">
        <v>933.13</v>
      </c>
    </row>
    <row r="2058" spans="3:6" x14ac:dyDescent="0.25">
      <c r="C2058" s="2" t="s">
        <v>2599</v>
      </c>
      <c r="D2058" s="2" t="s">
        <v>82</v>
      </c>
      <c r="E2058" s="2">
        <v>41</v>
      </c>
      <c r="F2058" s="2">
        <v>795.77</v>
      </c>
    </row>
    <row r="2059" spans="3:6" x14ac:dyDescent="0.25">
      <c r="C2059" s="2" t="s">
        <v>2600</v>
      </c>
      <c r="D2059" s="2" t="s">
        <v>82</v>
      </c>
      <c r="E2059" s="2">
        <v>10</v>
      </c>
      <c r="F2059" s="2">
        <v>196.67</v>
      </c>
    </row>
    <row r="2060" spans="3:6" x14ac:dyDescent="0.25">
      <c r="C2060" s="2" t="s">
        <v>2601</v>
      </c>
      <c r="D2060" s="2" t="s">
        <v>82</v>
      </c>
      <c r="E2060" s="2">
        <v>24</v>
      </c>
      <c r="F2060" s="2">
        <v>459.55</v>
      </c>
    </row>
    <row r="2061" spans="3:6" x14ac:dyDescent="0.25">
      <c r="C2061" s="2" t="s">
        <v>2602</v>
      </c>
      <c r="D2061" s="2" t="s">
        <v>82</v>
      </c>
      <c r="E2061" s="2">
        <v>28</v>
      </c>
      <c r="F2061" s="2">
        <v>563.588</v>
      </c>
    </row>
    <row r="2062" spans="3:6" x14ac:dyDescent="0.25">
      <c r="C2062" s="2" t="s">
        <v>2603</v>
      </c>
      <c r="D2062" s="2" t="s">
        <v>82</v>
      </c>
      <c r="E2062" s="2">
        <v>12</v>
      </c>
      <c r="F2062" s="2">
        <v>239.23</v>
      </c>
    </row>
    <row r="2063" spans="3:6" x14ac:dyDescent="0.25">
      <c r="C2063" s="2" t="s">
        <v>2604</v>
      </c>
      <c r="D2063" s="2" t="s">
        <v>82</v>
      </c>
      <c r="E2063" s="2">
        <v>11</v>
      </c>
      <c r="F2063" s="2">
        <v>201.13</v>
      </c>
    </row>
    <row r="2064" spans="3:6" x14ac:dyDescent="0.25">
      <c r="C2064" s="2" t="s">
        <v>2605</v>
      </c>
      <c r="D2064" s="2" t="s">
        <v>82</v>
      </c>
      <c r="E2064" s="2">
        <v>18</v>
      </c>
      <c r="F2064" s="2">
        <v>354.89</v>
      </c>
    </row>
    <row r="2065" spans="3:6" x14ac:dyDescent="0.25">
      <c r="C2065" s="2" t="s">
        <v>2606</v>
      </c>
      <c r="D2065" s="2" t="s">
        <v>82</v>
      </c>
      <c r="E2065" s="2">
        <v>60</v>
      </c>
      <c r="F2065" s="2">
        <v>276.81</v>
      </c>
    </row>
    <row r="2066" spans="3:6" x14ac:dyDescent="0.25">
      <c r="C2066" s="2" t="s">
        <v>2607</v>
      </c>
      <c r="D2066" s="2" t="s">
        <v>82</v>
      </c>
      <c r="E2066" s="2">
        <v>43</v>
      </c>
      <c r="F2066" s="2">
        <v>194.29</v>
      </c>
    </row>
    <row r="2067" spans="3:6" x14ac:dyDescent="0.25">
      <c r="C2067" s="2" t="s">
        <v>2608</v>
      </c>
      <c r="D2067" s="2" t="s">
        <v>82</v>
      </c>
      <c r="E2067" s="2">
        <v>35</v>
      </c>
      <c r="F2067" s="2">
        <v>613.109</v>
      </c>
    </row>
    <row r="2068" spans="3:6" x14ac:dyDescent="0.25">
      <c r="C2068" s="2" t="s">
        <v>2609</v>
      </c>
      <c r="D2068" s="2" t="s">
        <v>82</v>
      </c>
      <c r="E2068" s="2">
        <v>24</v>
      </c>
      <c r="F2068" s="2">
        <v>479.49</v>
      </c>
    </row>
    <row r="2069" spans="3:6" x14ac:dyDescent="0.25">
      <c r="C2069" s="2" t="s">
        <v>2610</v>
      </c>
      <c r="D2069" s="2" t="s">
        <v>82</v>
      </c>
      <c r="E2069" s="2">
        <v>27</v>
      </c>
      <c r="F2069" s="2">
        <v>502.85</v>
      </c>
    </row>
    <row r="2070" spans="3:6" x14ac:dyDescent="0.25">
      <c r="C2070" s="2" t="s">
        <v>2611</v>
      </c>
      <c r="D2070" s="2" t="s">
        <v>82</v>
      </c>
      <c r="E2070" s="2">
        <v>16</v>
      </c>
      <c r="F2070" s="2">
        <v>322.84</v>
      </c>
    </row>
    <row r="2071" spans="3:6" x14ac:dyDescent="0.25">
      <c r="C2071" s="2" t="s">
        <v>2612</v>
      </c>
      <c r="D2071" s="2" t="s">
        <v>82</v>
      </c>
      <c r="E2071" s="2">
        <v>68</v>
      </c>
      <c r="F2071" s="2">
        <v>1386.25</v>
      </c>
    </row>
    <row r="2072" spans="3:6" x14ac:dyDescent="0.25">
      <c r="C2072" s="2" t="s">
        <v>2613</v>
      </c>
      <c r="D2072" s="2" t="s">
        <v>82</v>
      </c>
      <c r="E2072" s="2">
        <v>23</v>
      </c>
      <c r="F2072" s="2">
        <v>221.678</v>
      </c>
    </row>
    <row r="2073" spans="3:6" x14ac:dyDescent="0.25">
      <c r="C2073" s="2" t="s">
        <v>2614</v>
      </c>
      <c r="D2073" s="2" t="s">
        <v>82</v>
      </c>
      <c r="E2073" s="2">
        <v>70</v>
      </c>
      <c r="F2073" s="2">
        <v>1448.97</v>
      </c>
    </row>
    <row r="2074" spans="3:6" x14ac:dyDescent="0.25">
      <c r="C2074" s="2" t="s">
        <v>2615</v>
      </c>
      <c r="D2074" s="2" t="s">
        <v>82</v>
      </c>
      <c r="E2074" s="2">
        <v>32</v>
      </c>
      <c r="F2074" s="2">
        <v>653.68</v>
      </c>
    </row>
    <row r="2075" spans="3:6" x14ac:dyDescent="0.25">
      <c r="C2075" s="2" t="s">
        <v>2616</v>
      </c>
      <c r="D2075" s="2" t="s">
        <v>82</v>
      </c>
      <c r="E2075" s="2">
        <v>40</v>
      </c>
      <c r="F2075" s="2">
        <v>791.1</v>
      </c>
    </row>
    <row r="2076" spans="3:6" x14ac:dyDescent="0.25">
      <c r="C2076" s="2" t="s">
        <v>2617</v>
      </c>
      <c r="D2076" s="2" t="s">
        <v>82</v>
      </c>
      <c r="E2076" s="2">
        <v>16</v>
      </c>
      <c r="F2076" s="2">
        <v>333.48</v>
      </c>
    </row>
    <row r="2077" spans="3:6" x14ac:dyDescent="0.25">
      <c r="C2077" s="2" t="s">
        <v>2618</v>
      </c>
      <c r="D2077" s="2" t="s">
        <v>82</v>
      </c>
      <c r="E2077" s="2">
        <v>64</v>
      </c>
      <c r="F2077" s="2">
        <v>1278.16</v>
      </c>
    </row>
    <row r="2078" spans="3:6" x14ac:dyDescent="0.25">
      <c r="C2078" s="2" t="s">
        <v>2619</v>
      </c>
      <c r="D2078" s="2" t="s">
        <v>82</v>
      </c>
      <c r="E2078" s="2">
        <v>14</v>
      </c>
      <c r="F2078" s="2">
        <v>281.02</v>
      </c>
    </row>
    <row r="2079" spans="3:6" x14ac:dyDescent="0.25">
      <c r="C2079" s="2" t="s">
        <v>2620</v>
      </c>
      <c r="D2079" s="2" t="s">
        <v>82</v>
      </c>
      <c r="E2079" s="2">
        <v>55</v>
      </c>
      <c r="F2079" s="2">
        <v>238.529</v>
      </c>
    </row>
    <row r="2080" spans="3:6" x14ac:dyDescent="0.25">
      <c r="C2080" s="2" t="s">
        <v>2621</v>
      </c>
      <c r="D2080" s="2" t="s">
        <v>82</v>
      </c>
      <c r="E2080" s="2">
        <v>120</v>
      </c>
      <c r="F2080" s="2">
        <v>2353.489</v>
      </c>
    </row>
    <row r="2081" spans="3:6" x14ac:dyDescent="0.25">
      <c r="C2081" s="2" t="s">
        <v>2622</v>
      </c>
      <c r="D2081" s="2" t="s">
        <v>82</v>
      </c>
      <c r="E2081" s="2">
        <v>21</v>
      </c>
      <c r="F2081" s="2">
        <v>402.94</v>
      </c>
    </row>
    <row r="2082" spans="3:6" x14ac:dyDescent="0.25">
      <c r="C2082" s="2" t="s">
        <v>2623</v>
      </c>
      <c r="D2082" s="2" t="s">
        <v>82</v>
      </c>
      <c r="E2082" s="2">
        <v>118</v>
      </c>
      <c r="F2082" s="2">
        <v>2366.55</v>
      </c>
    </row>
    <row r="2083" spans="3:6" x14ac:dyDescent="0.25">
      <c r="C2083" s="2" t="s">
        <v>2624</v>
      </c>
      <c r="D2083" s="2" t="s">
        <v>82</v>
      </c>
      <c r="E2083" s="2">
        <v>23</v>
      </c>
      <c r="F2083" s="2">
        <v>445.95</v>
      </c>
    </row>
    <row r="2084" spans="3:6" x14ac:dyDescent="0.25">
      <c r="C2084" s="2" t="s">
        <v>2625</v>
      </c>
      <c r="D2084" s="2" t="s">
        <v>82</v>
      </c>
      <c r="E2084" s="2">
        <v>34</v>
      </c>
      <c r="F2084" s="2">
        <v>658.55</v>
      </c>
    </row>
    <row r="2085" spans="3:6" x14ac:dyDescent="0.25">
      <c r="C2085" s="2" t="s">
        <v>2626</v>
      </c>
      <c r="D2085" s="2" t="s">
        <v>82</v>
      </c>
      <c r="E2085" s="2">
        <v>35</v>
      </c>
      <c r="F2085" s="2">
        <v>707.8</v>
      </c>
    </row>
    <row r="2086" spans="3:6" x14ac:dyDescent="0.25">
      <c r="C2086" s="2" t="s">
        <v>2627</v>
      </c>
      <c r="D2086" s="2" t="s">
        <v>82</v>
      </c>
      <c r="E2086" s="2">
        <v>40</v>
      </c>
      <c r="F2086" s="2">
        <v>771.87</v>
      </c>
    </row>
    <row r="2087" spans="3:6" x14ac:dyDescent="0.25">
      <c r="C2087" s="2" t="s">
        <v>2628</v>
      </c>
      <c r="D2087" s="2" t="s">
        <v>82</v>
      </c>
      <c r="E2087" s="2">
        <v>32</v>
      </c>
      <c r="F2087" s="2">
        <v>625.37</v>
      </c>
    </row>
    <row r="2088" spans="3:6" x14ac:dyDescent="0.25">
      <c r="C2088" s="2" t="s">
        <v>2629</v>
      </c>
      <c r="D2088" s="2" t="s">
        <v>82</v>
      </c>
      <c r="E2088" s="2">
        <v>141</v>
      </c>
      <c r="F2088" s="2">
        <v>2766.64</v>
      </c>
    </row>
    <row r="2089" spans="3:6" x14ac:dyDescent="0.25">
      <c r="C2089" s="2" t="s">
        <v>2630</v>
      </c>
      <c r="D2089" s="2" t="s">
        <v>82</v>
      </c>
      <c r="E2089" s="2">
        <v>47</v>
      </c>
      <c r="F2089" s="2">
        <v>896.41</v>
      </c>
    </row>
    <row r="2090" spans="3:6" x14ac:dyDescent="0.25">
      <c r="C2090" s="2" t="s">
        <v>2631</v>
      </c>
      <c r="D2090" s="2" t="s">
        <v>82</v>
      </c>
      <c r="E2090" s="2">
        <v>47</v>
      </c>
      <c r="F2090" s="2">
        <v>949.96</v>
      </c>
    </row>
    <row r="2091" spans="3:6" x14ac:dyDescent="0.25">
      <c r="C2091" s="2" t="s">
        <v>2632</v>
      </c>
      <c r="D2091" s="2" t="s">
        <v>82</v>
      </c>
      <c r="E2091" s="2">
        <v>27</v>
      </c>
      <c r="F2091" s="2">
        <v>483.35</v>
      </c>
    </row>
    <row r="2092" spans="3:6" x14ac:dyDescent="0.25">
      <c r="C2092" s="2" t="s">
        <v>2633</v>
      </c>
      <c r="D2092" s="2" t="s">
        <v>82</v>
      </c>
      <c r="E2092" s="2">
        <v>20</v>
      </c>
      <c r="F2092" s="2">
        <v>373.19</v>
      </c>
    </row>
    <row r="2093" spans="3:6" x14ac:dyDescent="0.25">
      <c r="C2093" s="2" t="s">
        <v>2634</v>
      </c>
      <c r="D2093" s="2" t="s">
        <v>82</v>
      </c>
      <c r="E2093" s="2">
        <v>102</v>
      </c>
      <c r="F2093" s="2">
        <v>1977.628</v>
      </c>
    </row>
    <row r="2094" spans="3:6" x14ac:dyDescent="0.25">
      <c r="C2094" s="2" t="s">
        <v>2635</v>
      </c>
      <c r="D2094" s="2" t="s">
        <v>82</v>
      </c>
      <c r="E2094" s="2">
        <v>39</v>
      </c>
      <c r="F2094" s="2">
        <v>736.18</v>
      </c>
    </row>
    <row r="2095" spans="3:6" x14ac:dyDescent="0.25">
      <c r="C2095" s="2" t="s">
        <v>2636</v>
      </c>
      <c r="D2095" s="2" t="s">
        <v>82</v>
      </c>
      <c r="E2095" s="2">
        <v>66</v>
      </c>
      <c r="F2095" s="2">
        <v>1161.87</v>
      </c>
    </row>
    <row r="2096" spans="3:6" x14ac:dyDescent="0.25">
      <c r="C2096" s="2" t="s">
        <v>2637</v>
      </c>
      <c r="D2096" s="2" t="s">
        <v>82</v>
      </c>
      <c r="E2096" s="2">
        <v>31</v>
      </c>
      <c r="F2096" s="2">
        <v>574.98</v>
      </c>
    </row>
    <row r="2097" spans="3:6" x14ac:dyDescent="0.25">
      <c r="C2097" s="2" t="s">
        <v>2638</v>
      </c>
      <c r="D2097" s="2" t="s">
        <v>82</v>
      </c>
      <c r="E2097" s="2">
        <v>29</v>
      </c>
      <c r="F2097" s="2">
        <v>458.209</v>
      </c>
    </row>
    <row r="2098" spans="3:6" x14ac:dyDescent="0.25">
      <c r="C2098" s="2" t="s">
        <v>2639</v>
      </c>
      <c r="D2098" s="2" t="s">
        <v>82</v>
      </c>
      <c r="E2098" s="2">
        <v>15</v>
      </c>
      <c r="F2098" s="2">
        <v>246.52</v>
      </c>
    </row>
    <row r="2100" spans="1:7" x14ac:dyDescent="0.25">
      <c r="A2100" s="1">
        <v>46223</v>
      </c>
      <c r="B2100" s="2" t="s">
        <v>290</v>
      </c>
      <c r="C2100" s="2" t="s">
        <v>2640</v>
      </c>
      <c r="D2100" s="2" t="s">
        <v>292</v>
      </c>
      <c r="E2100" s="2">
        <v>18</v>
      </c>
      <c r="F2100" s="2">
        <v>359.54</v>
      </c>
      <c r="G2100" s="1">
        <v>46224</v>
      </c>
    </row>
    <row r="2101" spans="3:6" x14ac:dyDescent="0.25">
      <c r="C2101" s="2" t="s">
        <v>2641</v>
      </c>
      <c r="D2101" s="2" t="s">
        <v>292</v>
      </c>
      <c r="E2101" s="2">
        <v>63</v>
      </c>
      <c r="F2101" s="2">
        <v>1238.78</v>
      </c>
    </row>
    <row r="2102" spans="3:6" x14ac:dyDescent="0.25">
      <c r="C2102" s="2" t="s">
        <v>2642</v>
      </c>
      <c r="D2102" s="2" t="s">
        <v>292</v>
      </c>
      <c r="E2102" s="2">
        <v>65</v>
      </c>
      <c r="F2102" s="2">
        <v>1209.559</v>
      </c>
    </row>
    <row r="2103" spans="3:6" x14ac:dyDescent="0.25">
      <c r="C2103" s="2" t="s">
        <v>2643</v>
      </c>
      <c r="D2103" s="2" t="s">
        <v>292</v>
      </c>
      <c r="E2103" s="2">
        <v>60</v>
      </c>
      <c r="F2103" s="2">
        <v>1112.94</v>
      </c>
    </row>
    <row r="2104" spans="3:6" x14ac:dyDescent="0.25">
      <c r="C2104" s="2" t="s">
        <v>2644</v>
      </c>
      <c r="D2104" s="2" t="s">
        <v>292</v>
      </c>
      <c r="E2104" s="2">
        <v>141</v>
      </c>
      <c r="F2104" s="2">
        <v>2833.45</v>
      </c>
    </row>
    <row r="2105" spans="3:6" x14ac:dyDescent="0.25">
      <c r="C2105" s="2" t="s">
        <v>2645</v>
      </c>
      <c r="D2105" s="2" t="s">
        <v>292</v>
      </c>
      <c r="E2105" s="2">
        <v>141</v>
      </c>
      <c r="F2105" s="2">
        <v>2717.179</v>
      </c>
    </row>
    <row r="2106" spans="3:6" x14ac:dyDescent="0.25">
      <c r="C2106" s="2" t="s">
        <v>2646</v>
      </c>
      <c r="D2106" s="2" t="s">
        <v>292</v>
      </c>
      <c r="E2106" s="2">
        <v>141</v>
      </c>
      <c r="F2106" s="2">
        <v>2582.369</v>
      </c>
    </row>
    <row r="2107" spans="3:6" x14ac:dyDescent="0.25">
      <c r="C2107" s="2" t="s">
        <v>2647</v>
      </c>
      <c r="D2107" s="2" t="s">
        <v>292</v>
      </c>
      <c r="E2107" s="2">
        <v>141</v>
      </c>
      <c r="F2107" s="2">
        <v>2931.71</v>
      </c>
    </row>
    <row r="2108" spans="3:6" x14ac:dyDescent="0.25">
      <c r="C2108" s="2" t="s">
        <v>2648</v>
      </c>
      <c r="D2108" s="2" t="s">
        <v>292</v>
      </c>
      <c r="E2108" s="2">
        <v>123</v>
      </c>
      <c r="F2108" s="2">
        <v>2706.93</v>
      </c>
    </row>
    <row r="2109" spans="3:6" x14ac:dyDescent="0.25">
      <c r="C2109" s="2" t="s">
        <v>2649</v>
      </c>
      <c r="D2109" s="2" t="s">
        <v>292</v>
      </c>
      <c r="E2109" s="2">
        <v>123</v>
      </c>
      <c r="F2109" s="2">
        <v>2635.93</v>
      </c>
    </row>
    <row r="2110" spans="3:6" x14ac:dyDescent="0.25">
      <c r="C2110" s="2" t="s">
        <v>2650</v>
      </c>
      <c r="D2110" s="2" t="s">
        <v>292</v>
      </c>
      <c r="E2110" s="2">
        <v>45</v>
      </c>
      <c r="F2110" s="2">
        <v>219.23</v>
      </c>
    </row>
    <row r="2111" spans="3:6" x14ac:dyDescent="0.25">
      <c r="C2111" s="2" t="s">
        <v>2651</v>
      </c>
      <c r="D2111" s="2" t="s">
        <v>292</v>
      </c>
      <c r="E2111" s="2">
        <v>50</v>
      </c>
      <c r="F2111" s="2">
        <v>240.209</v>
      </c>
    </row>
    <row r="2112" spans="3:6" x14ac:dyDescent="0.25">
      <c r="C2112" s="2" t="s">
        <v>2652</v>
      </c>
      <c r="D2112" s="2" t="s">
        <v>292</v>
      </c>
      <c r="E2112" s="2">
        <v>12</v>
      </c>
      <c r="F2112" s="2">
        <v>253.54</v>
      </c>
    </row>
    <row r="2113" spans="3:6" x14ac:dyDescent="0.25">
      <c r="C2113" s="2" t="s">
        <v>2653</v>
      </c>
      <c r="D2113" s="2" t="s">
        <v>292</v>
      </c>
      <c r="E2113" s="2">
        <v>41</v>
      </c>
      <c r="F2113" s="2">
        <v>786.04</v>
      </c>
    </row>
    <row r="2114" spans="3:6" x14ac:dyDescent="0.25">
      <c r="C2114" s="2" t="s">
        <v>2654</v>
      </c>
      <c r="D2114" s="2" t="s">
        <v>292</v>
      </c>
      <c r="E2114" s="2">
        <v>60</v>
      </c>
      <c r="F2114" s="2">
        <v>1229.21</v>
      </c>
    </row>
    <row r="2115" spans="3:6" x14ac:dyDescent="0.25">
      <c r="C2115" s="2" t="s">
        <v>2655</v>
      </c>
      <c r="D2115" s="2" t="s">
        <v>292</v>
      </c>
      <c r="E2115" s="2">
        <v>41</v>
      </c>
      <c r="F2115" s="2">
        <v>813.73</v>
      </c>
    </row>
    <row r="2116" spans="3:6" x14ac:dyDescent="0.25">
      <c r="C2116" s="2" t="s">
        <v>2656</v>
      </c>
      <c r="D2116" s="2" t="s">
        <v>292</v>
      </c>
      <c r="E2116" s="2">
        <v>64</v>
      </c>
      <c r="F2116" s="2">
        <v>1220.16</v>
      </c>
    </row>
    <row r="2117" spans="3:6" x14ac:dyDescent="0.25">
      <c r="C2117" s="2" t="s">
        <v>2657</v>
      </c>
      <c r="D2117" s="2" t="s">
        <v>292</v>
      </c>
      <c r="E2117" s="2">
        <v>13</v>
      </c>
      <c r="F2117" s="2">
        <v>110.85</v>
      </c>
    </row>
    <row r="2118" spans="3:6" x14ac:dyDescent="0.25">
      <c r="C2118" s="2" t="s">
        <v>2658</v>
      </c>
      <c r="D2118" s="2" t="s">
        <v>292</v>
      </c>
      <c r="E2118" s="2">
        <v>12</v>
      </c>
      <c r="F2118" s="2">
        <v>208.08</v>
      </c>
    </row>
    <row r="2119" spans="3:6" x14ac:dyDescent="0.25">
      <c r="C2119" s="2" t="s">
        <v>2659</v>
      </c>
      <c r="D2119" s="2" t="s">
        <v>292</v>
      </c>
      <c r="E2119" s="2">
        <v>15</v>
      </c>
      <c r="F2119" s="2">
        <v>262.199</v>
      </c>
    </row>
    <row r="2120" spans="3:6" x14ac:dyDescent="0.25">
      <c r="C2120" s="2" t="s">
        <v>2660</v>
      </c>
      <c r="D2120" s="2" t="s">
        <v>292</v>
      </c>
      <c r="E2120" s="2">
        <v>77</v>
      </c>
      <c r="F2120" s="2">
        <v>1489.54</v>
      </c>
    </row>
    <row r="2121" spans="3:6" x14ac:dyDescent="0.25">
      <c r="C2121" s="2" t="s">
        <v>2661</v>
      </c>
      <c r="D2121" s="2" t="s">
        <v>292</v>
      </c>
      <c r="E2121" s="2">
        <v>117</v>
      </c>
      <c r="F2121" s="2">
        <v>2258.25</v>
      </c>
    </row>
    <row r="2122" spans="3:6" x14ac:dyDescent="0.25">
      <c r="C2122" s="2" t="s">
        <v>2662</v>
      </c>
      <c r="D2122" s="2" t="s">
        <v>292</v>
      </c>
      <c r="E2122" s="2">
        <v>17</v>
      </c>
      <c r="F2122" s="2">
        <v>342.53</v>
      </c>
    </row>
    <row r="2123" spans="3:6" x14ac:dyDescent="0.25">
      <c r="C2123" s="2" t="s">
        <v>2663</v>
      </c>
      <c r="D2123" s="2" t="s">
        <v>292</v>
      </c>
      <c r="E2123" s="2">
        <v>10</v>
      </c>
      <c r="F2123" s="2">
        <v>202.56</v>
      </c>
    </row>
    <row r="2124" spans="3:6" x14ac:dyDescent="0.25">
      <c r="C2124" s="2" t="s">
        <v>2664</v>
      </c>
      <c r="D2124" s="2" t="s">
        <v>292</v>
      </c>
      <c r="E2124" s="2">
        <v>65</v>
      </c>
      <c r="F2124" s="2">
        <v>1276.13</v>
      </c>
    </row>
    <row r="2125" spans="3:6" x14ac:dyDescent="0.25">
      <c r="C2125" s="2" t="s">
        <v>2665</v>
      </c>
      <c r="D2125" s="2" t="s">
        <v>292</v>
      </c>
      <c r="E2125" s="2">
        <v>85</v>
      </c>
      <c r="F2125" s="2">
        <v>1568.3</v>
      </c>
    </row>
    <row r="2126" spans="3:6" x14ac:dyDescent="0.25">
      <c r="C2126" s="2" t="s">
        <v>2666</v>
      </c>
      <c r="D2126" s="2" t="s">
        <v>292</v>
      </c>
      <c r="E2126" s="2">
        <v>56</v>
      </c>
      <c r="F2126" s="2">
        <v>1203.61</v>
      </c>
    </row>
    <row r="2127" spans="3:6" x14ac:dyDescent="0.25">
      <c r="C2127" s="2" t="s">
        <v>2667</v>
      </c>
      <c r="D2127" s="2" t="s">
        <v>292</v>
      </c>
      <c r="E2127" s="2">
        <v>51</v>
      </c>
      <c r="F2127" s="2">
        <v>1001.76</v>
      </c>
    </row>
    <row r="2128" spans="3:6" x14ac:dyDescent="0.25">
      <c r="C2128" s="2" t="s">
        <v>2668</v>
      </c>
      <c r="D2128" s="2" t="s">
        <v>292</v>
      </c>
      <c r="E2128" s="2">
        <v>64</v>
      </c>
      <c r="F2128" s="2">
        <v>1163.228</v>
      </c>
    </row>
    <row r="2129" spans="3:6" x14ac:dyDescent="0.25">
      <c r="C2129" s="2" t="s">
        <v>2669</v>
      </c>
      <c r="D2129" s="2" t="s">
        <v>292</v>
      </c>
      <c r="E2129" s="2">
        <v>26</v>
      </c>
      <c r="F2129" s="2">
        <v>475.93</v>
      </c>
    </row>
    <row r="2130" spans="3:6" x14ac:dyDescent="0.25">
      <c r="C2130" s="2" t="s">
        <v>2670</v>
      </c>
      <c r="D2130" s="2" t="s">
        <v>292</v>
      </c>
      <c r="E2130" s="2">
        <v>100</v>
      </c>
      <c r="F2130" s="2">
        <v>1918.35</v>
      </c>
    </row>
    <row r="2131" spans="3:6" x14ac:dyDescent="0.25">
      <c r="C2131" s="2" t="s">
        <v>2671</v>
      </c>
      <c r="D2131" s="2" t="s">
        <v>292</v>
      </c>
      <c r="E2131" s="2">
        <v>65</v>
      </c>
      <c r="F2131" s="2">
        <v>1410.27</v>
      </c>
    </row>
    <row r="2132" spans="3:6" x14ac:dyDescent="0.25">
      <c r="C2132" s="2" t="s">
        <v>2672</v>
      </c>
      <c r="D2132" s="2" t="s">
        <v>292</v>
      </c>
      <c r="E2132" s="2">
        <v>78</v>
      </c>
      <c r="F2132" s="2">
        <v>1530.01</v>
      </c>
    </row>
    <row r="2133" spans="3:6" x14ac:dyDescent="0.25">
      <c r="C2133" s="2" t="s">
        <v>2673</v>
      </c>
      <c r="D2133" s="2" t="s">
        <v>292</v>
      </c>
      <c r="E2133" s="2">
        <v>116</v>
      </c>
      <c r="F2133" s="2">
        <v>2529.68</v>
      </c>
    </row>
    <row r="2134" spans="3:6" x14ac:dyDescent="0.25">
      <c r="C2134" s="2" t="s">
        <v>2674</v>
      </c>
      <c r="D2134" s="2" t="s">
        <v>292</v>
      </c>
      <c r="E2134" s="2">
        <v>25</v>
      </c>
      <c r="F2134" s="2">
        <v>503.58</v>
      </c>
    </row>
    <row r="2135" spans="3:6" x14ac:dyDescent="0.25">
      <c r="C2135" s="2" t="s">
        <v>2675</v>
      </c>
      <c r="D2135" s="2" t="s">
        <v>292</v>
      </c>
      <c r="E2135" s="2">
        <v>45</v>
      </c>
      <c r="F2135" s="2">
        <v>214.7</v>
      </c>
    </row>
    <row r="2136" spans="3:6" x14ac:dyDescent="0.25">
      <c r="C2136" s="2" t="s">
        <v>2676</v>
      </c>
      <c r="D2136" s="2" t="s">
        <v>292</v>
      </c>
      <c r="E2136" s="2">
        <v>141</v>
      </c>
      <c r="F2136" s="2">
        <v>2695.34</v>
      </c>
    </row>
    <row r="2137" spans="3:6" x14ac:dyDescent="0.25">
      <c r="C2137" s="2" t="s">
        <v>2677</v>
      </c>
      <c r="D2137" s="2" t="s">
        <v>292</v>
      </c>
      <c r="E2137" s="2">
        <v>47</v>
      </c>
      <c r="F2137" s="2">
        <v>1052.72</v>
      </c>
    </row>
    <row r="2138" spans="3:6" x14ac:dyDescent="0.25">
      <c r="C2138" s="2" t="s">
        <v>2678</v>
      </c>
      <c r="D2138" s="2" t="s">
        <v>292</v>
      </c>
      <c r="E2138" s="2">
        <v>42</v>
      </c>
      <c r="F2138" s="2">
        <v>841.45</v>
      </c>
    </row>
    <row r="2139" spans="3:6" x14ac:dyDescent="0.25">
      <c r="C2139" s="2" t="s">
        <v>2679</v>
      </c>
      <c r="D2139" s="2" t="s">
        <v>292</v>
      </c>
      <c r="E2139" s="2">
        <v>67</v>
      </c>
      <c r="F2139" s="2">
        <v>1328.08</v>
      </c>
    </row>
    <row r="2140" spans="3:6" x14ac:dyDescent="0.25">
      <c r="C2140" s="2" t="s">
        <v>2680</v>
      </c>
      <c r="D2140" s="2" t="s">
        <v>292</v>
      </c>
      <c r="E2140" s="2">
        <v>60</v>
      </c>
      <c r="F2140" s="2">
        <v>305.15</v>
      </c>
    </row>
    <row r="2141" spans="3:6" x14ac:dyDescent="0.25">
      <c r="C2141" s="2" t="s">
        <v>2681</v>
      </c>
      <c r="D2141" s="2" t="s">
        <v>292</v>
      </c>
      <c r="E2141" s="2">
        <v>9</v>
      </c>
      <c r="F2141" s="2">
        <v>114.79</v>
      </c>
    </row>
    <row r="2142" spans="3:6" x14ac:dyDescent="0.25">
      <c r="C2142" s="2" t="s">
        <v>2682</v>
      </c>
      <c r="D2142" s="2" t="s">
        <v>292</v>
      </c>
      <c r="E2142" s="2">
        <v>92</v>
      </c>
      <c r="F2142" s="2">
        <v>1884.792</v>
      </c>
    </row>
    <row r="2143" spans="3:6" x14ac:dyDescent="0.25">
      <c r="C2143" s="2" t="s">
        <v>2683</v>
      </c>
      <c r="D2143" s="2" t="s">
        <v>292</v>
      </c>
      <c r="E2143" s="2">
        <v>32</v>
      </c>
      <c r="F2143" s="2">
        <v>658.81</v>
      </c>
    </row>
    <row r="2144" spans="3:6" x14ac:dyDescent="0.25">
      <c r="C2144" s="2" t="s">
        <v>2684</v>
      </c>
      <c r="D2144" s="2" t="s">
        <v>292</v>
      </c>
      <c r="E2144" s="2">
        <v>40</v>
      </c>
      <c r="F2144" s="2">
        <v>747.049</v>
      </c>
    </row>
    <row r="2145" spans="3:6" x14ac:dyDescent="0.25">
      <c r="C2145" s="2" t="s">
        <v>2685</v>
      </c>
      <c r="D2145" s="2" t="s">
        <v>292</v>
      </c>
      <c r="E2145" s="2">
        <v>40</v>
      </c>
      <c r="F2145" s="2">
        <v>823.6</v>
      </c>
    </row>
    <row r="2146" spans="3:6" x14ac:dyDescent="0.25">
      <c r="C2146" s="2" t="s">
        <v>2686</v>
      </c>
      <c r="D2146" s="2" t="s">
        <v>292</v>
      </c>
      <c r="E2146" s="2">
        <v>70</v>
      </c>
      <c r="F2146" s="2">
        <v>1415.769</v>
      </c>
    </row>
    <row r="2147" spans="3:6" x14ac:dyDescent="0.25">
      <c r="C2147" s="2" t="s">
        <v>2687</v>
      </c>
      <c r="D2147" s="2" t="s">
        <v>292</v>
      </c>
      <c r="E2147" s="2">
        <v>36</v>
      </c>
      <c r="F2147" s="2">
        <v>723.21</v>
      </c>
    </row>
    <row r="2148" spans="3:6" x14ac:dyDescent="0.25">
      <c r="C2148" s="2" t="s">
        <v>2688</v>
      </c>
      <c r="D2148" s="2" t="s">
        <v>292</v>
      </c>
      <c r="E2148" s="2">
        <v>13</v>
      </c>
      <c r="F2148" s="2">
        <v>223.62</v>
      </c>
    </row>
    <row r="2149" spans="3:6" x14ac:dyDescent="0.25">
      <c r="C2149" s="2" t="s">
        <v>2689</v>
      </c>
      <c r="D2149" s="2" t="s">
        <v>292</v>
      </c>
      <c r="E2149" s="2">
        <v>11</v>
      </c>
      <c r="F2149" s="2">
        <v>220.99</v>
      </c>
    </row>
    <row r="2150" spans="3:6" x14ac:dyDescent="0.25">
      <c r="C2150" s="2" t="s">
        <v>2690</v>
      </c>
      <c r="D2150" s="2" t="s">
        <v>292</v>
      </c>
      <c r="E2150" s="2">
        <v>30</v>
      </c>
      <c r="F2150" s="2">
        <v>603.96</v>
      </c>
    </row>
    <row r="2151" spans="3:6" x14ac:dyDescent="0.25">
      <c r="C2151" s="2" t="s">
        <v>2691</v>
      </c>
      <c r="D2151" s="2" t="s">
        <v>292</v>
      </c>
      <c r="E2151" s="2">
        <v>64</v>
      </c>
      <c r="F2151" s="2">
        <v>1238.54</v>
      </c>
    </row>
    <row r="2152" spans="3:6" x14ac:dyDescent="0.25">
      <c r="C2152" s="2" t="s">
        <v>2692</v>
      </c>
      <c r="D2152" s="2" t="s">
        <v>292</v>
      </c>
      <c r="E2152" s="2">
        <v>112</v>
      </c>
      <c r="F2152" s="2">
        <v>1999.17</v>
      </c>
    </row>
    <row r="2153" spans="3:6" x14ac:dyDescent="0.25">
      <c r="C2153" s="2" t="s">
        <v>2693</v>
      </c>
      <c r="D2153" s="2" t="s">
        <v>292</v>
      </c>
      <c r="E2153" s="2">
        <v>109</v>
      </c>
      <c r="F2153" s="2">
        <v>2411.77</v>
      </c>
    </row>
    <row r="2154" spans="3:6" x14ac:dyDescent="0.25">
      <c r="C2154" s="2" t="s">
        <v>2694</v>
      </c>
      <c r="D2154" s="2" t="s">
        <v>292</v>
      </c>
      <c r="E2154" s="2">
        <v>10</v>
      </c>
      <c r="F2154" s="2">
        <v>162.31</v>
      </c>
    </row>
    <row r="2155" spans="3:6" x14ac:dyDescent="0.25">
      <c r="C2155" s="2" t="s">
        <v>2695</v>
      </c>
      <c r="D2155" s="2" t="s">
        <v>292</v>
      </c>
      <c r="E2155" s="2">
        <v>32</v>
      </c>
      <c r="F2155" s="2">
        <v>542.01</v>
      </c>
    </row>
    <row r="2156" spans="3:6" x14ac:dyDescent="0.25">
      <c r="C2156" s="2" t="s">
        <v>2696</v>
      </c>
      <c r="D2156" s="2" t="s">
        <v>292</v>
      </c>
      <c r="E2156" s="2">
        <v>31</v>
      </c>
      <c r="F2156" s="2">
        <v>394.99</v>
      </c>
    </row>
    <row r="2157" spans="3:6" x14ac:dyDescent="0.25">
      <c r="C2157" s="2" t="s">
        <v>2697</v>
      </c>
      <c r="D2157" s="2" t="s">
        <v>292</v>
      </c>
      <c r="E2157" s="2">
        <v>27</v>
      </c>
      <c r="F2157" s="2">
        <v>490.91</v>
      </c>
    </row>
    <row r="2158" spans="3:6" x14ac:dyDescent="0.25">
      <c r="C2158" s="2" t="s">
        <v>2698</v>
      </c>
      <c r="D2158" s="2" t="s">
        <v>292</v>
      </c>
      <c r="E2158" s="2">
        <v>100</v>
      </c>
      <c r="F2158" s="2">
        <v>1710.903</v>
      </c>
    </row>
    <row r="2160" spans="1:7" x14ac:dyDescent="0.25">
      <c r="A2160" s="1">
        <v>46223</v>
      </c>
      <c r="B2160" s="2" t="s">
        <v>7</v>
      </c>
      <c r="C2160" s="2" t="s">
        <v>2699</v>
      </c>
      <c r="D2160" s="2" t="s">
        <v>9</v>
      </c>
      <c r="E2160" s="2">
        <v>99</v>
      </c>
      <c r="F2160" s="2">
        <v>1857.619</v>
      </c>
      <c r="G2160" s="1">
        <v>46224</v>
      </c>
    </row>
    <row r="2161" spans="3:6" x14ac:dyDescent="0.25">
      <c r="C2161" s="2" t="s">
        <v>2700</v>
      </c>
      <c r="D2161" s="2" t="s">
        <v>9</v>
      </c>
      <c r="E2161" s="2">
        <v>99</v>
      </c>
      <c r="F2161" s="2">
        <v>1877.06</v>
      </c>
    </row>
    <row r="2163" spans="1:7" x14ac:dyDescent="0.25">
      <c r="A2163" s="1">
        <v>46223</v>
      </c>
      <c r="B2163" s="2" t="s">
        <v>128</v>
      </c>
      <c r="C2163" s="2" t="s">
        <v>2701</v>
      </c>
      <c r="D2163" s="2" t="s">
        <v>42</v>
      </c>
      <c r="E2163" s="2">
        <v>56</v>
      </c>
      <c r="F2163" s="2">
        <v>1027.919</v>
      </c>
      <c r="G2163" s="1">
        <v>46224</v>
      </c>
    </row>
    <row r="2164" spans="3:6" x14ac:dyDescent="0.25">
      <c r="C2164" s="2" t="s">
        <v>2702</v>
      </c>
      <c r="D2164" s="2" t="s">
        <v>42</v>
      </c>
      <c r="E2164" s="2">
        <v>100</v>
      </c>
      <c r="F2164" s="2">
        <v>1908.249</v>
      </c>
    </row>
    <row r="2165" spans="3:6" x14ac:dyDescent="0.25">
      <c r="C2165" s="2" t="s">
        <v>2703</v>
      </c>
      <c r="D2165" s="2" t="s">
        <v>30</v>
      </c>
      <c r="E2165" s="2">
        <v>134</v>
      </c>
      <c r="F2165" s="2">
        <v>2644.669</v>
      </c>
    </row>
    <row r="2166" spans="3:6" x14ac:dyDescent="0.25">
      <c r="C2166" s="2" t="s">
        <v>2704</v>
      </c>
      <c r="D2166" s="2" t="s">
        <v>30</v>
      </c>
      <c r="E2166" s="2">
        <v>134</v>
      </c>
      <c r="F2166" s="2">
        <v>2719.019</v>
      </c>
    </row>
    <row r="2167" spans="3:6" x14ac:dyDescent="0.25">
      <c r="C2167" s="2" t="s">
        <v>2705</v>
      </c>
      <c r="D2167" s="2" t="s">
        <v>26</v>
      </c>
      <c r="E2167" s="2">
        <v>156</v>
      </c>
      <c r="F2167" s="2">
        <v>3061.9</v>
      </c>
    </row>
    <row r="2168" spans="3:6" x14ac:dyDescent="0.25">
      <c r="C2168" s="2" t="s">
        <v>2706</v>
      </c>
      <c r="D2168" s="2" t="s">
        <v>26</v>
      </c>
      <c r="E2168" s="2">
        <v>156</v>
      </c>
      <c r="F2168" s="2">
        <v>3059.92</v>
      </c>
    </row>
    <row r="2169" spans="3:6" x14ac:dyDescent="0.25">
      <c r="C2169" s="2" t="s">
        <v>2707</v>
      </c>
      <c r="D2169" s="2" t="s">
        <v>15</v>
      </c>
      <c r="E2169" s="2">
        <v>31</v>
      </c>
      <c r="F2169" s="2">
        <v>659.83</v>
      </c>
    </row>
    <row r="2170" spans="3:6" x14ac:dyDescent="0.25">
      <c r="C2170" s="2" t="s">
        <v>2708</v>
      </c>
      <c r="D2170" s="2" t="s">
        <v>15</v>
      </c>
      <c r="E2170" s="2">
        <v>59</v>
      </c>
      <c r="F2170" s="2">
        <v>261.578</v>
      </c>
    </row>
    <row r="2171" spans="3:6" x14ac:dyDescent="0.25">
      <c r="C2171" s="2" t="s">
        <v>2709</v>
      </c>
      <c r="D2171" s="2" t="s">
        <v>42</v>
      </c>
      <c r="E2171" s="2">
        <v>100</v>
      </c>
      <c r="F2171" s="2">
        <v>1941.48</v>
      </c>
    </row>
    <row r="2172" spans="3:6" x14ac:dyDescent="0.25">
      <c r="C2172" s="2" t="s">
        <v>2710</v>
      </c>
      <c r="D2172" s="2" t="s">
        <v>42</v>
      </c>
      <c r="E2172" s="2">
        <v>50</v>
      </c>
      <c r="F2172" s="2">
        <v>958.23</v>
      </c>
    </row>
    <row r="2173" spans="3:6" x14ac:dyDescent="0.25">
      <c r="C2173" s="2" t="s">
        <v>2711</v>
      </c>
      <c r="D2173" s="2" t="s">
        <v>42</v>
      </c>
      <c r="E2173" s="2">
        <v>7</v>
      </c>
      <c r="F2173" s="2">
        <v>28.78</v>
      </c>
    </row>
    <row r="2174" spans="3:6" x14ac:dyDescent="0.25">
      <c r="C2174" s="2" t="s">
        <v>2712</v>
      </c>
      <c r="D2174" s="2" t="s">
        <v>26</v>
      </c>
      <c r="E2174" s="2">
        <v>56</v>
      </c>
      <c r="F2174" s="2">
        <v>1090.03</v>
      </c>
    </row>
    <row r="2175" spans="3:6" x14ac:dyDescent="0.25">
      <c r="C2175" s="2" t="s">
        <v>2713</v>
      </c>
      <c r="D2175" s="2" t="s">
        <v>26</v>
      </c>
      <c r="E2175" s="2">
        <v>100</v>
      </c>
      <c r="F2175" s="2">
        <v>1994.989</v>
      </c>
    </row>
    <row r="2176" spans="3:6" x14ac:dyDescent="0.25">
      <c r="C2176" s="2" t="s">
        <v>2714</v>
      </c>
      <c r="D2176" s="2" t="s">
        <v>30</v>
      </c>
      <c r="E2176" s="2">
        <v>134</v>
      </c>
      <c r="F2176" s="2">
        <v>2666.369</v>
      </c>
    </row>
    <row r="2177" spans="3:6" x14ac:dyDescent="0.25">
      <c r="C2177" s="2" t="s">
        <v>2715</v>
      </c>
      <c r="D2177" s="2" t="s">
        <v>30</v>
      </c>
      <c r="E2177" s="2">
        <v>134</v>
      </c>
      <c r="F2177" s="2">
        <v>2572.93</v>
      </c>
    </row>
    <row r="2178" spans="3:6" x14ac:dyDescent="0.25">
      <c r="C2178" s="2" t="s">
        <v>2716</v>
      </c>
      <c r="D2178" s="2" t="s">
        <v>30</v>
      </c>
      <c r="E2178" s="2">
        <v>134</v>
      </c>
      <c r="F2178" s="2">
        <v>2685.49</v>
      </c>
    </row>
    <row r="2179" spans="3:6" x14ac:dyDescent="0.25">
      <c r="C2179" s="2" t="s">
        <v>2717</v>
      </c>
      <c r="D2179" s="2" t="s">
        <v>15</v>
      </c>
      <c r="E2179" s="2">
        <v>71</v>
      </c>
      <c r="F2179" s="2">
        <v>1323.049</v>
      </c>
    </row>
    <row r="2180" spans="3:6" x14ac:dyDescent="0.25">
      <c r="C2180" s="2" t="s">
        <v>2718</v>
      </c>
      <c r="D2180" s="2" t="s">
        <v>42</v>
      </c>
      <c r="E2180" s="2">
        <v>42</v>
      </c>
      <c r="F2180" s="2">
        <v>794.53</v>
      </c>
    </row>
    <row r="2181" spans="3:6" x14ac:dyDescent="0.25">
      <c r="C2181" s="2" t="s">
        <v>2719</v>
      </c>
      <c r="D2181" s="2" t="s">
        <v>42</v>
      </c>
      <c r="E2181" s="2">
        <v>100</v>
      </c>
      <c r="F2181" s="2">
        <v>1945.84</v>
      </c>
    </row>
    <row r="2182" spans="3:6" x14ac:dyDescent="0.25">
      <c r="C2182" s="2" t="s">
        <v>2720</v>
      </c>
      <c r="D2182" s="2" t="s">
        <v>42</v>
      </c>
      <c r="E2182" s="2">
        <v>14</v>
      </c>
      <c r="F2182" s="2">
        <v>266.76</v>
      </c>
    </row>
    <row r="2183" spans="3:6" x14ac:dyDescent="0.25">
      <c r="C2183" s="2" t="s">
        <v>2721</v>
      </c>
      <c r="D2183" s="2" t="s">
        <v>36</v>
      </c>
      <c r="E2183" s="2">
        <v>45</v>
      </c>
      <c r="F2183" s="2">
        <v>812.619</v>
      </c>
    </row>
    <row r="2184" spans="3:6" x14ac:dyDescent="0.25">
      <c r="C2184" s="2" t="s">
        <v>2722</v>
      </c>
      <c r="D2184" s="2" t="s">
        <v>36</v>
      </c>
      <c r="E2184" s="2">
        <v>45</v>
      </c>
      <c r="F2184" s="2">
        <v>850.18</v>
      </c>
    </row>
    <row r="2185" spans="3:6" x14ac:dyDescent="0.25">
      <c r="C2185" s="2" t="s">
        <v>2723</v>
      </c>
      <c r="D2185" s="2" t="s">
        <v>36</v>
      </c>
      <c r="E2185" s="2">
        <v>80</v>
      </c>
      <c r="F2185" s="2">
        <v>1661.94</v>
      </c>
    </row>
    <row r="2186" spans="3:6" x14ac:dyDescent="0.25">
      <c r="C2186" s="2" t="s">
        <v>2724</v>
      </c>
      <c r="D2186" s="2" t="s">
        <v>36</v>
      </c>
      <c r="E2186" s="2">
        <v>60</v>
      </c>
      <c r="F2186" s="2">
        <v>1120.52</v>
      </c>
    </row>
    <row r="2187" spans="3:6" x14ac:dyDescent="0.25">
      <c r="C2187" s="2" t="s">
        <v>2725</v>
      </c>
      <c r="D2187" s="2" t="s">
        <v>36</v>
      </c>
      <c r="E2187" s="2">
        <v>60</v>
      </c>
      <c r="F2187" s="2">
        <v>1138.85</v>
      </c>
    </row>
    <row r="2188" spans="3:6" x14ac:dyDescent="0.25">
      <c r="C2188" s="2" t="s">
        <v>2726</v>
      </c>
      <c r="D2188" s="2" t="s">
        <v>36</v>
      </c>
      <c r="E2188" s="2">
        <v>18</v>
      </c>
      <c r="F2188" s="2">
        <v>328.02</v>
      </c>
    </row>
    <row r="2189" spans="3:6" x14ac:dyDescent="0.25">
      <c r="C2189" s="2" t="s">
        <v>2484</v>
      </c>
      <c r="D2189" s="2" t="s">
        <v>15</v>
      </c>
      <c r="E2189" s="2">
        <v>163</v>
      </c>
      <c r="F2189" s="2">
        <v>3172.669</v>
      </c>
    </row>
    <row r="2190" spans="3:6" x14ac:dyDescent="0.25">
      <c r="C2190" s="2" t="s">
        <v>2485</v>
      </c>
      <c r="D2190" s="2" t="s">
        <v>15</v>
      </c>
      <c r="E2190" s="2">
        <v>105</v>
      </c>
      <c r="F2190" s="2">
        <v>2120.21</v>
      </c>
    </row>
    <row r="2191" spans="3:6" x14ac:dyDescent="0.25">
      <c r="C2191" s="2" t="s">
        <v>2486</v>
      </c>
      <c r="D2191" s="2" t="s">
        <v>15</v>
      </c>
      <c r="E2191" s="2">
        <v>105</v>
      </c>
      <c r="F2191" s="2">
        <v>2093.6</v>
      </c>
    </row>
    <row r="2192" spans="3:6" x14ac:dyDescent="0.25">
      <c r="C2192" s="2" t="s">
        <v>2727</v>
      </c>
      <c r="D2192" s="2" t="s">
        <v>30</v>
      </c>
      <c r="E2192" s="2">
        <v>134</v>
      </c>
      <c r="F2192" s="2">
        <v>2675.34</v>
      </c>
    </row>
    <row r="2193" spans="3:6" x14ac:dyDescent="0.25">
      <c r="C2193" s="2" t="s">
        <v>2497</v>
      </c>
      <c r="D2193" s="2" t="s">
        <v>15</v>
      </c>
      <c r="E2193" s="2">
        <v>163</v>
      </c>
      <c r="F2193" s="2">
        <v>3217.12</v>
      </c>
    </row>
    <row r="2194" spans="3:6" x14ac:dyDescent="0.25">
      <c r="C2194" s="2" t="s">
        <v>2379</v>
      </c>
      <c r="D2194" s="2" t="s">
        <v>15</v>
      </c>
      <c r="E2194" s="2">
        <v>105</v>
      </c>
      <c r="F2194" s="2">
        <v>2092.85</v>
      </c>
    </row>
    <row r="2195" spans="3:6" x14ac:dyDescent="0.25">
      <c r="C2195" s="2" t="s">
        <v>2396</v>
      </c>
      <c r="D2195" s="2" t="s">
        <v>30</v>
      </c>
      <c r="E2195" s="2">
        <v>42</v>
      </c>
      <c r="F2195" s="2">
        <v>794.64</v>
      </c>
    </row>
    <row r="2196" spans="3:6" x14ac:dyDescent="0.25">
      <c r="C2196" s="2" t="s">
        <v>2728</v>
      </c>
      <c r="D2196" s="2" t="s">
        <v>15</v>
      </c>
      <c r="E2196" s="2">
        <v>92</v>
      </c>
      <c r="F2196" s="2">
        <v>1750</v>
      </c>
    </row>
    <row r="2197" spans="3:6" x14ac:dyDescent="0.25">
      <c r="C2197" s="2" t="s">
        <v>2729</v>
      </c>
      <c r="D2197" s="2" t="s">
        <v>36</v>
      </c>
      <c r="E2197" s="2">
        <v>7</v>
      </c>
      <c r="F2197" s="2">
        <v>159</v>
      </c>
    </row>
    <row r="2199" spans="2:7" x14ac:dyDescent="0.25">
      <c r="B2199" s="2" t="s">
        <v>136</v>
      </c>
      <c r="C2199" s="2" t="s">
        <v>2730</v>
      </c>
      <c r="D2199" s="2" t="s">
        <v>136</v>
      </c>
      <c r="E2199" s="2">
        <v>122</v>
      </c>
      <c r="F2199" s="2">
        <v>2425.19</v>
      </c>
      <c r="G2199" s="1">
        <v>46224</v>
      </c>
    </row>
    <row r="2200" spans="3:6" x14ac:dyDescent="0.25">
      <c r="C2200" s="2" t="s">
        <v>2731</v>
      </c>
      <c r="D2200" s="2" t="s">
        <v>136</v>
      </c>
      <c r="E2200" s="2">
        <v>34</v>
      </c>
      <c r="F2200" s="2">
        <v>594.6</v>
      </c>
    </row>
    <row r="2201" spans="3:6" x14ac:dyDescent="0.25">
      <c r="C2201" s="2" t="s">
        <v>2732</v>
      </c>
      <c r="D2201" s="2" t="s">
        <v>136</v>
      </c>
      <c r="E2201" s="2">
        <v>157</v>
      </c>
      <c r="F2201" s="2">
        <v>3322.18</v>
      </c>
    </row>
    <row r="2203" spans="2:7" x14ac:dyDescent="0.25">
      <c r="B2203" s="2" t="s">
        <v>48</v>
      </c>
      <c r="C2203" s="2" t="s">
        <v>2733</v>
      </c>
      <c r="D2203" s="2" t="s">
        <v>30</v>
      </c>
      <c r="E2203" s="2">
        <v>105</v>
      </c>
      <c r="F2203" s="2">
        <v>1924.07</v>
      </c>
      <c r="G2203" s="1">
        <v>46224</v>
      </c>
    </row>
    <row r="2204" spans="3:6" x14ac:dyDescent="0.25">
      <c r="C2204" s="2" t="s">
        <v>2734</v>
      </c>
      <c r="D2204" s="2" t="s">
        <v>53</v>
      </c>
      <c r="E2204" s="2">
        <v>156</v>
      </c>
      <c r="F2204" s="2">
        <v>2862.15</v>
      </c>
    </row>
    <row r="2205" spans="3:6" x14ac:dyDescent="0.25">
      <c r="C2205" s="2" t="s">
        <v>2735</v>
      </c>
      <c r="D2205" s="2" t="s">
        <v>30</v>
      </c>
      <c r="E2205" s="2">
        <v>156</v>
      </c>
      <c r="F2205" s="2">
        <v>2659.12</v>
      </c>
    </row>
    <row r="2207" spans="1:7" x14ac:dyDescent="0.25">
      <c r="A2207" s="1">
        <v>46223</v>
      </c>
      <c r="B2207" s="2" t="s">
        <v>347</v>
      </c>
      <c r="C2207" s="2" t="s">
        <v>2736</v>
      </c>
      <c r="D2207" s="2" t="s">
        <v>59</v>
      </c>
      <c r="E2207" s="2">
        <v>139</v>
      </c>
      <c r="F2207" s="2">
        <v>2670.949</v>
      </c>
      <c r="G2207" s="1">
        <v>46224</v>
      </c>
    </row>
    <row r="2208" spans="3:6" x14ac:dyDescent="0.25">
      <c r="C2208" s="2" t="s">
        <v>2737</v>
      </c>
      <c r="D2208" s="2" t="s">
        <v>59</v>
      </c>
      <c r="E2208" s="2">
        <v>142</v>
      </c>
      <c r="F2208" s="2">
        <v>2749.72</v>
      </c>
    </row>
    <row r="2209" spans="3:6" x14ac:dyDescent="0.25">
      <c r="C2209" s="2" t="s">
        <v>2738</v>
      </c>
      <c r="D2209" s="2" t="s">
        <v>59</v>
      </c>
      <c r="E2209" s="2">
        <v>102</v>
      </c>
      <c r="F2209" s="2">
        <v>1972.97</v>
      </c>
    </row>
    <row r="2210" spans="3:6" x14ac:dyDescent="0.25">
      <c r="C2210" s="2" t="s">
        <v>2739</v>
      </c>
      <c r="D2210" s="2" t="s">
        <v>59</v>
      </c>
      <c r="E2210" s="2">
        <v>94</v>
      </c>
      <c r="F2210" s="2">
        <v>2090.93</v>
      </c>
    </row>
    <row r="2211" spans="3:6" x14ac:dyDescent="0.25">
      <c r="C2211" s="2" t="s">
        <v>2740</v>
      </c>
      <c r="D2211" s="2" t="s">
        <v>59</v>
      </c>
      <c r="E2211" s="2">
        <v>142</v>
      </c>
      <c r="F2211" s="2">
        <v>2752.41</v>
      </c>
    </row>
    <row r="2212" spans="3:6" x14ac:dyDescent="0.25">
      <c r="C2212" s="2" t="s">
        <v>2741</v>
      </c>
      <c r="D2212" s="2" t="s">
        <v>59</v>
      </c>
      <c r="E2212" s="2">
        <v>142</v>
      </c>
      <c r="F2212" s="2">
        <v>2902.959</v>
      </c>
    </row>
    <row r="2213" spans="3:6" x14ac:dyDescent="0.25">
      <c r="C2213" s="2" t="s">
        <v>2742</v>
      </c>
      <c r="D2213" s="2" t="s">
        <v>59</v>
      </c>
      <c r="E2213" s="2">
        <v>102</v>
      </c>
      <c r="F2213" s="2">
        <v>2032.549</v>
      </c>
    </row>
    <row r="2214" spans="3:6" x14ac:dyDescent="0.25">
      <c r="C2214" s="2" t="s">
        <v>2515</v>
      </c>
      <c r="D2214" s="2" t="s">
        <v>59</v>
      </c>
      <c r="E2214" s="2">
        <v>312</v>
      </c>
      <c r="F2214" s="2">
        <v>6378.748</v>
      </c>
    </row>
    <row r="2215" spans="3:6" x14ac:dyDescent="0.25">
      <c r="C2215" s="2" t="s">
        <v>2518</v>
      </c>
      <c r="D2215" s="2" t="s">
        <v>59</v>
      </c>
      <c r="E2215" s="2">
        <v>189</v>
      </c>
      <c r="F2215" s="2">
        <v>3951.54</v>
      </c>
    </row>
    <row r="2217" spans="1:7" x14ac:dyDescent="0.25">
      <c r="A2217" s="1">
        <v>46224</v>
      </c>
      <c r="B2217" s="2" t="s">
        <v>1400</v>
      </c>
      <c r="C2217" s="2" t="s">
        <v>2743</v>
      </c>
      <c r="D2217" s="2" t="s">
        <v>73</v>
      </c>
      <c r="E2217" s="2">
        <v>28</v>
      </c>
      <c r="F2217" s="2">
        <v>498.549</v>
      </c>
      <c r="G2217" s="1">
        <v>46224</v>
      </c>
    </row>
    <row r="2218" spans="3:6" x14ac:dyDescent="0.25">
      <c r="C2218" s="2" t="s">
        <v>2744</v>
      </c>
      <c r="D2218" s="2" t="s">
        <v>73</v>
      </c>
      <c r="E2218" s="2">
        <v>41</v>
      </c>
      <c r="F2218" s="2">
        <v>710.69</v>
      </c>
    </row>
    <row r="2219" spans="3:6" x14ac:dyDescent="0.25">
      <c r="C2219" s="2" t="s">
        <v>2745</v>
      </c>
      <c r="D2219" s="2" t="s">
        <v>73</v>
      </c>
      <c r="E2219" s="2">
        <v>83</v>
      </c>
      <c r="F2219" s="2">
        <v>1736.87</v>
      </c>
    </row>
    <row r="2220" spans="3:6" x14ac:dyDescent="0.25">
      <c r="C2220" s="2" t="s">
        <v>2746</v>
      </c>
      <c r="D2220" s="2" t="s">
        <v>73</v>
      </c>
      <c r="E2220" s="2">
        <v>98</v>
      </c>
      <c r="F2220" s="2">
        <v>1903.42</v>
      </c>
    </row>
    <row r="2221" spans="3:6" x14ac:dyDescent="0.25">
      <c r="C2221" s="2" t="s">
        <v>2747</v>
      </c>
      <c r="D2221" s="2" t="s">
        <v>73</v>
      </c>
      <c r="E2221" s="2">
        <v>89</v>
      </c>
      <c r="F2221" s="2">
        <v>1795.02</v>
      </c>
    </row>
    <row r="2222" spans="3:6" x14ac:dyDescent="0.25">
      <c r="C2222" s="2" t="s">
        <v>2748</v>
      </c>
      <c r="D2222" s="2" t="s">
        <v>73</v>
      </c>
      <c r="E2222" s="2">
        <v>6</v>
      </c>
      <c r="F2222" s="2">
        <v>111.24</v>
      </c>
    </row>
    <row r="2223" spans="3:6" x14ac:dyDescent="0.25">
      <c r="C2223" s="2" t="s">
        <v>2749</v>
      </c>
      <c r="D2223" s="2" t="s">
        <v>73</v>
      </c>
      <c r="E2223" s="2">
        <v>93</v>
      </c>
      <c r="F2223" s="2">
        <v>1787.497</v>
      </c>
    </row>
    <row r="2224" spans="3:6" x14ac:dyDescent="0.25">
      <c r="C2224" s="2" t="s">
        <v>2750</v>
      </c>
      <c r="D2224" s="2" t="s">
        <v>73</v>
      </c>
      <c r="E2224" s="2">
        <v>30</v>
      </c>
      <c r="F2224" s="2">
        <v>536.01</v>
      </c>
    </row>
    <row r="2225" spans="3:6" x14ac:dyDescent="0.25">
      <c r="C2225" s="2" t="s">
        <v>2751</v>
      </c>
      <c r="D2225" s="2" t="s">
        <v>73</v>
      </c>
      <c r="E2225" s="2">
        <v>64</v>
      </c>
      <c r="F2225" s="2">
        <v>1234.449</v>
      </c>
    </row>
    <row r="2227" spans="1:7" x14ac:dyDescent="0.25">
      <c r="A2227" s="1">
        <v>46224</v>
      </c>
      <c r="B2227" s="2" t="s">
        <v>7</v>
      </c>
      <c r="C2227" s="2" t="s">
        <v>2752</v>
      </c>
      <c r="D2227" s="2" t="s">
        <v>9</v>
      </c>
      <c r="E2227" s="2">
        <v>89</v>
      </c>
      <c r="F2227" s="2">
        <v>1808.98</v>
      </c>
      <c r="G2227" s="1">
        <v>46224</v>
      </c>
    </row>
    <row r="2228" spans="3:6" x14ac:dyDescent="0.25">
      <c r="C2228" s="2" t="s">
        <v>2753</v>
      </c>
      <c r="D2228" s="2" t="s">
        <v>9</v>
      </c>
      <c r="E2228" s="2">
        <v>90</v>
      </c>
      <c r="F2228" s="2">
        <v>1819.64</v>
      </c>
    </row>
    <row r="2230" spans="1:7" x14ac:dyDescent="0.25">
      <c r="A2230" s="1">
        <v>46224</v>
      </c>
      <c r="B2230" s="2" t="s">
        <v>7</v>
      </c>
      <c r="C2230" s="2" t="s">
        <v>2754</v>
      </c>
      <c r="D2230" s="2" t="s">
        <v>9</v>
      </c>
      <c r="E2230" s="2">
        <v>89</v>
      </c>
      <c r="F2230" s="2">
        <v>1811.27</v>
      </c>
      <c r="G2230" s="1">
        <v>46224</v>
      </c>
    </row>
    <row r="2231" spans="3:6" x14ac:dyDescent="0.25">
      <c r="C2231" s="2" t="s">
        <v>2755</v>
      </c>
      <c r="D2231" s="2" t="s">
        <v>9</v>
      </c>
      <c r="E2231" s="2">
        <v>89</v>
      </c>
      <c r="F2231" s="2">
        <v>1838.779</v>
      </c>
    </row>
    <row r="2233" spans="1:7" x14ac:dyDescent="0.25">
      <c r="A2233" s="1">
        <v>46224</v>
      </c>
      <c r="B2233" s="2" t="s">
        <v>1299</v>
      </c>
      <c r="C2233" s="2" t="s">
        <v>2756</v>
      </c>
      <c r="D2233" s="2" t="s">
        <v>15</v>
      </c>
      <c r="E2233" s="2">
        <v>105</v>
      </c>
      <c r="F2233" s="2">
        <v>2138.64</v>
      </c>
      <c r="G2233" s="1">
        <v>46224</v>
      </c>
    </row>
    <row r="2234" spans="3:6" x14ac:dyDescent="0.25">
      <c r="C2234" s="2" t="s">
        <v>2757</v>
      </c>
      <c r="D2234" s="2" t="s">
        <v>15</v>
      </c>
      <c r="E2234" s="2">
        <v>105</v>
      </c>
      <c r="F2234" s="2">
        <v>2096.489</v>
      </c>
    </row>
    <row r="2235" spans="3:6" x14ac:dyDescent="0.25">
      <c r="C2235" s="2" t="s">
        <v>2758</v>
      </c>
      <c r="D2235" s="2" t="s">
        <v>15</v>
      </c>
      <c r="E2235" s="2">
        <v>134</v>
      </c>
      <c r="F2235" s="2">
        <v>2657.09</v>
      </c>
    </row>
    <row r="2236" spans="3:6" x14ac:dyDescent="0.25">
      <c r="C2236" s="2" t="s">
        <v>2759</v>
      </c>
      <c r="D2236" s="2" t="s">
        <v>15</v>
      </c>
      <c r="E2236" s="2">
        <v>134</v>
      </c>
      <c r="F2236" s="2">
        <v>2403.438</v>
      </c>
    </row>
    <row r="2237" spans="3:6" x14ac:dyDescent="0.25">
      <c r="C2237" s="2" t="s">
        <v>2760</v>
      </c>
      <c r="D2237" s="2" t="s">
        <v>15</v>
      </c>
      <c r="E2237" s="2">
        <v>134</v>
      </c>
      <c r="F2237" s="2">
        <v>2717.04</v>
      </c>
    </row>
    <row r="2238" spans="3:6" x14ac:dyDescent="0.25">
      <c r="C2238" s="2" t="s">
        <v>2761</v>
      </c>
      <c r="D2238" s="2" t="s">
        <v>15</v>
      </c>
      <c r="E2238" s="2">
        <v>134</v>
      </c>
      <c r="F2238" s="2">
        <v>2497.89</v>
      </c>
    </row>
    <row r="2239" spans="3:6" x14ac:dyDescent="0.25">
      <c r="C2239" s="2" t="s">
        <v>2762</v>
      </c>
      <c r="D2239" s="2" t="s">
        <v>15</v>
      </c>
      <c r="E2239" s="2">
        <v>134</v>
      </c>
      <c r="F2239" s="2">
        <v>2758.639</v>
      </c>
    </row>
    <row r="2240" spans="3:5" x14ac:dyDescent="0.25">
      <c r="C2240" s="2" t="s">
        <v>2763</v>
      </c>
      <c r="D2240" s="2" t="s">
        <v>15</v>
      </c>
      <c r="E2240" s="2">
        <v>37</v>
      </c>
    </row>
    <row r="2241" spans="3:6" x14ac:dyDescent="0.25">
      <c r="C2241" s="2" t="s">
        <v>2764</v>
      </c>
      <c r="D2241" s="2" t="s">
        <v>15</v>
      </c>
      <c r="E2241" s="2">
        <v>126</v>
      </c>
      <c r="F2241" s="2">
        <v>2463.079</v>
      </c>
    </row>
    <row r="2242" spans="3:6" x14ac:dyDescent="0.25">
      <c r="C2242" s="2" t="s">
        <v>2765</v>
      </c>
      <c r="D2242" s="2" t="s">
        <v>15</v>
      </c>
      <c r="E2242" s="2">
        <v>163</v>
      </c>
      <c r="F2242" s="2">
        <v>3211.839</v>
      </c>
    </row>
    <row r="2243" spans="3:6" x14ac:dyDescent="0.25">
      <c r="C2243" s="2" t="s">
        <v>2766</v>
      </c>
      <c r="D2243" s="2" t="s">
        <v>15</v>
      </c>
      <c r="E2243" s="2">
        <v>163</v>
      </c>
      <c r="F2243" s="2">
        <v>3197.89</v>
      </c>
    </row>
    <row r="2244" spans="3:6" x14ac:dyDescent="0.25">
      <c r="C2244" s="2" t="s">
        <v>2767</v>
      </c>
      <c r="D2244" s="2" t="s">
        <v>15</v>
      </c>
      <c r="E2244" s="2">
        <v>163</v>
      </c>
      <c r="F2244" s="2">
        <v>3150.608</v>
      </c>
    </row>
    <row r="2245" spans="3:6" x14ac:dyDescent="0.25">
      <c r="C2245" s="2" t="s">
        <v>2768</v>
      </c>
      <c r="D2245" s="2" t="s">
        <v>15</v>
      </c>
      <c r="E2245" s="2">
        <v>163</v>
      </c>
      <c r="F2245" s="2">
        <v>3229.47</v>
      </c>
    </row>
    <row r="2246" spans="3:6" x14ac:dyDescent="0.25">
      <c r="C2246" s="2" t="s">
        <v>2769</v>
      </c>
      <c r="D2246" s="2" t="s">
        <v>15</v>
      </c>
      <c r="E2246" s="2">
        <v>163</v>
      </c>
      <c r="F2246" s="2">
        <v>3167.309</v>
      </c>
    </row>
    <row r="2247" spans="3:6" x14ac:dyDescent="0.25">
      <c r="C2247" s="2" t="s">
        <v>2770</v>
      </c>
      <c r="D2247" s="2" t="s">
        <v>15</v>
      </c>
      <c r="E2247" s="2">
        <v>105</v>
      </c>
      <c r="F2247" s="2">
        <v>1785.62</v>
      </c>
    </row>
    <row r="2248" spans="3:6" x14ac:dyDescent="0.25">
      <c r="C2248" s="2" t="s">
        <v>2771</v>
      </c>
      <c r="D2248" s="2" t="s">
        <v>15</v>
      </c>
      <c r="E2248" s="2">
        <v>36</v>
      </c>
      <c r="F2248" s="2">
        <v>877.56</v>
      </c>
    </row>
    <row r="2249" spans="3:6" x14ac:dyDescent="0.25">
      <c r="C2249" s="2" t="s">
        <v>2772</v>
      </c>
      <c r="D2249" s="2" t="s">
        <v>15</v>
      </c>
      <c r="E2249" s="2">
        <v>95</v>
      </c>
      <c r="F2249" s="2">
        <v>451.286</v>
      </c>
    </row>
    <row r="2250" spans="3:6" x14ac:dyDescent="0.25">
      <c r="C2250" s="2" t="s">
        <v>2773</v>
      </c>
      <c r="D2250" s="2" t="s">
        <v>15</v>
      </c>
      <c r="E2250" s="2">
        <v>163</v>
      </c>
      <c r="F2250" s="2">
        <v>3250.4</v>
      </c>
    </row>
    <row r="2251" spans="3:6" x14ac:dyDescent="0.25">
      <c r="C2251" s="2" t="s">
        <v>2774</v>
      </c>
      <c r="D2251" s="2" t="s">
        <v>15</v>
      </c>
      <c r="E2251" s="2">
        <v>163</v>
      </c>
      <c r="F2251" s="2">
        <v>2901.769</v>
      </c>
    </row>
    <row r="2252" spans="3:6" x14ac:dyDescent="0.25">
      <c r="C2252" s="2" t="s">
        <v>2775</v>
      </c>
      <c r="D2252" s="2" t="s">
        <v>15</v>
      </c>
      <c r="E2252" s="2">
        <v>105</v>
      </c>
      <c r="F2252" s="2">
        <v>2167.448</v>
      </c>
    </row>
    <row r="2253" spans="3:6" x14ac:dyDescent="0.25">
      <c r="C2253" s="2" t="s">
        <v>2776</v>
      </c>
      <c r="D2253" s="2" t="s">
        <v>26</v>
      </c>
      <c r="E2253" s="2">
        <v>100</v>
      </c>
      <c r="F2253" s="2">
        <v>1944.36</v>
      </c>
    </row>
    <row r="2254" spans="3:6" x14ac:dyDescent="0.25">
      <c r="C2254" s="2" t="s">
        <v>2777</v>
      </c>
      <c r="D2254" s="2" t="s">
        <v>26</v>
      </c>
      <c r="E2254" s="2">
        <v>56</v>
      </c>
      <c r="F2254" s="2">
        <v>1123.43</v>
      </c>
    </row>
    <row r="2255" spans="3:6" x14ac:dyDescent="0.25">
      <c r="C2255" s="2" t="s">
        <v>2778</v>
      </c>
      <c r="D2255" s="2" t="s">
        <v>26</v>
      </c>
      <c r="E2255" s="2">
        <v>100</v>
      </c>
      <c r="F2255" s="2">
        <v>1935.63</v>
      </c>
    </row>
    <row r="2256" spans="3:6" x14ac:dyDescent="0.25">
      <c r="C2256" s="2" t="s">
        <v>2779</v>
      </c>
      <c r="D2256" s="2" t="s">
        <v>26</v>
      </c>
      <c r="E2256" s="2">
        <v>56</v>
      </c>
      <c r="F2256" s="2">
        <v>1097.72</v>
      </c>
    </row>
    <row r="2257" spans="3:6" x14ac:dyDescent="0.25">
      <c r="C2257" s="2" t="s">
        <v>2780</v>
      </c>
      <c r="D2257" s="2" t="s">
        <v>26</v>
      </c>
      <c r="E2257" s="2">
        <v>100</v>
      </c>
      <c r="F2257" s="2">
        <v>1958.14</v>
      </c>
    </row>
    <row r="2258" spans="3:6" x14ac:dyDescent="0.25">
      <c r="C2258" s="2" t="s">
        <v>2781</v>
      </c>
      <c r="D2258" s="2" t="s">
        <v>26</v>
      </c>
      <c r="E2258" s="2">
        <v>56</v>
      </c>
      <c r="F2258" s="2">
        <v>1141.66</v>
      </c>
    </row>
    <row r="2259" spans="3:5" x14ac:dyDescent="0.25">
      <c r="C2259" s="2" t="s">
        <v>2782</v>
      </c>
      <c r="D2259" s="2" t="s">
        <v>36</v>
      </c>
      <c r="E2259" s="2">
        <v>7</v>
      </c>
    </row>
    <row r="2260" spans="3:6" x14ac:dyDescent="0.25">
      <c r="C2260" s="2" t="s">
        <v>2783</v>
      </c>
      <c r="D2260" s="2" t="s">
        <v>36</v>
      </c>
      <c r="E2260" s="2">
        <v>18</v>
      </c>
      <c r="F2260" s="2">
        <v>312.93</v>
      </c>
    </row>
    <row r="2261" spans="3:6" x14ac:dyDescent="0.25">
      <c r="C2261" s="2" t="s">
        <v>2784</v>
      </c>
      <c r="D2261" s="2" t="s">
        <v>36</v>
      </c>
      <c r="E2261" s="2">
        <v>80</v>
      </c>
      <c r="F2261" s="2">
        <v>1581.19</v>
      </c>
    </row>
    <row r="2262" spans="3:6" x14ac:dyDescent="0.25">
      <c r="C2262" s="2" t="s">
        <v>2785</v>
      </c>
      <c r="D2262" s="2" t="s">
        <v>36</v>
      </c>
      <c r="E2262" s="2">
        <v>80</v>
      </c>
      <c r="F2262" s="2">
        <v>1544.65</v>
      </c>
    </row>
    <row r="2263" spans="3:6" x14ac:dyDescent="0.25">
      <c r="C2263" s="2" t="s">
        <v>2786</v>
      </c>
      <c r="D2263" s="2" t="s">
        <v>36</v>
      </c>
      <c r="E2263" s="2">
        <v>26</v>
      </c>
      <c r="F2263" s="2">
        <v>509.19</v>
      </c>
    </row>
    <row r="2264" spans="3:6" x14ac:dyDescent="0.25">
      <c r="C2264" s="2" t="s">
        <v>2787</v>
      </c>
      <c r="D2264" s="2" t="s">
        <v>36</v>
      </c>
      <c r="E2264" s="2">
        <v>45</v>
      </c>
      <c r="F2264" s="2">
        <v>853.19</v>
      </c>
    </row>
    <row r="2265" spans="3:6" x14ac:dyDescent="0.25">
      <c r="C2265" s="2" t="s">
        <v>2788</v>
      </c>
      <c r="D2265" s="2" t="s">
        <v>36</v>
      </c>
      <c r="E2265" s="2">
        <v>60</v>
      </c>
      <c r="F2265" s="2">
        <v>1081.51</v>
      </c>
    </row>
    <row r="2266" spans="3:6" x14ac:dyDescent="0.25">
      <c r="C2266" s="2" t="s">
        <v>2789</v>
      </c>
      <c r="D2266" s="2" t="s">
        <v>42</v>
      </c>
      <c r="E2266" s="2">
        <v>100</v>
      </c>
      <c r="F2266" s="2">
        <v>1933.76</v>
      </c>
    </row>
    <row r="2267" spans="3:6" x14ac:dyDescent="0.25">
      <c r="C2267" s="2" t="s">
        <v>2790</v>
      </c>
      <c r="D2267" s="2" t="s">
        <v>42</v>
      </c>
      <c r="E2267" s="2">
        <v>20</v>
      </c>
      <c r="F2267" s="2">
        <v>370.82</v>
      </c>
    </row>
    <row r="2268" spans="3:6" x14ac:dyDescent="0.25">
      <c r="C2268" s="2" t="s">
        <v>2791</v>
      </c>
      <c r="D2268" s="2" t="s">
        <v>42</v>
      </c>
      <c r="E2268" s="2">
        <v>36</v>
      </c>
      <c r="F2268" s="2">
        <v>680.92</v>
      </c>
    </row>
    <row r="2270" spans="2:7" x14ac:dyDescent="0.25">
      <c r="B2270" s="2" t="s">
        <v>1942</v>
      </c>
      <c r="C2270" s="2" t="s">
        <v>2792</v>
      </c>
      <c r="D2270" s="2" t="s">
        <v>136</v>
      </c>
      <c r="E2270" s="2">
        <v>156</v>
      </c>
      <c r="F2270" s="2">
        <v>3249.159</v>
      </c>
      <c r="G2270" s="1">
        <v>46224</v>
      </c>
    </row>
    <row r="2271" spans="3:6" x14ac:dyDescent="0.25">
      <c r="C2271" s="2" t="s">
        <v>2732</v>
      </c>
      <c r="D2271" s="2" t="s">
        <v>136</v>
      </c>
      <c r="E2271" s="2">
        <v>157</v>
      </c>
      <c r="F2271" s="2">
        <v>3322.18</v>
      </c>
    </row>
    <row r="2273" spans="2:7" x14ac:dyDescent="0.25">
      <c r="B2273" s="2" t="s">
        <v>48</v>
      </c>
      <c r="C2273" s="2" t="s">
        <v>2793</v>
      </c>
      <c r="D2273" s="2" t="s">
        <v>53</v>
      </c>
      <c r="E2273" s="2">
        <v>156</v>
      </c>
      <c r="F2273" s="2">
        <v>2805.19</v>
      </c>
      <c r="G2273" s="1">
        <v>46224</v>
      </c>
    </row>
    <row r="2274" spans="3:6" x14ac:dyDescent="0.25">
      <c r="C2274" s="2" t="s">
        <v>2794</v>
      </c>
      <c r="D2274" s="2" t="s">
        <v>53</v>
      </c>
      <c r="E2274" s="2">
        <v>128</v>
      </c>
      <c r="F2274" s="2">
        <v>2315.8</v>
      </c>
    </row>
    <row r="2275" spans="3:6" x14ac:dyDescent="0.25">
      <c r="C2275" s="2" t="s">
        <v>2795</v>
      </c>
      <c r="D2275" s="2" t="s">
        <v>53</v>
      </c>
      <c r="E2275" s="2">
        <v>6</v>
      </c>
      <c r="F2275" s="2">
        <v>82.95</v>
      </c>
    </row>
    <row r="2277" spans="1:7" x14ac:dyDescent="0.25">
      <c r="A2277" s="1">
        <v>46224</v>
      </c>
      <c r="B2277" s="2" t="s">
        <v>2796</v>
      </c>
      <c r="C2277" s="2" t="s">
        <v>2797</v>
      </c>
      <c r="D2277" s="2" t="s">
        <v>59</v>
      </c>
      <c r="E2277" s="2">
        <v>156</v>
      </c>
      <c r="F2277" s="2">
        <v>3066.898</v>
      </c>
      <c r="G2277" s="1">
        <v>46224</v>
      </c>
    </row>
    <row r="2278" spans="3:6" x14ac:dyDescent="0.25">
      <c r="C2278" s="2" t="s">
        <v>2798</v>
      </c>
      <c r="D2278" s="2" t="s">
        <v>59</v>
      </c>
      <c r="E2278" s="2">
        <v>156</v>
      </c>
      <c r="F2278" s="2">
        <v>2977.31</v>
      </c>
    </row>
    <row r="2279" spans="3:6" x14ac:dyDescent="0.25">
      <c r="C2279" s="2" t="s">
        <v>2799</v>
      </c>
      <c r="D2279" s="2" t="s">
        <v>59</v>
      </c>
      <c r="E2279" s="2">
        <v>105</v>
      </c>
      <c r="F2279" s="2">
        <v>2031.02</v>
      </c>
    </row>
    <row r="2280" spans="3:6" x14ac:dyDescent="0.25">
      <c r="C2280" s="2" t="s">
        <v>2800</v>
      </c>
      <c r="D2280" s="2" t="s">
        <v>59</v>
      </c>
      <c r="E2280" s="2">
        <v>156</v>
      </c>
      <c r="F2280" s="2">
        <v>3205.64</v>
      </c>
    </row>
    <row r="2281" spans="3:6" x14ac:dyDescent="0.25">
      <c r="C2281" s="2" t="s">
        <v>2801</v>
      </c>
      <c r="D2281" s="2" t="s">
        <v>59</v>
      </c>
      <c r="E2281" s="2">
        <v>97</v>
      </c>
      <c r="F2281" s="2">
        <v>2094.35</v>
      </c>
    </row>
    <row r="2282" spans="3:6" x14ac:dyDescent="0.25">
      <c r="C2282" s="2" t="s">
        <v>2802</v>
      </c>
      <c r="D2282" s="2" t="s">
        <v>59</v>
      </c>
      <c r="E2282" s="2">
        <v>210</v>
      </c>
      <c r="F2282" s="2">
        <v>4078.599</v>
      </c>
    </row>
    <row r="2283" spans="3:6" x14ac:dyDescent="0.25">
      <c r="C2283" s="2" t="s">
        <v>2803</v>
      </c>
      <c r="D2283" s="2" t="s">
        <v>59</v>
      </c>
      <c r="E2283" s="2">
        <v>156</v>
      </c>
      <c r="F2283" s="2">
        <v>3170.59</v>
      </c>
    </row>
    <row r="2285" spans="1:7" x14ac:dyDescent="0.25">
      <c r="A2285" s="1">
        <v>46225</v>
      </c>
      <c r="B2285" s="2" t="s">
        <v>229</v>
      </c>
      <c r="C2285" s="2" t="s">
        <v>2804</v>
      </c>
      <c r="D2285" s="2" t="s">
        <v>292</v>
      </c>
      <c r="E2285" s="2">
        <v>142</v>
      </c>
      <c r="F2285" s="2">
        <v>2831.7</v>
      </c>
      <c r="G2285" s="1">
        <v>46224</v>
      </c>
    </row>
    <row r="2286" spans="3:6" x14ac:dyDescent="0.25">
      <c r="C2286" s="2" t="s">
        <v>2805</v>
      </c>
      <c r="D2286" s="2" t="s">
        <v>292</v>
      </c>
      <c r="E2286" s="2">
        <v>100</v>
      </c>
      <c r="F2286" s="2">
        <v>2032.9</v>
      </c>
    </row>
    <row r="2287" spans="3:6" x14ac:dyDescent="0.25">
      <c r="C2287" s="2" t="s">
        <v>2806</v>
      </c>
      <c r="D2287" s="2" t="s">
        <v>292</v>
      </c>
      <c r="E2287" s="2">
        <v>100</v>
      </c>
      <c r="F2287" s="2">
        <v>2000.49</v>
      </c>
    </row>
    <row r="2288" spans="3:6" x14ac:dyDescent="0.25">
      <c r="C2288" s="2" t="s">
        <v>2807</v>
      </c>
      <c r="D2288" s="2" t="s">
        <v>292</v>
      </c>
      <c r="E2288" s="2">
        <v>123</v>
      </c>
      <c r="F2288" s="2">
        <v>2713.79</v>
      </c>
    </row>
    <row r="2289" spans="3:6" x14ac:dyDescent="0.25">
      <c r="C2289" s="2" t="s">
        <v>2808</v>
      </c>
      <c r="D2289" s="2" t="s">
        <v>292</v>
      </c>
      <c r="E2289" s="2">
        <v>65</v>
      </c>
      <c r="F2289" s="2">
        <v>1287.49</v>
      </c>
    </row>
    <row r="2290" spans="3:6" x14ac:dyDescent="0.25">
      <c r="C2290" s="2" t="s">
        <v>2809</v>
      </c>
      <c r="D2290" s="2" t="s">
        <v>292</v>
      </c>
      <c r="E2290" s="2">
        <v>10</v>
      </c>
      <c r="F2290" s="2">
        <v>180.02</v>
      </c>
    </row>
    <row r="2291" spans="3:6" x14ac:dyDescent="0.25">
      <c r="C2291" s="2" t="s">
        <v>2810</v>
      </c>
      <c r="D2291" s="2" t="s">
        <v>292</v>
      </c>
      <c r="E2291" s="2">
        <v>64</v>
      </c>
      <c r="F2291" s="2">
        <v>1221.88</v>
      </c>
    </row>
    <row r="2292" spans="3:6" x14ac:dyDescent="0.25">
      <c r="C2292" s="2" t="s">
        <v>2811</v>
      </c>
      <c r="D2292" s="2" t="s">
        <v>292</v>
      </c>
      <c r="E2292" s="2">
        <v>134</v>
      </c>
      <c r="F2292" s="2">
        <v>2959.33</v>
      </c>
    </row>
    <row r="2293" spans="3:6" x14ac:dyDescent="0.25">
      <c r="C2293" s="2" t="s">
        <v>2812</v>
      </c>
      <c r="D2293" s="2" t="s">
        <v>292</v>
      </c>
      <c r="E2293" s="2">
        <v>141</v>
      </c>
      <c r="F2293" s="2">
        <v>2811.79</v>
      </c>
    </row>
    <row r="2294" spans="3:6" x14ac:dyDescent="0.25">
      <c r="C2294" s="2" t="s">
        <v>2813</v>
      </c>
      <c r="D2294" s="2" t="s">
        <v>292</v>
      </c>
      <c r="E2294" s="2">
        <v>123</v>
      </c>
      <c r="F2294" s="2">
        <v>2675.46</v>
      </c>
    </row>
    <row r="2295" spans="3:6" x14ac:dyDescent="0.25">
      <c r="C2295" s="2" t="s">
        <v>2814</v>
      </c>
      <c r="D2295" s="2" t="s">
        <v>292</v>
      </c>
      <c r="E2295" s="2">
        <v>45</v>
      </c>
      <c r="F2295" s="2">
        <v>211.15</v>
      </c>
    </row>
    <row r="2296" spans="3:6" x14ac:dyDescent="0.25">
      <c r="C2296" s="2" t="s">
        <v>2815</v>
      </c>
      <c r="D2296" s="2" t="s">
        <v>292</v>
      </c>
      <c r="E2296" s="2">
        <v>77</v>
      </c>
      <c r="F2296" s="2">
        <v>1448.57</v>
      </c>
    </row>
    <row r="2297" spans="3:6" x14ac:dyDescent="0.25">
      <c r="C2297" s="2" t="s">
        <v>2816</v>
      </c>
      <c r="D2297" s="2" t="s">
        <v>292</v>
      </c>
      <c r="E2297" s="2">
        <v>75</v>
      </c>
      <c r="F2297" s="2">
        <v>1657.32</v>
      </c>
    </row>
    <row r="2298" spans="3:6" x14ac:dyDescent="0.25">
      <c r="C2298" s="2" t="s">
        <v>2817</v>
      </c>
      <c r="D2298" s="2" t="s">
        <v>292</v>
      </c>
      <c r="E2298" s="2">
        <v>141</v>
      </c>
      <c r="F2298" s="2">
        <v>2726.16</v>
      </c>
    </row>
    <row r="2299" spans="3:6" x14ac:dyDescent="0.25">
      <c r="C2299" s="2" t="s">
        <v>2818</v>
      </c>
      <c r="D2299" s="2" t="s">
        <v>292</v>
      </c>
      <c r="E2299" s="2">
        <v>58</v>
      </c>
      <c r="F2299" s="2">
        <v>1170.96</v>
      </c>
    </row>
    <row r="2300" spans="3:6" x14ac:dyDescent="0.25">
      <c r="C2300" s="2" t="s">
        <v>2819</v>
      </c>
      <c r="D2300" s="2" t="s">
        <v>292</v>
      </c>
      <c r="E2300" s="2">
        <v>56</v>
      </c>
      <c r="F2300" s="2">
        <v>1007.73</v>
      </c>
    </row>
    <row r="2301" spans="3:6" x14ac:dyDescent="0.25">
      <c r="C2301" s="2" t="s">
        <v>2820</v>
      </c>
      <c r="D2301" s="2" t="s">
        <v>292</v>
      </c>
      <c r="E2301" s="2">
        <v>141</v>
      </c>
      <c r="F2301" s="2">
        <v>2795.26</v>
      </c>
    </row>
    <row r="2302" spans="3:6" x14ac:dyDescent="0.25">
      <c r="C2302" s="2" t="s">
        <v>2821</v>
      </c>
      <c r="D2302" s="2" t="s">
        <v>292</v>
      </c>
      <c r="E2302" s="2">
        <v>50</v>
      </c>
      <c r="F2302" s="2">
        <v>235.7</v>
      </c>
    </row>
    <row r="2303" spans="3:6" x14ac:dyDescent="0.25">
      <c r="C2303" s="2" t="s">
        <v>2822</v>
      </c>
      <c r="D2303" s="2" t="s">
        <v>292</v>
      </c>
      <c r="E2303" s="2">
        <v>45</v>
      </c>
      <c r="F2303" s="2">
        <v>219.18</v>
      </c>
    </row>
    <row r="2304" spans="3:6" x14ac:dyDescent="0.25">
      <c r="C2304" s="2" t="s">
        <v>2823</v>
      </c>
      <c r="D2304" s="2" t="s">
        <v>292</v>
      </c>
      <c r="E2304" s="2">
        <v>12</v>
      </c>
      <c r="F2304" s="2">
        <v>200.61</v>
      </c>
    </row>
    <row r="2305" spans="3:6" x14ac:dyDescent="0.25">
      <c r="C2305" s="2" t="s">
        <v>2824</v>
      </c>
      <c r="D2305" s="2" t="s">
        <v>292</v>
      </c>
      <c r="E2305" s="2">
        <v>11</v>
      </c>
      <c r="F2305" s="2">
        <v>232.13</v>
      </c>
    </row>
    <row r="2306" spans="3:6" x14ac:dyDescent="0.25">
      <c r="C2306" s="2" t="s">
        <v>2825</v>
      </c>
      <c r="D2306" s="2" t="s">
        <v>292</v>
      </c>
      <c r="E2306" s="2">
        <v>67</v>
      </c>
      <c r="F2306" s="2">
        <v>1331.86</v>
      </c>
    </row>
    <row r="2307" spans="3:6" x14ac:dyDescent="0.25">
      <c r="C2307" s="2" t="s">
        <v>2826</v>
      </c>
      <c r="D2307" s="2" t="s">
        <v>292</v>
      </c>
      <c r="E2307" s="2">
        <v>33</v>
      </c>
      <c r="F2307" s="2">
        <v>638.09</v>
      </c>
    </row>
    <row r="2308" spans="3:6" x14ac:dyDescent="0.25">
      <c r="C2308" s="2" t="s">
        <v>2827</v>
      </c>
      <c r="D2308" s="2" t="s">
        <v>292</v>
      </c>
      <c r="E2308" s="2">
        <v>48</v>
      </c>
      <c r="F2308" s="2">
        <v>803.64</v>
      </c>
    </row>
    <row r="2309" spans="3:6" x14ac:dyDescent="0.25">
      <c r="C2309" s="2" t="s">
        <v>2828</v>
      </c>
      <c r="D2309" s="2" t="s">
        <v>292</v>
      </c>
      <c r="E2309" s="2">
        <v>60</v>
      </c>
      <c r="F2309" s="2">
        <v>1135.47</v>
      </c>
    </row>
    <row r="2310" spans="3:6" x14ac:dyDescent="0.25">
      <c r="C2310" s="2" t="s">
        <v>2829</v>
      </c>
      <c r="D2310" s="2" t="s">
        <v>292</v>
      </c>
      <c r="E2310" s="2">
        <v>28</v>
      </c>
      <c r="F2310" s="2">
        <v>543.92</v>
      </c>
    </row>
    <row r="2311" spans="3:6" x14ac:dyDescent="0.25">
      <c r="C2311" s="2" t="s">
        <v>2830</v>
      </c>
      <c r="D2311" s="2" t="s">
        <v>292</v>
      </c>
      <c r="E2311" s="2">
        <v>20</v>
      </c>
      <c r="F2311" s="2">
        <v>402.08</v>
      </c>
    </row>
    <row r="2312" spans="3:6" x14ac:dyDescent="0.25">
      <c r="C2312" s="2" t="s">
        <v>2831</v>
      </c>
      <c r="D2312" s="2" t="s">
        <v>292</v>
      </c>
      <c r="E2312" s="2">
        <v>18</v>
      </c>
      <c r="F2312" s="2">
        <v>345.99</v>
      </c>
    </row>
    <row r="2313" spans="3:6" x14ac:dyDescent="0.25">
      <c r="C2313" s="2" t="s">
        <v>2832</v>
      </c>
      <c r="D2313" s="2" t="s">
        <v>292</v>
      </c>
      <c r="E2313" s="2">
        <v>45</v>
      </c>
      <c r="F2313" s="2">
        <v>239.68</v>
      </c>
    </row>
    <row r="2314" spans="3:6" x14ac:dyDescent="0.25">
      <c r="C2314" s="2" t="s">
        <v>2833</v>
      </c>
      <c r="D2314" s="2" t="s">
        <v>292</v>
      </c>
      <c r="E2314" s="2">
        <v>103</v>
      </c>
      <c r="F2314" s="2">
        <v>2030.129</v>
      </c>
    </row>
    <row r="2315" spans="3:6" x14ac:dyDescent="0.25">
      <c r="C2315" s="2" t="s">
        <v>2834</v>
      </c>
      <c r="D2315" s="2" t="s">
        <v>292</v>
      </c>
      <c r="E2315" s="2">
        <v>91</v>
      </c>
      <c r="F2315" s="2">
        <v>1791.68</v>
      </c>
    </row>
    <row r="2316" spans="3:6" x14ac:dyDescent="0.25">
      <c r="C2316" s="2" t="s">
        <v>2835</v>
      </c>
      <c r="D2316" s="2" t="s">
        <v>292</v>
      </c>
      <c r="E2316" s="2">
        <v>38</v>
      </c>
      <c r="F2316" s="2">
        <v>801.85</v>
      </c>
    </row>
    <row r="2317" spans="3:6" x14ac:dyDescent="0.25">
      <c r="C2317" s="2" t="s">
        <v>2836</v>
      </c>
      <c r="D2317" s="2" t="s">
        <v>292</v>
      </c>
      <c r="E2317" s="2">
        <v>15</v>
      </c>
      <c r="F2317" s="2">
        <v>312.07</v>
      </c>
    </row>
    <row r="2318" spans="3:6" x14ac:dyDescent="0.25">
      <c r="C2318" s="2" t="s">
        <v>2837</v>
      </c>
      <c r="D2318" s="2" t="s">
        <v>292</v>
      </c>
      <c r="E2318" s="2">
        <v>44</v>
      </c>
      <c r="F2318" s="2">
        <v>893.21</v>
      </c>
    </row>
    <row r="2319" spans="3:6" x14ac:dyDescent="0.25">
      <c r="C2319" s="2" t="s">
        <v>2838</v>
      </c>
      <c r="D2319" s="2" t="s">
        <v>292</v>
      </c>
      <c r="E2319" s="2">
        <v>35</v>
      </c>
      <c r="F2319" s="2">
        <v>753.18</v>
      </c>
    </row>
    <row r="2320" spans="3:6" x14ac:dyDescent="0.25">
      <c r="C2320" s="2" t="s">
        <v>2839</v>
      </c>
      <c r="D2320" s="2" t="s">
        <v>292</v>
      </c>
      <c r="E2320" s="2">
        <v>58</v>
      </c>
      <c r="F2320" s="2">
        <v>1168.71</v>
      </c>
    </row>
    <row r="2321" spans="3:6" x14ac:dyDescent="0.25">
      <c r="C2321" s="2" t="s">
        <v>2840</v>
      </c>
      <c r="D2321" s="2" t="s">
        <v>292</v>
      </c>
      <c r="E2321" s="2">
        <v>6</v>
      </c>
      <c r="F2321" s="2">
        <v>122.89</v>
      </c>
    </row>
    <row r="2322" spans="3:6" x14ac:dyDescent="0.25">
      <c r="C2322" s="2" t="s">
        <v>2841</v>
      </c>
      <c r="D2322" s="2" t="s">
        <v>292</v>
      </c>
      <c r="E2322" s="2">
        <v>6</v>
      </c>
      <c r="F2322" s="2">
        <v>115.62</v>
      </c>
    </row>
    <row r="2323" spans="3:6" x14ac:dyDescent="0.25">
      <c r="C2323" s="2" t="s">
        <v>2842</v>
      </c>
      <c r="D2323" s="2" t="s">
        <v>292</v>
      </c>
      <c r="E2323" s="2">
        <v>66</v>
      </c>
      <c r="F2323" s="2">
        <v>1047.549</v>
      </c>
    </row>
    <row r="2324" spans="3:6" x14ac:dyDescent="0.25">
      <c r="C2324" s="2" t="s">
        <v>2843</v>
      </c>
      <c r="D2324" s="2" t="s">
        <v>292</v>
      </c>
      <c r="E2324" s="2">
        <v>41</v>
      </c>
      <c r="F2324" s="2">
        <v>721.279</v>
      </c>
    </row>
    <row r="2325" spans="3:6" x14ac:dyDescent="0.25">
      <c r="C2325" s="2" t="s">
        <v>2844</v>
      </c>
      <c r="D2325" s="2" t="s">
        <v>292</v>
      </c>
      <c r="E2325" s="2">
        <v>22</v>
      </c>
      <c r="F2325" s="2">
        <v>449.02</v>
      </c>
    </row>
    <row r="2326" spans="3:6" x14ac:dyDescent="0.25">
      <c r="C2326" s="2" t="s">
        <v>2845</v>
      </c>
      <c r="D2326" s="2" t="s">
        <v>292</v>
      </c>
      <c r="E2326" s="2">
        <v>29</v>
      </c>
      <c r="F2326" s="2">
        <v>539.22</v>
      </c>
    </row>
    <row r="2327" spans="3:6" x14ac:dyDescent="0.25">
      <c r="C2327" s="2" t="s">
        <v>2846</v>
      </c>
      <c r="D2327" s="2" t="s">
        <v>292</v>
      </c>
      <c r="E2327" s="2">
        <v>32</v>
      </c>
      <c r="F2327" s="2">
        <v>581.56</v>
      </c>
    </row>
    <row r="2328" spans="3:6" x14ac:dyDescent="0.25">
      <c r="C2328" s="2" t="s">
        <v>2847</v>
      </c>
      <c r="D2328" s="2" t="s">
        <v>292</v>
      </c>
      <c r="E2328" s="2">
        <v>39</v>
      </c>
      <c r="F2328" s="2">
        <v>677.81</v>
      </c>
    </row>
    <row r="2329" spans="3:6" x14ac:dyDescent="0.25">
      <c r="C2329" s="2" t="s">
        <v>2848</v>
      </c>
      <c r="D2329" s="2" t="s">
        <v>292</v>
      </c>
      <c r="E2329" s="2">
        <v>19</v>
      </c>
      <c r="F2329" s="2">
        <v>395.84</v>
      </c>
    </row>
    <row r="2330" spans="3:6" x14ac:dyDescent="0.25">
      <c r="C2330" s="2" t="s">
        <v>2849</v>
      </c>
      <c r="D2330" s="2" t="s">
        <v>292</v>
      </c>
      <c r="E2330" s="2">
        <v>21</v>
      </c>
      <c r="F2330" s="2">
        <v>400.33</v>
      </c>
    </row>
    <row r="2331" spans="3:6" x14ac:dyDescent="0.25">
      <c r="C2331" s="2" t="s">
        <v>2850</v>
      </c>
      <c r="D2331" s="2" t="s">
        <v>292</v>
      </c>
      <c r="E2331" s="2">
        <v>42</v>
      </c>
      <c r="F2331" s="2">
        <v>724.18</v>
      </c>
    </row>
    <row r="2332" spans="3:6" x14ac:dyDescent="0.25">
      <c r="C2332" s="2" t="s">
        <v>2851</v>
      </c>
      <c r="D2332" s="2" t="s">
        <v>292</v>
      </c>
      <c r="E2332" s="2">
        <v>18</v>
      </c>
      <c r="F2332" s="2">
        <v>285.7</v>
      </c>
    </row>
    <row r="2333" spans="3:6" x14ac:dyDescent="0.25">
      <c r="C2333" s="2" t="s">
        <v>2852</v>
      </c>
      <c r="D2333" s="2" t="s">
        <v>292</v>
      </c>
      <c r="E2333" s="2">
        <v>60</v>
      </c>
      <c r="F2333" s="2">
        <v>1149.759</v>
      </c>
    </row>
    <row r="2334" spans="3:6" x14ac:dyDescent="0.25">
      <c r="C2334" s="2" t="s">
        <v>2853</v>
      </c>
      <c r="D2334" s="2" t="s">
        <v>292</v>
      </c>
      <c r="E2334" s="2">
        <v>52</v>
      </c>
      <c r="F2334" s="2">
        <v>989.489</v>
      </c>
    </row>
    <row r="2335" spans="3:6" x14ac:dyDescent="0.25">
      <c r="C2335" s="2" t="s">
        <v>2854</v>
      </c>
      <c r="D2335" s="2" t="s">
        <v>292</v>
      </c>
      <c r="E2335" s="2">
        <v>48</v>
      </c>
      <c r="F2335" s="2">
        <v>946.98</v>
      </c>
    </row>
    <row r="2336" spans="3:6" x14ac:dyDescent="0.25">
      <c r="C2336" s="2" t="s">
        <v>2855</v>
      </c>
      <c r="D2336" s="2" t="s">
        <v>292</v>
      </c>
      <c r="E2336" s="2">
        <v>11</v>
      </c>
      <c r="F2336" s="2">
        <v>194.56</v>
      </c>
    </row>
    <row r="2337" spans="3:6" x14ac:dyDescent="0.25">
      <c r="C2337" s="2" t="s">
        <v>2856</v>
      </c>
      <c r="D2337" s="2" t="s">
        <v>292</v>
      </c>
      <c r="E2337" s="2">
        <v>9</v>
      </c>
      <c r="F2337" s="2">
        <v>179.21</v>
      </c>
    </row>
    <row r="2338" spans="3:6" x14ac:dyDescent="0.25">
      <c r="C2338" s="2" t="s">
        <v>2857</v>
      </c>
      <c r="D2338" s="2" t="s">
        <v>292</v>
      </c>
      <c r="E2338" s="2">
        <v>102</v>
      </c>
      <c r="F2338" s="2">
        <v>1645.539</v>
      </c>
    </row>
    <row r="2339" spans="3:6" x14ac:dyDescent="0.25">
      <c r="C2339" s="2" t="s">
        <v>2858</v>
      </c>
      <c r="D2339" s="2" t="s">
        <v>292</v>
      </c>
      <c r="E2339" s="2">
        <v>66</v>
      </c>
      <c r="F2339" s="2">
        <v>1370.5</v>
      </c>
    </row>
    <row r="2340" spans="3:6" x14ac:dyDescent="0.25">
      <c r="C2340" s="2" t="s">
        <v>2859</v>
      </c>
      <c r="D2340" s="2" t="s">
        <v>292</v>
      </c>
      <c r="E2340" s="2">
        <v>66</v>
      </c>
      <c r="F2340" s="2">
        <v>1313.64</v>
      </c>
    </row>
    <row r="2341" spans="3:6" x14ac:dyDescent="0.25">
      <c r="C2341" s="2" t="s">
        <v>2860</v>
      </c>
      <c r="D2341" s="2" t="s">
        <v>292</v>
      </c>
      <c r="E2341" s="2">
        <v>19</v>
      </c>
      <c r="F2341" s="2">
        <v>369.35</v>
      </c>
    </row>
    <row r="2342" spans="3:6" x14ac:dyDescent="0.25">
      <c r="C2342" s="2" t="s">
        <v>2861</v>
      </c>
      <c r="D2342" s="2" t="s">
        <v>292</v>
      </c>
      <c r="E2342" s="2">
        <v>37</v>
      </c>
      <c r="F2342" s="2">
        <v>712.53</v>
      </c>
    </row>
    <row r="2343" spans="3:6" x14ac:dyDescent="0.25">
      <c r="C2343" s="2" t="s">
        <v>2862</v>
      </c>
      <c r="D2343" s="2" t="s">
        <v>292</v>
      </c>
      <c r="E2343" s="2">
        <v>34</v>
      </c>
      <c r="F2343" s="2">
        <v>695.12</v>
      </c>
    </row>
    <row r="2344" spans="3:6" x14ac:dyDescent="0.25">
      <c r="C2344" s="2" t="s">
        <v>2863</v>
      </c>
      <c r="D2344" s="2" t="s">
        <v>292</v>
      </c>
      <c r="E2344" s="2">
        <v>33</v>
      </c>
      <c r="F2344" s="2">
        <v>650.49</v>
      </c>
    </row>
    <row r="2345" spans="3:6" x14ac:dyDescent="0.25">
      <c r="C2345" s="2" t="s">
        <v>2864</v>
      </c>
      <c r="D2345" s="2" t="s">
        <v>292</v>
      </c>
      <c r="E2345" s="2">
        <v>44</v>
      </c>
      <c r="F2345" s="2">
        <v>900.6</v>
      </c>
    </row>
    <row r="2346" spans="3:6" x14ac:dyDescent="0.25">
      <c r="C2346" s="2" t="s">
        <v>2865</v>
      </c>
      <c r="D2346" s="2" t="s">
        <v>292</v>
      </c>
      <c r="E2346" s="2">
        <v>10</v>
      </c>
      <c r="F2346" s="2">
        <v>98.61</v>
      </c>
    </row>
    <row r="2347" spans="3:6" x14ac:dyDescent="0.25">
      <c r="C2347" s="2" t="s">
        <v>2866</v>
      </c>
      <c r="D2347" s="2" t="s">
        <v>292</v>
      </c>
      <c r="E2347" s="2">
        <v>89</v>
      </c>
      <c r="F2347" s="2">
        <v>1730.51</v>
      </c>
    </row>
    <row r="2348" spans="3:6" x14ac:dyDescent="0.25">
      <c r="C2348" s="2" t="s">
        <v>2867</v>
      </c>
      <c r="D2348" s="2" t="s">
        <v>292</v>
      </c>
      <c r="E2348" s="2">
        <v>115</v>
      </c>
      <c r="F2348" s="2">
        <v>2624.81</v>
      </c>
    </row>
    <row r="2350" spans="1:7" x14ac:dyDescent="0.25">
      <c r="A2350" s="1">
        <v>46225</v>
      </c>
      <c r="B2350" s="2" t="s">
        <v>2868</v>
      </c>
      <c r="C2350" s="2" t="s">
        <v>2869</v>
      </c>
      <c r="D2350" s="2" t="s">
        <v>59</v>
      </c>
      <c r="E2350" s="2">
        <v>105</v>
      </c>
      <c r="F2350" s="2">
        <v>2078.69</v>
      </c>
      <c r="G2350" s="1">
        <v>46224</v>
      </c>
    </row>
    <row r="2351" spans="3:6" x14ac:dyDescent="0.25">
      <c r="C2351" s="2" t="s">
        <v>2870</v>
      </c>
      <c r="D2351" s="2" t="s">
        <v>59</v>
      </c>
      <c r="E2351" s="2">
        <v>155</v>
      </c>
      <c r="F2351" s="2">
        <v>3307.86</v>
      </c>
    </row>
    <row r="2352" spans="3:6" x14ac:dyDescent="0.25">
      <c r="C2352" s="2" t="s">
        <v>2871</v>
      </c>
      <c r="D2352" s="2" t="s">
        <v>59</v>
      </c>
      <c r="E2352" s="2">
        <v>156</v>
      </c>
      <c r="F2352" s="2">
        <v>3077.399</v>
      </c>
    </row>
    <row r="2353" spans="3:6" x14ac:dyDescent="0.25">
      <c r="C2353" s="2" t="s">
        <v>2872</v>
      </c>
      <c r="D2353" s="2" t="s">
        <v>59</v>
      </c>
      <c r="E2353" s="2">
        <v>105</v>
      </c>
      <c r="F2353" s="2">
        <v>2040.1</v>
      </c>
    </row>
    <row r="2354" spans="3:6" x14ac:dyDescent="0.25">
      <c r="C2354" s="2" t="s">
        <v>2873</v>
      </c>
      <c r="D2354" s="2" t="s">
        <v>59</v>
      </c>
      <c r="E2354" s="2">
        <v>156</v>
      </c>
      <c r="F2354" s="2">
        <v>3179.36</v>
      </c>
    </row>
    <row r="2355" spans="3:6" x14ac:dyDescent="0.25">
      <c r="C2355" s="2" t="s">
        <v>2874</v>
      </c>
      <c r="D2355" s="2" t="s">
        <v>59</v>
      </c>
      <c r="E2355" s="2">
        <v>105</v>
      </c>
      <c r="F2355" s="2">
        <v>2027.479</v>
      </c>
    </row>
    <row r="2356" spans="3:6" x14ac:dyDescent="0.25">
      <c r="C2356" s="2" t="s">
        <v>2875</v>
      </c>
      <c r="D2356" s="2" t="s">
        <v>59</v>
      </c>
      <c r="E2356" s="2">
        <v>154</v>
      </c>
      <c r="F2356" s="2">
        <v>2993.71</v>
      </c>
    </row>
    <row r="2357" spans="3:6" x14ac:dyDescent="0.25">
      <c r="C2357" s="2" t="s">
        <v>2876</v>
      </c>
      <c r="D2357" s="2" t="s">
        <v>59</v>
      </c>
      <c r="E2357" s="2">
        <v>105</v>
      </c>
      <c r="F2357" s="2">
        <v>1990.91</v>
      </c>
    </row>
    <row r="2358" spans="3:6" x14ac:dyDescent="0.25">
      <c r="C2358" s="2" t="s">
        <v>2877</v>
      </c>
      <c r="D2358" s="2" t="s">
        <v>59</v>
      </c>
      <c r="E2358" s="2">
        <v>156</v>
      </c>
      <c r="F2358" s="2">
        <v>3037.27</v>
      </c>
    </row>
    <row r="2360" spans="1:7" x14ac:dyDescent="0.25">
      <c r="A2360" s="1">
        <v>46225</v>
      </c>
      <c r="B2360" s="2" t="s">
        <v>664</v>
      </c>
      <c r="C2360" s="2" t="s">
        <v>2878</v>
      </c>
      <c r="D2360" s="2" t="s">
        <v>136</v>
      </c>
      <c r="E2360" s="2">
        <v>100</v>
      </c>
      <c r="F2360" s="2">
        <v>2073.73</v>
      </c>
      <c r="G2360" s="1">
        <v>46224</v>
      </c>
    </row>
    <row r="2361" spans="3:6" x14ac:dyDescent="0.25">
      <c r="C2361" s="2" t="s">
        <v>2879</v>
      </c>
      <c r="D2361" s="2" t="s">
        <v>136</v>
      </c>
      <c r="E2361" s="2">
        <v>32</v>
      </c>
      <c r="F2361" s="2">
        <v>526.199</v>
      </c>
    </row>
    <row r="2363" spans="1:7" x14ac:dyDescent="0.25">
      <c r="A2363" s="1">
        <v>46226</v>
      </c>
      <c r="B2363" s="2" t="s">
        <v>7</v>
      </c>
      <c r="C2363" s="2" t="s">
        <v>2880</v>
      </c>
      <c r="D2363" s="2" t="s">
        <v>9</v>
      </c>
      <c r="E2363" s="2">
        <v>90</v>
      </c>
      <c r="F2363" s="2">
        <v>1869.818</v>
      </c>
      <c r="G2363" s="1">
        <v>46226</v>
      </c>
    </row>
    <row r="2364" spans="3:6" x14ac:dyDescent="0.25">
      <c r="C2364" s="2" t="s">
        <v>2881</v>
      </c>
      <c r="D2364" s="2" t="s">
        <v>9</v>
      </c>
      <c r="E2364" s="2">
        <v>90</v>
      </c>
      <c r="F2364" s="2">
        <v>1807.48</v>
      </c>
    </row>
    <row r="2366" spans="1:7" x14ac:dyDescent="0.25">
      <c r="A2366" s="1">
        <v>46226</v>
      </c>
      <c r="B2366" s="2" t="s">
        <v>495</v>
      </c>
      <c r="C2366" s="2" t="s">
        <v>2882</v>
      </c>
      <c r="D2366" s="2" t="s">
        <v>82</v>
      </c>
      <c r="E2366" s="2">
        <v>141</v>
      </c>
      <c r="F2366" s="2">
        <v>2887.25</v>
      </c>
      <c r="G2366" s="1">
        <v>46226</v>
      </c>
    </row>
    <row r="2367" spans="3:6" x14ac:dyDescent="0.25">
      <c r="C2367" s="2" t="s">
        <v>2883</v>
      </c>
      <c r="D2367" s="2" t="s">
        <v>82</v>
      </c>
      <c r="E2367" s="2">
        <v>83</v>
      </c>
      <c r="F2367" s="2">
        <v>374.979</v>
      </c>
    </row>
    <row r="2368" spans="3:6" x14ac:dyDescent="0.25">
      <c r="C2368" s="2" t="s">
        <v>2884</v>
      </c>
      <c r="D2368" s="2" t="s">
        <v>82</v>
      </c>
      <c r="E2368" s="2">
        <v>40</v>
      </c>
      <c r="F2368" s="2">
        <v>829.63</v>
      </c>
    </row>
    <row r="2369" spans="3:6" x14ac:dyDescent="0.25">
      <c r="C2369" s="2" t="s">
        <v>2885</v>
      </c>
      <c r="D2369" s="2" t="s">
        <v>82</v>
      </c>
      <c r="E2369" s="2">
        <v>62</v>
      </c>
      <c r="F2369" s="2">
        <v>1242.17</v>
      </c>
    </row>
    <row r="2370" spans="3:6" x14ac:dyDescent="0.25">
      <c r="C2370" s="2" t="s">
        <v>2886</v>
      </c>
      <c r="D2370" s="2" t="s">
        <v>82</v>
      </c>
      <c r="E2370" s="2">
        <v>35</v>
      </c>
      <c r="F2370" s="2">
        <v>153.129</v>
      </c>
    </row>
    <row r="2371" spans="3:6" x14ac:dyDescent="0.25">
      <c r="C2371" s="2" t="s">
        <v>2887</v>
      </c>
      <c r="D2371" s="2" t="s">
        <v>82</v>
      </c>
      <c r="E2371" s="2">
        <v>141</v>
      </c>
      <c r="F2371" s="2">
        <v>2929.44</v>
      </c>
    </row>
    <row r="2372" spans="3:6" x14ac:dyDescent="0.25">
      <c r="C2372" s="2" t="s">
        <v>2888</v>
      </c>
      <c r="D2372" s="2" t="s">
        <v>82</v>
      </c>
      <c r="E2372" s="2">
        <v>141</v>
      </c>
      <c r="F2372" s="2">
        <v>2889.97</v>
      </c>
    </row>
    <row r="2373" spans="3:6" x14ac:dyDescent="0.25">
      <c r="C2373" s="2" t="s">
        <v>2889</v>
      </c>
      <c r="D2373" s="2" t="s">
        <v>82</v>
      </c>
      <c r="E2373" s="2">
        <v>32</v>
      </c>
      <c r="F2373" s="2">
        <v>143.209</v>
      </c>
    </row>
    <row r="2374" spans="3:6" x14ac:dyDescent="0.25">
      <c r="C2374" s="2" t="s">
        <v>2890</v>
      </c>
      <c r="D2374" s="2" t="s">
        <v>82</v>
      </c>
      <c r="E2374" s="2">
        <v>141</v>
      </c>
      <c r="F2374" s="2">
        <v>2808.52</v>
      </c>
    </row>
    <row r="2375" spans="3:6" x14ac:dyDescent="0.25">
      <c r="C2375" s="2" t="s">
        <v>2891</v>
      </c>
      <c r="D2375" s="2" t="s">
        <v>82</v>
      </c>
      <c r="E2375" s="2">
        <v>141</v>
      </c>
      <c r="F2375" s="2">
        <v>2802.79</v>
      </c>
    </row>
    <row r="2376" spans="3:6" x14ac:dyDescent="0.25">
      <c r="C2376" s="2" t="s">
        <v>2892</v>
      </c>
      <c r="D2376" s="2" t="s">
        <v>82</v>
      </c>
      <c r="E2376" s="2">
        <v>141</v>
      </c>
      <c r="F2376" s="2">
        <v>2915.18</v>
      </c>
    </row>
    <row r="2377" spans="3:6" x14ac:dyDescent="0.25">
      <c r="C2377" s="2" t="s">
        <v>2893</v>
      </c>
      <c r="D2377" s="2" t="s">
        <v>82</v>
      </c>
      <c r="E2377" s="2">
        <v>75</v>
      </c>
      <c r="F2377" s="2">
        <v>1502.26</v>
      </c>
    </row>
    <row r="2378" spans="3:6" x14ac:dyDescent="0.25">
      <c r="C2378" s="2" t="s">
        <v>2894</v>
      </c>
      <c r="D2378" s="2" t="s">
        <v>82</v>
      </c>
      <c r="E2378" s="2">
        <v>102</v>
      </c>
      <c r="F2378" s="2">
        <v>1956.29</v>
      </c>
    </row>
    <row r="2379" spans="3:6" x14ac:dyDescent="0.25">
      <c r="C2379" s="2" t="s">
        <v>2895</v>
      </c>
      <c r="D2379" s="2" t="s">
        <v>82</v>
      </c>
      <c r="E2379" s="2">
        <v>50</v>
      </c>
      <c r="F2379" s="2">
        <v>956.299</v>
      </c>
    </row>
    <row r="2380" spans="3:6" x14ac:dyDescent="0.25">
      <c r="C2380" s="2" t="s">
        <v>2896</v>
      </c>
      <c r="D2380" s="2" t="s">
        <v>82</v>
      </c>
      <c r="E2380" s="2">
        <v>52</v>
      </c>
      <c r="F2380" s="2">
        <v>1035.538</v>
      </c>
    </row>
    <row r="2381" spans="3:6" x14ac:dyDescent="0.25">
      <c r="C2381" s="2" t="s">
        <v>2897</v>
      </c>
      <c r="D2381" s="2" t="s">
        <v>82</v>
      </c>
      <c r="E2381" s="2">
        <v>102</v>
      </c>
      <c r="F2381" s="2">
        <v>2086.71</v>
      </c>
    </row>
    <row r="2382" spans="3:6" x14ac:dyDescent="0.25">
      <c r="C2382" s="2" t="s">
        <v>2898</v>
      </c>
      <c r="D2382" s="2" t="s">
        <v>82</v>
      </c>
      <c r="E2382" s="2">
        <v>68</v>
      </c>
      <c r="F2382" s="2">
        <v>1319.96</v>
      </c>
    </row>
    <row r="2383" spans="3:6" x14ac:dyDescent="0.25">
      <c r="C2383" s="2" t="s">
        <v>2899</v>
      </c>
      <c r="D2383" s="2" t="s">
        <v>82</v>
      </c>
      <c r="E2383" s="2">
        <v>53</v>
      </c>
      <c r="F2383" s="2">
        <v>1060.29</v>
      </c>
    </row>
    <row r="2384" spans="3:6" x14ac:dyDescent="0.25">
      <c r="C2384" s="2" t="s">
        <v>2900</v>
      </c>
      <c r="D2384" s="2" t="s">
        <v>82</v>
      </c>
      <c r="E2384" s="2">
        <v>70</v>
      </c>
      <c r="F2384" s="2">
        <v>1448.939</v>
      </c>
    </row>
    <row r="2385" spans="3:6" x14ac:dyDescent="0.25">
      <c r="C2385" s="2" t="s">
        <v>2901</v>
      </c>
      <c r="D2385" s="2" t="s">
        <v>82</v>
      </c>
      <c r="E2385" s="2">
        <v>51</v>
      </c>
      <c r="F2385" s="2">
        <v>1054.57</v>
      </c>
    </row>
    <row r="2386" spans="3:6" x14ac:dyDescent="0.25">
      <c r="C2386" s="2" t="s">
        <v>2902</v>
      </c>
      <c r="D2386" s="2" t="s">
        <v>82</v>
      </c>
      <c r="E2386" s="2">
        <v>42</v>
      </c>
      <c r="F2386" s="2">
        <v>887.5</v>
      </c>
    </row>
    <row r="2387" spans="3:6" x14ac:dyDescent="0.25">
      <c r="C2387" s="2" t="s">
        <v>2903</v>
      </c>
      <c r="D2387" s="2" t="s">
        <v>82</v>
      </c>
      <c r="E2387" s="2">
        <v>79</v>
      </c>
      <c r="F2387" s="2">
        <v>1479.439</v>
      </c>
    </row>
    <row r="2388" spans="3:6" x14ac:dyDescent="0.25">
      <c r="C2388" s="2" t="s">
        <v>2904</v>
      </c>
      <c r="D2388" s="2" t="s">
        <v>82</v>
      </c>
      <c r="E2388" s="2">
        <v>41</v>
      </c>
      <c r="F2388" s="2">
        <v>656.609</v>
      </c>
    </row>
    <row r="2389" spans="3:6" x14ac:dyDescent="0.25">
      <c r="C2389" s="2" t="s">
        <v>2905</v>
      </c>
      <c r="D2389" s="2" t="s">
        <v>82</v>
      </c>
      <c r="E2389" s="2">
        <v>40</v>
      </c>
      <c r="F2389" s="2">
        <v>759.98</v>
      </c>
    </row>
    <row r="2390" spans="3:6" x14ac:dyDescent="0.25">
      <c r="C2390" s="2" t="s">
        <v>2906</v>
      </c>
      <c r="D2390" s="2" t="s">
        <v>82</v>
      </c>
      <c r="E2390" s="2">
        <v>40</v>
      </c>
      <c r="F2390" s="2">
        <v>789.93</v>
      </c>
    </row>
    <row r="2391" spans="3:6" x14ac:dyDescent="0.25">
      <c r="C2391" s="2" t="s">
        <v>2907</v>
      </c>
      <c r="D2391" s="2" t="s">
        <v>82</v>
      </c>
      <c r="E2391" s="2">
        <v>32</v>
      </c>
      <c r="F2391" s="2">
        <v>632.29</v>
      </c>
    </row>
    <row r="2392" spans="3:6" x14ac:dyDescent="0.25">
      <c r="C2392" s="2" t="s">
        <v>2908</v>
      </c>
      <c r="D2392" s="2" t="s">
        <v>82</v>
      </c>
      <c r="E2392" s="2">
        <v>20</v>
      </c>
      <c r="F2392" s="2">
        <v>353.38</v>
      </c>
    </row>
    <row r="2393" spans="3:6" x14ac:dyDescent="0.25">
      <c r="C2393" s="2" t="s">
        <v>2909</v>
      </c>
      <c r="D2393" s="2" t="s">
        <v>82</v>
      </c>
      <c r="E2393" s="2">
        <v>11</v>
      </c>
      <c r="F2393" s="2">
        <v>229.14</v>
      </c>
    </row>
    <row r="2394" spans="3:6" x14ac:dyDescent="0.25">
      <c r="C2394" s="2" t="s">
        <v>2910</v>
      </c>
      <c r="D2394" s="2" t="s">
        <v>82</v>
      </c>
      <c r="E2394" s="2">
        <v>20</v>
      </c>
      <c r="F2394" s="2">
        <v>428.86</v>
      </c>
    </row>
    <row r="2395" spans="3:6" x14ac:dyDescent="0.25">
      <c r="C2395" s="2" t="s">
        <v>2911</v>
      </c>
      <c r="D2395" s="2" t="s">
        <v>82</v>
      </c>
      <c r="E2395" s="2">
        <v>20</v>
      </c>
      <c r="F2395" s="2">
        <v>379.76</v>
      </c>
    </row>
    <row r="2396" spans="3:6" x14ac:dyDescent="0.25">
      <c r="C2396" s="2" t="s">
        <v>2912</v>
      </c>
      <c r="D2396" s="2" t="s">
        <v>82</v>
      </c>
      <c r="E2396" s="2">
        <v>85</v>
      </c>
      <c r="F2396" s="2">
        <v>1637.58</v>
      </c>
    </row>
    <row r="2397" spans="3:6" x14ac:dyDescent="0.25">
      <c r="C2397" s="2" t="s">
        <v>2913</v>
      </c>
      <c r="D2397" s="2" t="s">
        <v>82</v>
      </c>
      <c r="E2397" s="2">
        <v>49</v>
      </c>
      <c r="F2397" s="2">
        <v>926.179</v>
      </c>
    </row>
    <row r="2398" spans="3:6" x14ac:dyDescent="0.25">
      <c r="C2398" s="2" t="s">
        <v>2914</v>
      </c>
      <c r="D2398" s="2" t="s">
        <v>82</v>
      </c>
      <c r="E2398" s="2">
        <v>141</v>
      </c>
      <c r="F2398" s="2">
        <v>2814.37</v>
      </c>
    </row>
    <row r="2399" spans="3:6" x14ac:dyDescent="0.25">
      <c r="C2399" s="2" t="s">
        <v>2915</v>
      </c>
      <c r="D2399" s="2" t="s">
        <v>82</v>
      </c>
      <c r="E2399" s="2">
        <v>141</v>
      </c>
      <c r="F2399" s="2">
        <v>2908.07</v>
      </c>
    </row>
    <row r="2400" spans="3:6" x14ac:dyDescent="0.25">
      <c r="C2400" s="2" t="s">
        <v>2916</v>
      </c>
      <c r="D2400" s="2" t="s">
        <v>82</v>
      </c>
      <c r="E2400" s="2">
        <v>141</v>
      </c>
      <c r="F2400" s="2">
        <v>2795.58</v>
      </c>
    </row>
    <row r="2401" spans="3:6" x14ac:dyDescent="0.25">
      <c r="C2401" s="2" t="s">
        <v>2917</v>
      </c>
      <c r="D2401" s="2" t="s">
        <v>82</v>
      </c>
      <c r="E2401" s="2">
        <v>81</v>
      </c>
      <c r="F2401" s="2">
        <v>1423.31</v>
      </c>
    </row>
    <row r="2402" spans="3:6" x14ac:dyDescent="0.25">
      <c r="C2402" s="2" t="s">
        <v>2918</v>
      </c>
      <c r="D2402" s="2" t="s">
        <v>82</v>
      </c>
      <c r="E2402" s="2">
        <v>61</v>
      </c>
      <c r="F2402" s="2">
        <v>1177.189</v>
      </c>
    </row>
    <row r="2403" spans="3:6" x14ac:dyDescent="0.25">
      <c r="C2403" s="2" t="s">
        <v>2919</v>
      </c>
      <c r="D2403" s="2" t="s">
        <v>82</v>
      </c>
      <c r="E2403" s="2">
        <v>88</v>
      </c>
      <c r="F2403" s="2">
        <v>2475.634</v>
      </c>
    </row>
    <row r="2404" spans="3:6" x14ac:dyDescent="0.25">
      <c r="C2404" s="2" t="s">
        <v>2920</v>
      </c>
      <c r="D2404" s="2" t="s">
        <v>82</v>
      </c>
      <c r="E2404" s="2">
        <v>115</v>
      </c>
      <c r="F2404" s="2">
        <v>1175.431</v>
      </c>
    </row>
    <row r="2406" spans="1:7" x14ac:dyDescent="0.25">
      <c r="A2406" s="1">
        <v>46226</v>
      </c>
      <c r="B2406" s="2" t="s">
        <v>420</v>
      </c>
      <c r="C2406" s="2" t="s">
        <v>2921</v>
      </c>
      <c r="D2406" s="2" t="s">
        <v>59</v>
      </c>
      <c r="E2406" s="2">
        <v>312</v>
      </c>
      <c r="F2406" s="2">
        <v>5987.317</v>
      </c>
      <c r="G2406" s="1">
        <v>46226</v>
      </c>
    </row>
    <row r="2407" spans="3:6" x14ac:dyDescent="0.25">
      <c r="C2407" s="2" t="s">
        <v>2922</v>
      </c>
      <c r="D2407" s="2" t="s">
        <v>59</v>
      </c>
      <c r="E2407" s="2">
        <v>105</v>
      </c>
      <c r="F2407" s="2">
        <v>2188.86</v>
      </c>
    </row>
    <row r="2408" spans="3:6" x14ac:dyDescent="0.25">
      <c r="C2408" s="2" t="s">
        <v>2923</v>
      </c>
      <c r="D2408" s="2" t="s">
        <v>59</v>
      </c>
      <c r="E2408" s="2">
        <v>105</v>
      </c>
      <c r="F2408" s="2">
        <v>2083.34</v>
      </c>
    </row>
    <row r="2409" spans="3:6" x14ac:dyDescent="0.25">
      <c r="C2409" s="2" t="s">
        <v>2924</v>
      </c>
      <c r="D2409" s="2" t="s">
        <v>59</v>
      </c>
      <c r="E2409" s="2">
        <v>105</v>
      </c>
      <c r="F2409" s="2">
        <v>2056.95</v>
      </c>
    </row>
    <row r="2410" spans="3:6" x14ac:dyDescent="0.25">
      <c r="C2410" s="2" t="s">
        <v>2925</v>
      </c>
      <c r="D2410" s="2" t="s">
        <v>59</v>
      </c>
      <c r="E2410" s="2">
        <v>128</v>
      </c>
      <c r="F2410" s="2">
        <v>2557.65</v>
      </c>
    </row>
    <row r="2411" spans="3:6" x14ac:dyDescent="0.25">
      <c r="C2411" s="2" t="s">
        <v>2926</v>
      </c>
      <c r="D2411" s="2" t="s">
        <v>59</v>
      </c>
      <c r="E2411" s="2">
        <v>156</v>
      </c>
      <c r="F2411" s="2">
        <v>3084.07</v>
      </c>
    </row>
    <row r="2412" spans="3:6" x14ac:dyDescent="0.25">
      <c r="C2412" s="2" t="s">
        <v>2927</v>
      </c>
      <c r="D2412" s="2" t="s">
        <v>59</v>
      </c>
      <c r="E2412" s="2">
        <v>105</v>
      </c>
      <c r="F2412" s="2">
        <v>2053.61</v>
      </c>
    </row>
    <row r="2413" spans="3:6" x14ac:dyDescent="0.25">
      <c r="C2413" s="2" t="s">
        <v>2928</v>
      </c>
      <c r="D2413" s="2" t="s">
        <v>59</v>
      </c>
      <c r="E2413" s="2">
        <v>105</v>
      </c>
      <c r="F2413" s="2">
        <v>2092.004</v>
      </c>
    </row>
    <row r="2414" spans="3:6" x14ac:dyDescent="0.25">
      <c r="C2414" s="2" t="s">
        <v>2929</v>
      </c>
      <c r="D2414" s="2" t="s">
        <v>59</v>
      </c>
      <c r="E2414" s="2">
        <v>156</v>
      </c>
      <c r="F2414" s="2">
        <v>3143.769</v>
      </c>
    </row>
    <row r="2415" spans="3:6" x14ac:dyDescent="0.25">
      <c r="C2415" s="2" t="s">
        <v>2930</v>
      </c>
      <c r="D2415" s="2" t="s">
        <v>59</v>
      </c>
      <c r="E2415" s="2">
        <v>148</v>
      </c>
      <c r="F2415" s="2">
        <v>3072.59</v>
      </c>
    </row>
    <row r="2417" spans="1:7" x14ac:dyDescent="0.25">
      <c r="A2417" s="1">
        <v>46226</v>
      </c>
      <c r="B2417" s="2" t="s">
        <v>666</v>
      </c>
      <c r="C2417" s="2" t="s">
        <v>2931</v>
      </c>
      <c r="D2417" s="2" t="s">
        <v>59</v>
      </c>
      <c r="E2417" s="2">
        <v>149</v>
      </c>
      <c r="F2417" s="2">
        <v>2992.039</v>
      </c>
      <c r="G2417" s="1">
        <v>46226</v>
      </c>
    </row>
    <row r="2419" spans="1:7" x14ac:dyDescent="0.25">
      <c r="A2419" s="1">
        <v>46227</v>
      </c>
      <c r="B2419" s="2" t="s">
        <v>71</v>
      </c>
      <c r="C2419" s="2" t="s">
        <v>2932</v>
      </c>
      <c r="D2419" s="2" t="s">
        <v>73</v>
      </c>
      <c r="E2419" s="2">
        <v>34</v>
      </c>
      <c r="F2419" s="2">
        <v>637.81</v>
      </c>
      <c r="G2419" s="1">
        <v>46226</v>
      </c>
    </row>
    <row r="2420" spans="3:6" x14ac:dyDescent="0.25">
      <c r="C2420" s="2" t="s">
        <v>2933</v>
      </c>
      <c r="D2420" s="2" t="s">
        <v>73</v>
      </c>
      <c r="E2420" s="2">
        <v>33</v>
      </c>
      <c r="F2420" s="2">
        <v>621.84</v>
      </c>
    </row>
    <row r="2421" spans="3:6" x14ac:dyDescent="0.25">
      <c r="C2421" s="2" t="s">
        <v>2934</v>
      </c>
      <c r="D2421" s="2" t="s">
        <v>73</v>
      </c>
      <c r="E2421" s="2">
        <v>32</v>
      </c>
      <c r="F2421" s="2">
        <v>499.21</v>
      </c>
    </row>
    <row r="2422" spans="3:6" x14ac:dyDescent="0.25">
      <c r="C2422" s="2" t="s">
        <v>2935</v>
      </c>
      <c r="D2422" s="2" t="s">
        <v>73</v>
      </c>
      <c r="E2422" s="2">
        <v>91</v>
      </c>
      <c r="F2422" s="2">
        <v>1802.52</v>
      </c>
    </row>
    <row r="2423" spans="3:6" x14ac:dyDescent="0.25">
      <c r="C2423" s="2" t="s">
        <v>2936</v>
      </c>
      <c r="D2423" s="2" t="s">
        <v>73</v>
      </c>
      <c r="E2423" s="2">
        <v>96</v>
      </c>
      <c r="F2423" s="2">
        <v>1819.328</v>
      </c>
    </row>
    <row r="2424" spans="3:6" x14ac:dyDescent="0.25">
      <c r="C2424" s="2" t="s">
        <v>2937</v>
      </c>
      <c r="D2424" s="2" t="s">
        <v>73</v>
      </c>
      <c r="E2424" s="2">
        <v>57</v>
      </c>
      <c r="F2424" s="2">
        <v>1054.759</v>
      </c>
    </row>
    <row r="2425" spans="3:6" x14ac:dyDescent="0.25">
      <c r="C2425" s="2" t="s">
        <v>2938</v>
      </c>
      <c r="D2425" s="2" t="s">
        <v>73</v>
      </c>
      <c r="E2425" s="2">
        <v>42</v>
      </c>
      <c r="F2425" s="2">
        <v>666.35</v>
      </c>
    </row>
    <row r="2426" spans="3:4" x14ac:dyDescent="0.25">
      <c r="C2426" s="2" t="s">
        <v>2939</v>
      </c>
      <c r="D2426" s="2" t="s">
        <v>73</v>
      </c>
    </row>
    <row r="2427" spans="3:6" x14ac:dyDescent="0.25">
      <c r="C2427" s="2" t="s">
        <v>2940</v>
      </c>
      <c r="D2427" s="2" t="s">
        <v>73</v>
      </c>
      <c r="E2427" s="2">
        <v>66</v>
      </c>
      <c r="F2427" s="2">
        <v>1378.87</v>
      </c>
    </row>
    <row r="2429" spans="1:7" x14ac:dyDescent="0.25">
      <c r="A2429" s="1">
        <v>46227</v>
      </c>
      <c r="B2429" s="2" t="s">
        <v>1012</v>
      </c>
      <c r="C2429" s="2" t="s">
        <v>2941</v>
      </c>
      <c r="D2429" s="2" t="s">
        <v>73</v>
      </c>
      <c r="E2429" s="2">
        <v>38</v>
      </c>
      <c r="F2429" s="2">
        <v>656.68</v>
      </c>
      <c r="G2429" s="1">
        <v>46227</v>
      </c>
    </row>
    <row r="2430" spans="3:6" x14ac:dyDescent="0.25">
      <c r="C2430" s="2" t="s">
        <v>2942</v>
      </c>
      <c r="D2430" s="2" t="s">
        <v>73</v>
      </c>
      <c r="E2430" s="2">
        <v>41</v>
      </c>
      <c r="F2430" s="2">
        <v>774.639</v>
      </c>
    </row>
    <row r="2431" spans="3:6" x14ac:dyDescent="0.25">
      <c r="C2431" s="2" t="s">
        <v>2943</v>
      </c>
      <c r="D2431" s="2" t="s">
        <v>73</v>
      </c>
      <c r="E2431" s="2">
        <v>22</v>
      </c>
      <c r="F2431" s="2">
        <v>410.39</v>
      </c>
    </row>
    <row r="2432" spans="3:6" x14ac:dyDescent="0.25">
      <c r="C2432" s="2" t="s">
        <v>2944</v>
      </c>
      <c r="D2432" s="2" t="s">
        <v>73</v>
      </c>
      <c r="E2432" s="2">
        <v>101</v>
      </c>
      <c r="F2432" s="2">
        <v>1900.25</v>
      </c>
    </row>
    <row r="2433" spans="3:6" x14ac:dyDescent="0.25">
      <c r="C2433" s="2" t="s">
        <v>2945</v>
      </c>
      <c r="D2433" s="2" t="s">
        <v>73</v>
      </c>
      <c r="E2433" s="2">
        <v>101</v>
      </c>
      <c r="F2433" s="2">
        <v>1874.108</v>
      </c>
    </row>
    <row r="2435" spans="1:7" x14ac:dyDescent="0.25">
      <c r="A2435" s="1">
        <v>46227</v>
      </c>
      <c r="B2435" s="2" t="s">
        <v>229</v>
      </c>
      <c r="C2435" s="2" t="s">
        <v>2946</v>
      </c>
      <c r="D2435" s="2" t="s">
        <v>82</v>
      </c>
      <c r="E2435" s="2">
        <v>12</v>
      </c>
      <c r="F2435" s="2">
        <v>256.05</v>
      </c>
      <c r="G2435" s="1">
        <v>46226</v>
      </c>
    </row>
    <row r="2436" spans="3:6" x14ac:dyDescent="0.25">
      <c r="C2436" s="2" t="s">
        <v>2947</v>
      </c>
      <c r="D2436" s="2" t="s">
        <v>82</v>
      </c>
      <c r="E2436" s="2">
        <v>27</v>
      </c>
      <c r="F2436" s="2">
        <v>487.085</v>
      </c>
    </row>
    <row r="2437" spans="3:6" x14ac:dyDescent="0.25">
      <c r="C2437" s="2" t="s">
        <v>2948</v>
      </c>
      <c r="D2437" s="2" t="s">
        <v>82</v>
      </c>
      <c r="E2437" s="2">
        <v>26</v>
      </c>
      <c r="F2437" s="2">
        <v>551.53</v>
      </c>
    </row>
    <row r="2438" spans="3:6" x14ac:dyDescent="0.25">
      <c r="C2438" s="2" t="s">
        <v>2949</v>
      </c>
      <c r="D2438" s="2" t="s">
        <v>82</v>
      </c>
      <c r="E2438" s="2">
        <v>18</v>
      </c>
      <c r="F2438" s="2">
        <v>300.709</v>
      </c>
    </row>
    <row r="2439" spans="3:6" x14ac:dyDescent="0.25">
      <c r="C2439" s="2" t="s">
        <v>2950</v>
      </c>
      <c r="D2439" s="2" t="s">
        <v>82</v>
      </c>
      <c r="E2439" s="2">
        <v>17</v>
      </c>
      <c r="F2439" s="2">
        <v>348.95</v>
      </c>
    </row>
    <row r="2440" spans="3:6" x14ac:dyDescent="0.25">
      <c r="C2440" s="2" t="s">
        <v>2951</v>
      </c>
      <c r="D2440" s="2" t="s">
        <v>82</v>
      </c>
      <c r="E2440" s="2">
        <v>69</v>
      </c>
      <c r="F2440" s="2">
        <v>1391.77</v>
      </c>
    </row>
    <row r="2441" spans="3:6" x14ac:dyDescent="0.25">
      <c r="C2441" s="2" t="s">
        <v>2952</v>
      </c>
      <c r="D2441" s="2" t="s">
        <v>82</v>
      </c>
      <c r="E2441" s="2">
        <v>29</v>
      </c>
      <c r="F2441" s="2">
        <v>580.5</v>
      </c>
    </row>
    <row r="2442" spans="3:6" x14ac:dyDescent="0.25">
      <c r="C2442" s="2" t="s">
        <v>2953</v>
      </c>
      <c r="D2442" s="2" t="s">
        <v>82</v>
      </c>
      <c r="E2442" s="2">
        <v>72</v>
      </c>
      <c r="F2442" s="2">
        <v>1458.17</v>
      </c>
    </row>
    <row r="2443" spans="3:6" x14ac:dyDescent="0.25">
      <c r="C2443" s="2" t="s">
        <v>2954</v>
      </c>
      <c r="D2443" s="2" t="s">
        <v>82</v>
      </c>
      <c r="E2443" s="2">
        <v>65</v>
      </c>
      <c r="F2443" s="2">
        <v>1288.6</v>
      </c>
    </row>
    <row r="2444" spans="3:6" x14ac:dyDescent="0.25">
      <c r="C2444" s="2" t="s">
        <v>2955</v>
      </c>
      <c r="D2444" s="2" t="s">
        <v>82</v>
      </c>
      <c r="E2444" s="2">
        <v>7</v>
      </c>
      <c r="F2444" s="2">
        <v>130.12</v>
      </c>
    </row>
    <row r="2445" spans="3:6" x14ac:dyDescent="0.25">
      <c r="C2445" s="2" t="s">
        <v>2956</v>
      </c>
      <c r="D2445" s="2" t="s">
        <v>82</v>
      </c>
      <c r="E2445" s="2">
        <v>4</v>
      </c>
      <c r="F2445" s="2">
        <v>29.63</v>
      </c>
    </row>
    <row r="2446" spans="3:6" x14ac:dyDescent="0.25">
      <c r="C2446" s="2" t="s">
        <v>2957</v>
      </c>
      <c r="D2446" s="2" t="s">
        <v>82</v>
      </c>
      <c r="E2446" s="2">
        <f>94+97</f>
        <v>191</v>
      </c>
      <c r="F2446" s="2">
        <f>2144.838+2032.437</f>
        <v>4177.275</v>
      </c>
    </row>
    <row r="2447" spans="3:6" x14ac:dyDescent="0.25">
      <c r="C2447" s="2" t="s">
        <v>2958</v>
      </c>
      <c r="D2447" s="2" t="s">
        <v>82</v>
      </c>
      <c r="E2447" s="2">
        <f>10697</f>
        <v>10697</v>
      </c>
      <c r="F2447" s="2">
        <f>1383.492+1263.429</f>
        <v>2646.9210000000003</v>
      </c>
    </row>
    <row r="2448" spans="3:6" x14ac:dyDescent="0.25">
      <c r="C2448" s="2" t="s">
        <v>2959</v>
      </c>
      <c r="D2448" s="2" t="s">
        <v>82</v>
      </c>
      <c r="E2448" s="2">
        <v>15</v>
      </c>
      <c r="F2448" s="2">
        <v>372</v>
      </c>
    </row>
    <row r="2449" spans="3:6" x14ac:dyDescent="0.25">
      <c r="C2449" s="2" t="s">
        <v>2960</v>
      </c>
      <c r="D2449" s="2" t="s">
        <v>82</v>
      </c>
      <c r="E2449" s="2">
        <v>77</v>
      </c>
      <c r="F2449" s="2">
        <v>1545.73</v>
      </c>
    </row>
    <row r="2450" spans="3:6" x14ac:dyDescent="0.25">
      <c r="C2450" s="2" t="s">
        <v>2961</v>
      </c>
      <c r="D2450" s="2" t="s">
        <v>82</v>
      </c>
      <c r="E2450" s="2">
        <v>44</v>
      </c>
      <c r="F2450" s="2">
        <v>923.38</v>
      </c>
    </row>
    <row r="2451" spans="3:6" x14ac:dyDescent="0.25">
      <c r="C2451" s="2" t="s">
        <v>2962</v>
      </c>
      <c r="D2451" s="2" t="s">
        <v>82</v>
      </c>
      <c r="E2451" s="2">
        <v>41</v>
      </c>
      <c r="F2451" s="2">
        <v>822.66</v>
      </c>
    </row>
    <row r="2452" spans="3:6" x14ac:dyDescent="0.25">
      <c r="C2452" s="2" t="s">
        <v>2963</v>
      </c>
      <c r="D2452" s="2" t="s">
        <v>82</v>
      </c>
      <c r="E2452" s="2">
        <v>48</v>
      </c>
      <c r="F2452" s="2">
        <v>1007.57</v>
      </c>
    </row>
    <row r="2453" spans="3:6" x14ac:dyDescent="0.25">
      <c r="C2453" s="2" t="s">
        <v>2964</v>
      </c>
      <c r="D2453" s="2" t="s">
        <v>82</v>
      </c>
      <c r="E2453" s="2">
        <v>7</v>
      </c>
      <c r="F2453" s="2">
        <v>140.05</v>
      </c>
    </row>
    <row r="2454" spans="3:6" x14ac:dyDescent="0.25">
      <c r="C2454" s="2" t="s">
        <v>2965</v>
      </c>
      <c r="D2454" s="2" t="s">
        <v>82</v>
      </c>
      <c r="E2454" s="2">
        <v>25</v>
      </c>
      <c r="F2454" s="2">
        <v>501.21</v>
      </c>
    </row>
    <row r="2455" spans="3:6" x14ac:dyDescent="0.25">
      <c r="C2455" s="2" t="s">
        <v>2966</v>
      </c>
      <c r="D2455" s="2" t="s">
        <v>82</v>
      </c>
      <c r="E2455" s="2">
        <v>78</v>
      </c>
      <c r="F2455" s="2">
        <v>1539.6</v>
      </c>
    </row>
    <row r="2456" spans="3:6" x14ac:dyDescent="0.25">
      <c r="C2456" s="2" t="s">
        <v>2967</v>
      </c>
      <c r="D2456" s="2" t="s">
        <v>82</v>
      </c>
      <c r="E2456" s="2">
        <v>43</v>
      </c>
      <c r="F2456" s="2">
        <v>897.62</v>
      </c>
    </row>
    <row r="2457" spans="3:6" x14ac:dyDescent="0.25">
      <c r="C2457" s="2" t="s">
        <v>2968</v>
      </c>
      <c r="D2457" s="2" t="s">
        <v>82</v>
      </c>
      <c r="E2457" s="2">
        <v>12</v>
      </c>
      <c r="F2457" s="2">
        <v>235.86</v>
      </c>
    </row>
    <row r="2458" spans="3:6" x14ac:dyDescent="0.25">
      <c r="C2458" s="2" t="s">
        <v>2969</v>
      </c>
      <c r="D2458" s="2" t="s">
        <v>82</v>
      </c>
      <c r="E2458" s="2">
        <v>38</v>
      </c>
      <c r="F2458" s="2">
        <v>779.92</v>
      </c>
    </row>
    <row r="2459" spans="3:6" x14ac:dyDescent="0.25">
      <c r="C2459" s="2" t="s">
        <v>2970</v>
      </c>
      <c r="D2459" s="2" t="s">
        <v>82</v>
      </c>
      <c r="E2459" s="2">
        <v>19</v>
      </c>
      <c r="F2459" s="2">
        <v>385.34</v>
      </c>
    </row>
    <row r="2460" spans="3:6" x14ac:dyDescent="0.25">
      <c r="C2460" s="2" t="s">
        <v>2971</v>
      </c>
      <c r="D2460" s="2" t="s">
        <v>82</v>
      </c>
      <c r="E2460" s="2">
        <v>52</v>
      </c>
      <c r="F2460" s="2">
        <v>1032.39</v>
      </c>
    </row>
    <row r="2461" spans="3:6" x14ac:dyDescent="0.25">
      <c r="C2461" s="2" t="s">
        <v>2972</v>
      </c>
      <c r="D2461" s="2" t="s">
        <v>82</v>
      </c>
      <c r="E2461" s="2">
        <v>11</v>
      </c>
      <c r="F2461" s="2">
        <v>152.81</v>
      </c>
    </row>
    <row r="2462" spans="3:6" x14ac:dyDescent="0.25">
      <c r="C2462" s="2" t="s">
        <v>2973</v>
      </c>
      <c r="D2462" s="2" t="s">
        <v>82</v>
      </c>
      <c r="E2462" s="2">
        <v>10</v>
      </c>
      <c r="F2462" s="2">
        <v>137.77</v>
      </c>
    </row>
    <row r="2463" spans="3:6" x14ac:dyDescent="0.25">
      <c r="C2463" s="2" t="s">
        <v>2974</v>
      </c>
      <c r="D2463" s="2" t="s">
        <v>82</v>
      </c>
      <c r="E2463" s="2">
        <v>63</v>
      </c>
      <c r="F2463" s="2">
        <v>1995.87</v>
      </c>
    </row>
    <row r="2464" spans="3:6" x14ac:dyDescent="0.25">
      <c r="C2464" s="2" t="s">
        <v>2975</v>
      </c>
      <c r="D2464" s="2" t="s">
        <v>82</v>
      </c>
      <c r="E2464" s="2">
        <v>60</v>
      </c>
      <c r="F2464" s="2">
        <v>264.58</v>
      </c>
    </row>
    <row r="2465" spans="3:6" x14ac:dyDescent="0.25">
      <c r="C2465" s="2" t="s">
        <v>2976</v>
      </c>
      <c r="D2465" s="2" t="s">
        <v>82</v>
      </c>
      <c r="E2465" s="2">
        <v>102</v>
      </c>
      <c r="F2465" s="2">
        <v>2196.42</v>
      </c>
    </row>
    <row r="2466" spans="3:6" x14ac:dyDescent="0.25">
      <c r="C2466" s="2" t="s">
        <v>2977</v>
      </c>
      <c r="D2466" s="2" t="s">
        <v>82</v>
      </c>
      <c r="E2466" s="2">
        <v>102</v>
      </c>
      <c r="F2466" s="2">
        <v>2137.15</v>
      </c>
    </row>
    <row r="2467" spans="3:6" x14ac:dyDescent="0.25">
      <c r="C2467" s="2" t="s">
        <v>2978</v>
      </c>
      <c r="D2467" s="2" t="s">
        <v>82</v>
      </c>
      <c r="E2467" s="2">
        <v>102</v>
      </c>
      <c r="F2467" s="2">
        <v>2177.07</v>
      </c>
    </row>
    <row r="2468" spans="3:6" x14ac:dyDescent="0.25">
      <c r="C2468" s="2" t="s">
        <v>2979</v>
      </c>
      <c r="D2468" s="2" t="s">
        <v>82</v>
      </c>
      <c r="E2468" s="2">
        <v>51</v>
      </c>
      <c r="F2468" s="2">
        <v>1033.52</v>
      </c>
    </row>
    <row r="2469" spans="3:6" x14ac:dyDescent="0.25">
      <c r="C2469" s="2" t="s">
        <v>2980</v>
      </c>
      <c r="D2469" s="2" t="s">
        <v>82</v>
      </c>
      <c r="E2469" s="2">
        <v>51</v>
      </c>
      <c r="F2469" s="2">
        <v>1063.64</v>
      </c>
    </row>
    <row r="2470" spans="3:6" x14ac:dyDescent="0.25">
      <c r="C2470" s="2" t="s">
        <v>2981</v>
      </c>
      <c r="D2470" s="2" t="s">
        <v>82</v>
      </c>
      <c r="E2470" s="2">
        <v>82</v>
      </c>
      <c r="F2470" s="2">
        <v>377.058</v>
      </c>
    </row>
    <row r="2471" spans="3:6" x14ac:dyDescent="0.25">
      <c r="C2471" s="2" t="s">
        <v>2982</v>
      </c>
      <c r="D2471" s="2" t="s">
        <v>82</v>
      </c>
      <c r="E2471" s="2">
        <v>23</v>
      </c>
      <c r="F2471" s="2">
        <v>101.56</v>
      </c>
    </row>
    <row r="2472" spans="3:6" x14ac:dyDescent="0.25">
      <c r="C2472" s="2" t="s">
        <v>2983</v>
      </c>
      <c r="D2472" s="2" t="s">
        <v>82</v>
      </c>
      <c r="E2472" s="2">
        <v>142</v>
      </c>
      <c r="F2472" s="2">
        <v>2867.55</v>
      </c>
    </row>
    <row r="2473" spans="3:6" x14ac:dyDescent="0.25">
      <c r="C2473" s="2" t="s">
        <v>2984</v>
      </c>
      <c r="D2473" s="2" t="s">
        <v>82</v>
      </c>
      <c r="E2473" s="2">
        <v>100</v>
      </c>
      <c r="F2473" s="2">
        <v>2053.19</v>
      </c>
    </row>
    <row r="2474" spans="3:6" x14ac:dyDescent="0.25">
      <c r="C2474" s="2" t="s">
        <v>2985</v>
      </c>
      <c r="D2474" s="2" t="s">
        <v>82</v>
      </c>
      <c r="E2474" s="2">
        <v>41</v>
      </c>
      <c r="F2474" s="2">
        <v>801.44</v>
      </c>
    </row>
    <row r="2475" spans="3:6" x14ac:dyDescent="0.25">
      <c r="C2475" s="2" t="s">
        <v>2986</v>
      </c>
      <c r="D2475" s="2" t="s">
        <v>82</v>
      </c>
      <c r="E2475" s="2">
        <v>141</v>
      </c>
      <c r="F2475" s="2">
        <v>2794.028</v>
      </c>
    </row>
    <row r="2476" spans="3:6" x14ac:dyDescent="0.25">
      <c r="C2476" s="2" t="s">
        <v>2987</v>
      </c>
      <c r="D2476" s="2" t="s">
        <v>82</v>
      </c>
      <c r="E2476" s="2">
        <v>141</v>
      </c>
      <c r="F2476" s="2">
        <v>2925.42</v>
      </c>
    </row>
    <row r="2477" spans="3:6" x14ac:dyDescent="0.25">
      <c r="C2477" s="2" t="s">
        <v>2988</v>
      </c>
      <c r="D2477" s="2" t="s">
        <v>82</v>
      </c>
      <c r="E2477" s="2">
        <v>92</v>
      </c>
      <c r="F2477" s="2">
        <v>1772.94</v>
      </c>
    </row>
    <row r="2478" spans="3:6" x14ac:dyDescent="0.25">
      <c r="C2478" s="2" t="s">
        <v>2989</v>
      </c>
      <c r="D2478" s="2" t="s">
        <v>82</v>
      </c>
      <c r="E2478" s="2">
        <v>49</v>
      </c>
      <c r="F2478" s="2">
        <v>1021.26</v>
      </c>
    </row>
    <row r="2479" spans="3:6" x14ac:dyDescent="0.25">
      <c r="C2479" s="2" t="s">
        <v>2990</v>
      </c>
      <c r="D2479" s="2" t="s">
        <v>82</v>
      </c>
      <c r="E2479" s="2">
        <v>141</v>
      </c>
      <c r="F2479" s="2">
        <v>2757.379</v>
      </c>
    </row>
    <row r="2480" spans="3:6" x14ac:dyDescent="0.25">
      <c r="C2480" s="2" t="s">
        <v>2991</v>
      </c>
      <c r="D2480" s="2" t="s">
        <v>82</v>
      </c>
      <c r="E2480" s="2">
        <v>46</v>
      </c>
      <c r="F2480" s="2">
        <v>878.01</v>
      </c>
    </row>
    <row r="2481" spans="3:6" x14ac:dyDescent="0.25">
      <c r="C2481" s="2" t="s">
        <v>2992</v>
      </c>
      <c r="D2481" s="2" t="s">
        <v>82</v>
      </c>
      <c r="E2481" s="2">
        <v>42</v>
      </c>
      <c r="F2481" s="2">
        <v>742.05</v>
      </c>
    </row>
    <row r="2482" spans="3:6" x14ac:dyDescent="0.25">
      <c r="C2482" s="2" t="s">
        <v>2993</v>
      </c>
      <c r="D2482" s="2" t="s">
        <v>82</v>
      </c>
      <c r="E2482" s="2">
        <v>53</v>
      </c>
      <c r="F2482" s="2">
        <v>1022.2</v>
      </c>
    </row>
    <row r="2483" spans="3:6" x14ac:dyDescent="0.25">
      <c r="C2483" s="2" t="s">
        <v>2994</v>
      </c>
      <c r="D2483" s="2" t="s">
        <v>82</v>
      </c>
      <c r="E2483" s="2">
        <v>102</v>
      </c>
      <c r="F2483" s="2">
        <v>2110.29</v>
      </c>
    </row>
    <row r="2485" spans="1:7" x14ac:dyDescent="0.25">
      <c r="A2485" s="1">
        <v>46227</v>
      </c>
      <c r="B2485" s="2" t="s">
        <v>290</v>
      </c>
      <c r="C2485" s="2" t="s">
        <v>2995</v>
      </c>
      <c r="D2485" s="2" t="s">
        <v>178</v>
      </c>
      <c r="E2485" s="2">
        <v>123</v>
      </c>
      <c r="F2485" s="2">
        <v>2536.57</v>
      </c>
      <c r="G2485" s="1">
        <v>46226</v>
      </c>
    </row>
    <row r="2486" spans="3:6" x14ac:dyDescent="0.25">
      <c r="C2486" s="2" t="s">
        <v>2996</v>
      </c>
      <c r="D2486" s="2" t="s">
        <v>178</v>
      </c>
      <c r="E2486" s="2">
        <v>93</v>
      </c>
      <c r="F2486" s="2">
        <v>1843.98</v>
      </c>
    </row>
    <row r="2487" spans="3:6" x14ac:dyDescent="0.25">
      <c r="C2487" s="2" t="s">
        <v>2997</v>
      </c>
      <c r="D2487" s="2" t="s">
        <v>178</v>
      </c>
      <c r="E2487" s="2">
        <v>134</v>
      </c>
      <c r="F2487" s="2">
        <v>2746.58</v>
      </c>
    </row>
    <row r="2488" spans="3:6" x14ac:dyDescent="0.25">
      <c r="C2488" s="2" t="s">
        <v>2998</v>
      </c>
      <c r="D2488" s="2" t="s">
        <v>178</v>
      </c>
      <c r="E2488" s="2">
        <v>124</v>
      </c>
      <c r="F2488" s="2">
        <v>2539.88</v>
      </c>
    </row>
    <row r="2489" spans="3:6" x14ac:dyDescent="0.25">
      <c r="C2489" s="2" t="s">
        <v>2999</v>
      </c>
      <c r="D2489" s="2" t="s">
        <v>178</v>
      </c>
      <c r="E2489" s="2">
        <v>44</v>
      </c>
      <c r="F2489" s="2">
        <v>203.55</v>
      </c>
    </row>
    <row r="2490" spans="3:6" x14ac:dyDescent="0.25">
      <c r="C2490" s="2" t="s">
        <v>3000</v>
      </c>
      <c r="D2490" s="2" t="s">
        <v>178</v>
      </c>
      <c r="E2490" s="2">
        <v>105</v>
      </c>
      <c r="F2490" s="2">
        <v>480.969</v>
      </c>
    </row>
    <row r="2491" spans="3:6" x14ac:dyDescent="0.25">
      <c r="C2491" s="2" t="s">
        <v>3001</v>
      </c>
      <c r="D2491" s="2" t="s">
        <v>178</v>
      </c>
      <c r="E2491" s="2">
        <v>142</v>
      </c>
      <c r="F2491" s="2">
        <v>2815.77</v>
      </c>
    </row>
    <row r="2492" spans="3:6" x14ac:dyDescent="0.25">
      <c r="C2492" s="2" t="s">
        <v>3002</v>
      </c>
      <c r="D2492" s="2" t="s">
        <v>178</v>
      </c>
      <c r="E2492" s="2">
        <v>143</v>
      </c>
      <c r="F2492" s="2">
        <v>2789.1</v>
      </c>
    </row>
    <row r="2493" spans="3:6" x14ac:dyDescent="0.25">
      <c r="C2493" s="2" t="s">
        <v>3003</v>
      </c>
      <c r="D2493" s="2" t="s">
        <v>178</v>
      </c>
      <c r="E2493" s="2">
        <v>95</v>
      </c>
      <c r="F2493" s="2">
        <v>1776.799</v>
      </c>
    </row>
    <row r="2494" spans="3:6" x14ac:dyDescent="0.25">
      <c r="C2494" s="2" t="s">
        <v>3004</v>
      </c>
      <c r="D2494" s="2" t="s">
        <v>178</v>
      </c>
      <c r="E2494" s="2">
        <v>23</v>
      </c>
      <c r="F2494" s="2">
        <v>459.22</v>
      </c>
    </row>
    <row r="2495" spans="3:6" x14ac:dyDescent="0.25">
      <c r="C2495" s="2" t="s">
        <v>3005</v>
      </c>
      <c r="D2495" s="2" t="s">
        <v>178</v>
      </c>
      <c r="E2495" s="2">
        <v>123</v>
      </c>
      <c r="F2495" s="2">
        <v>2475.81</v>
      </c>
    </row>
    <row r="2496" spans="3:6" x14ac:dyDescent="0.25">
      <c r="C2496" s="2" t="s">
        <v>3006</v>
      </c>
      <c r="D2496" s="2" t="s">
        <v>178</v>
      </c>
      <c r="E2496" s="2">
        <v>141</v>
      </c>
      <c r="F2496" s="2">
        <v>2857.609</v>
      </c>
    </row>
    <row r="2497" spans="3:6" x14ac:dyDescent="0.25">
      <c r="C2497" s="2" t="s">
        <v>3007</v>
      </c>
      <c r="D2497" s="2" t="s">
        <v>178</v>
      </c>
      <c r="E2497" s="2">
        <v>141</v>
      </c>
      <c r="F2497" s="2">
        <v>2856.779</v>
      </c>
    </row>
    <row r="2498" spans="3:6" x14ac:dyDescent="0.25">
      <c r="C2498" s="2" t="s">
        <v>3008</v>
      </c>
      <c r="D2498" s="2" t="s">
        <v>178</v>
      </c>
      <c r="E2498" s="2">
        <v>102</v>
      </c>
      <c r="F2498" s="2">
        <v>2128.68</v>
      </c>
    </row>
    <row r="2499" spans="3:6" x14ac:dyDescent="0.25">
      <c r="C2499" s="2" t="s">
        <v>3009</v>
      </c>
      <c r="D2499" s="2" t="s">
        <v>178</v>
      </c>
      <c r="E2499" s="2">
        <v>141</v>
      </c>
      <c r="F2499" s="2">
        <v>2808.519</v>
      </c>
    </row>
    <row r="2500" spans="3:6" x14ac:dyDescent="0.25">
      <c r="C2500" s="2" t="s">
        <v>3010</v>
      </c>
      <c r="D2500" s="2" t="s">
        <v>178</v>
      </c>
      <c r="E2500" s="2">
        <v>141</v>
      </c>
      <c r="F2500" s="2">
        <v>2899.99</v>
      </c>
    </row>
    <row r="2501" spans="3:6" x14ac:dyDescent="0.25">
      <c r="C2501" s="2" t="s">
        <v>3011</v>
      </c>
      <c r="D2501" s="2" t="s">
        <v>178</v>
      </c>
      <c r="E2501" s="2">
        <v>141</v>
      </c>
      <c r="F2501" s="2">
        <v>2835.57</v>
      </c>
    </row>
    <row r="2502" spans="3:6" x14ac:dyDescent="0.25">
      <c r="C2502" s="2" t="s">
        <v>3012</v>
      </c>
      <c r="D2502" s="2" t="s">
        <v>178</v>
      </c>
      <c r="E2502" s="2">
        <v>141</v>
      </c>
      <c r="F2502" s="2">
        <v>2851.9</v>
      </c>
    </row>
    <row r="2503" spans="3:6" x14ac:dyDescent="0.25">
      <c r="C2503" s="2" t="s">
        <v>3013</v>
      </c>
      <c r="D2503" s="2" t="s">
        <v>178</v>
      </c>
      <c r="E2503" s="2">
        <v>26</v>
      </c>
      <c r="F2503" s="2">
        <v>374.61</v>
      </c>
    </row>
    <row r="2504" spans="3:6" x14ac:dyDescent="0.25">
      <c r="C2504" s="2" t="s">
        <v>3014</v>
      </c>
      <c r="D2504" s="2" t="s">
        <v>178</v>
      </c>
      <c r="E2504" s="2">
        <v>115</v>
      </c>
      <c r="F2504" s="2">
        <v>2081.09</v>
      </c>
    </row>
    <row r="2505" spans="3:6" x14ac:dyDescent="0.25">
      <c r="C2505" s="2" t="s">
        <v>3015</v>
      </c>
      <c r="D2505" s="2" t="s">
        <v>178</v>
      </c>
      <c r="E2505" s="2">
        <v>35</v>
      </c>
      <c r="F2505" s="2">
        <v>672.44</v>
      </c>
    </row>
    <row r="2506" spans="3:6" x14ac:dyDescent="0.25">
      <c r="C2506" s="2" t="s">
        <v>3016</v>
      </c>
      <c r="D2506" s="2" t="s">
        <v>178</v>
      </c>
      <c r="E2506" s="2">
        <v>37</v>
      </c>
      <c r="F2506" s="2">
        <v>691.089</v>
      </c>
    </row>
    <row r="2507" spans="3:6" x14ac:dyDescent="0.25">
      <c r="C2507" s="2" t="s">
        <v>3017</v>
      </c>
      <c r="D2507" s="2" t="s">
        <v>178</v>
      </c>
      <c r="E2507" s="2">
        <v>13</v>
      </c>
      <c r="F2507" s="2">
        <v>242.26</v>
      </c>
    </row>
    <row r="2508" spans="3:6" x14ac:dyDescent="0.25">
      <c r="C2508" s="2" t="s">
        <v>3018</v>
      </c>
      <c r="D2508" s="2" t="s">
        <v>178</v>
      </c>
      <c r="E2508" s="2">
        <v>11</v>
      </c>
      <c r="F2508" s="2">
        <v>96.22</v>
      </c>
    </row>
    <row r="2509" spans="3:6" x14ac:dyDescent="0.25">
      <c r="C2509" s="2" t="s">
        <v>3019</v>
      </c>
      <c r="D2509" s="2" t="s">
        <v>178</v>
      </c>
      <c r="E2509" s="2">
        <v>3</v>
      </c>
      <c r="F2509" s="2">
        <v>36.38</v>
      </c>
    </row>
    <row r="2510" spans="3:6" x14ac:dyDescent="0.25">
      <c r="C2510" s="2" t="s">
        <v>3020</v>
      </c>
      <c r="D2510" s="2" t="s">
        <v>178</v>
      </c>
      <c r="E2510" s="2">
        <v>5</v>
      </c>
      <c r="F2510" s="2">
        <v>77.68</v>
      </c>
    </row>
    <row r="2511" spans="3:6" x14ac:dyDescent="0.25">
      <c r="C2511" s="2" t="s">
        <v>3021</v>
      </c>
      <c r="D2511" s="2" t="s">
        <v>178</v>
      </c>
      <c r="E2511" s="2">
        <v>106</v>
      </c>
      <c r="F2511" s="2">
        <v>1970.21</v>
      </c>
    </row>
    <row r="2512" spans="3:6" x14ac:dyDescent="0.25">
      <c r="C2512" s="2" t="s">
        <v>3022</v>
      </c>
      <c r="D2512" s="2" t="s">
        <v>178</v>
      </c>
      <c r="E2512" s="2">
        <v>35</v>
      </c>
      <c r="F2512" s="2">
        <v>708.28</v>
      </c>
    </row>
    <row r="2513" spans="3:6" x14ac:dyDescent="0.25">
      <c r="C2513" s="2" t="s">
        <v>3023</v>
      </c>
      <c r="D2513" s="2" t="s">
        <v>178</v>
      </c>
      <c r="E2513" s="2">
        <v>73</v>
      </c>
      <c r="F2513" s="2">
        <v>1262.33</v>
      </c>
    </row>
    <row r="2514" spans="3:6" x14ac:dyDescent="0.25">
      <c r="C2514" s="2" t="s">
        <v>3024</v>
      </c>
      <c r="D2514" s="2" t="s">
        <v>178</v>
      </c>
      <c r="E2514" s="2">
        <v>29</v>
      </c>
      <c r="F2514" s="2">
        <v>613.91</v>
      </c>
    </row>
    <row r="2515" spans="3:6" x14ac:dyDescent="0.25">
      <c r="C2515" s="2" t="s">
        <v>3025</v>
      </c>
      <c r="D2515" s="2" t="s">
        <v>178</v>
      </c>
      <c r="E2515" s="2">
        <v>60</v>
      </c>
      <c r="F2515" s="2">
        <v>271.917</v>
      </c>
    </row>
    <row r="2516" spans="3:6" x14ac:dyDescent="0.25">
      <c r="C2516" s="2" t="s">
        <v>3026</v>
      </c>
      <c r="D2516" s="2" t="s">
        <v>178</v>
      </c>
      <c r="E2516" s="2">
        <v>103</v>
      </c>
      <c r="F2516" s="2">
        <v>1761.749</v>
      </c>
    </row>
    <row r="2517" spans="3:6" x14ac:dyDescent="0.25">
      <c r="C2517" s="2" t="s">
        <v>3027</v>
      </c>
      <c r="D2517" s="2" t="s">
        <v>178</v>
      </c>
      <c r="E2517" s="2">
        <v>102</v>
      </c>
      <c r="F2517" s="2">
        <v>1858.71</v>
      </c>
    </row>
    <row r="2518" spans="3:6" x14ac:dyDescent="0.25">
      <c r="C2518" s="2" t="s">
        <v>3028</v>
      </c>
      <c r="D2518" s="2" t="s">
        <v>178</v>
      </c>
      <c r="E2518" s="2">
        <v>144</v>
      </c>
      <c r="F2518" s="2">
        <v>2342.619</v>
      </c>
    </row>
    <row r="2519" spans="3:6" x14ac:dyDescent="0.25">
      <c r="C2519" s="2" t="s">
        <v>3029</v>
      </c>
      <c r="D2519" s="2" t="s">
        <v>178</v>
      </c>
      <c r="E2519" s="2">
        <v>156</v>
      </c>
      <c r="F2519" s="2">
        <v>2773.479</v>
      </c>
    </row>
    <row r="2520" spans="3:6" x14ac:dyDescent="0.25">
      <c r="C2520" s="2" t="s">
        <v>3030</v>
      </c>
      <c r="D2520" s="2" t="s">
        <v>178</v>
      </c>
      <c r="E2520" s="2">
        <v>141</v>
      </c>
      <c r="F2520" s="2">
        <v>2891.749</v>
      </c>
    </row>
    <row r="2521" spans="3:6" x14ac:dyDescent="0.25">
      <c r="C2521" s="2" t="s">
        <v>3031</v>
      </c>
      <c r="D2521" s="2" t="s">
        <v>178</v>
      </c>
      <c r="E2521" s="2">
        <v>142</v>
      </c>
      <c r="F2521" s="2">
        <v>2715.239</v>
      </c>
    </row>
    <row r="2522" spans="3:6" x14ac:dyDescent="0.25">
      <c r="C2522" s="2" t="s">
        <v>3032</v>
      </c>
      <c r="D2522" s="2" t="s">
        <v>178</v>
      </c>
      <c r="E2522" s="2">
        <v>63</v>
      </c>
      <c r="F2522" s="2">
        <v>1239.81</v>
      </c>
    </row>
    <row r="2523" spans="3:6" x14ac:dyDescent="0.25">
      <c r="C2523" s="2" t="s">
        <v>3033</v>
      </c>
      <c r="D2523" s="2" t="s">
        <v>178</v>
      </c>
      <c r="E2523" s="2">
        <v>12</v>
      </c>
      <c r="F2523" s="2">
        <v>229.15</v>
      </c>
    </row>
    <row r="2524" spans="3:6" x14ac:dyDescent="0.25">
      <c r="C2524" s="2" t="s">
        <v>3034</v>
      </c>
      <c r="D2524" s="2" t="s">
        <v>178</v>
      </c>
      <c r="E2524" s="2">
        <v>38</v>
      </c>
      <c r="F2524" s="2">
        <v>677.74</v>
      </c>
    </row>
    <row r="2525" spans="3:6" x14ac:dyDescent="0.25">
      <c r="C2525" s="2" t="s">
        <v>3035</v>
      </c>
      <c r="D2525" s="2" t="s">
        <v>178</v>
      </c>
      <c r="E2525" s="2">
        <v>103</v>
      </c>
      <c r="F2525" s="2">
        <v>1883.059</v>
      </c>
    </row>
    <row r="2526" spans="3:6" x14ac:dyDescent="0.25">
      <c r="C2526" s="2" t="s">
        <v>3036</v>
      </c>
      <c r="D2526" s="2" t="s">
        <v>178</v>
      </c>
      <c r="E2526" s="2">
        <v>12</v>
      </c>
      <c r="F2526" s="2">
        <v>255.59</v>
      </c>
    </row>
    <row r="2527" spans="3:6" x14ac:dyDescent="0.25">
      <c r="C2527" s="2" t="s">
        <v>3037</v>
      </c>
      <c r="D2527" s="2" t="s">
        <v>178</v>
      </c>
      <c r="E2527" s="2">
        <v>47</v>
      </c>
      <c r="F2527" s="2">
        <v>969.835</v>
      </c>
    </row>
    <row r="2528" spans="3:6" x14ac:dyDescent="0.25">
      <c r="C2528" s="2" t="s">
        <v>3038</v>
      </c>
      <c r="D2528" s="2" t="s">
        <v>178</v>
      </c>
      <c r="E2528" s="2">
        <v>14</v>
      </c>
      <c r="F2528" s="2">
        <v>312.48</v>
      </c>
    </row>
    <row r="2529" spans="3:6" x14ac:dyDescent="0.25">
      <c r="C2529" s="2" t="s">
        <v>3039</v>
      </c>
      <c r="D2529" s="2" t="s">
        <v>178</v>
      </c>
      <c r="E2529" s="2">
        <v>36</v>
      </c>
      <c r="F2529" s="2">
        <v>680.079</v>
      </c>
    </row>
    <row r="2530" spans="3:6" x14ac:dyDescent="0.25">
      <c r="C2530" s="2" t="s">
        <v>3040</v>
      </c>
      <c r="D2530" s="2" t="s">
        <v>178</v>
      </c>
      <c r="E2530" s="2">
        <v>32</v>
      </c>
      <c r="F2530" s="2">
        <v>556.31</v>
      </c>
    </row>
    <row r="2531" spans="3:6" x14ac:dyDescent="0.25">
      <c r="C2531" s="2" t="s">
        <v>3041</v>
      </c>
      <c r="D2531" s="2" t="s">
        <v>178</v>
      </c>
      <c r="E2531" s="2">
        <v>43</v>
      </c>
      <c r="F2531" s="2">
        <v>832.21</v>
      </c>
    </row>
    <row r="2532" spans="3:6" x14ac:dyDescent="0.25">
      <c r="C2532" s="2" t="s">
        <v>3042</v>
      </c>
      <c r="D2532" s="2" t="s">
        <v>178</v>
      </c>
      <c r="E2532" s="2">
        <v>28</v>
      </c>
      <c r="F2532" s="2">
        <v>565.92</v>
      </c>
    </row>
    <row r="2533" spans="3:6" x14ac:dyDescent="0.25">
      <c r="C2533" s="2" t="s">
        <v>3043</v>
      </c>
      <c r="D2533" s="2" t="s">
        <v>178</v>
      </c>
      <c r="E2533" s="2">
        <v>70</v>
      </c>
      <c r="F2533" s="2">
        <v>1423.15</v>
      </c>
    </row>
    <row r="2534" spans="3:6" x14ac:dyDescent="0.25">
      <c r="C2534" s="2" t="s">
        <v>3044</v>
      </c>
      <c r="D2534" s="2" t="s">
        <v>178</v>
      </c>
      <c r="E2534" s="2">
        <v>102</v>
      </c>
      <c r="F2534" s="2">
        <v>2090.46</v>
      </c>
    </row>
    <row r="2536" spans="1:7" x14ac:dyDescent="0.25">
      <c r="A2536" s="1">
        <v>46227</v>
      </c>
      <c r="B2536" s="2" t="s">
        <v>7</v>
      </c>
      <c r="C2536" s="2" t="s">
        <v>3045</v>
      </c>
      <c r="D2536" s="2" t="s">
        <v>9</v>
      </c>
      <c r="E2536" s="2">
        <v>99</v>
      </c>
      <c r="F2536" s="2">
        <v>1986.46</v>
      </c>
      <c r="G2536" s="1">
        <v>46226</v>
      </c>
    </row>
    <row r="2537" spans="3:6" x14ac:dyDescent="0.25">
      <c r="C2537" s="2" t="s">
        <v>3046</v>
      </c>
      <c r="D2537" s="2" t="s">
        <v>9</v>
      </c>
      <c r="E2537" s="2">
        <v>99</v>
      </c>
      <c r="F2537" s="2">
        <v>1991.11</v>
      </c>
    </row>
    <row r="2539" spans="1:7" x14ac:dyDescent="0.25">
      <c r="A2539" s="1">
        <v>46227</v>
      </c>
      <c r="B2539" s="2" t="s">
        <v>420</v>
      </c>
      <c r="C2539" s="2" t="s">
        <v>3047</v>
      </c>
      <c r="D2539" s="2" t="s">
        <v>59</v>
      </c>
      <c r="E2539" s="2">
        <v>101</v>
      </c>
      <c r="F2539" s="2">
        <v>2196.86</v>
      </c>
      <c r="G2539" s="1">
        <v>46226</v>
      </c>
    </row>
    <row r="2540" spans="3:6" x14ac:dyDescent="0.25">
      <c r="C2540" s="2" t="s">
        <v>3048</v>
      </c>
      <c r="D2540" s="2" t="s">
        <v>59</v>
      </c>
      <c r="E2540" s="2">
        <v>105</v>
      </c>
      <c r="F2540" s="2">
        <v>1980.03</v>
      </c>
    </row>
    <row r="2541" spans="3:6" x14ac:dyDescent="0.25">
      <c r="C2541" s="2" t="s">
        <v>3049</v>
      </c>
      <c r="D2541" s="2" t="s">
        <v>59</v>
      </c>
      <c r="E2541" s="2">
        <v>312</v>
      </c>
      <c r="F2541" s="2">
        <v>6205.499</v>
      </c>
    </row>
    <row r="2542" spans="3:6" x14ac:dyDescent="0.25">
      <c r="C2542" s="2" t="s">
        <v>3050</v>
      </c>
      <c r="D2542" s="2" t="s">
        <v>59</v>
      </c>
      <c r="E2542" s="2">
        <v>308</v>
      </c>
      <c r="F2542" s="2">
        <v>5953.949</v>
      </c>
    </row>
    <row r="2543" spans="3:6" x14ac:dyDescent="0.25">
      <c r="C2543" s="2" t="s">
        <v>3051</v>
      </c>
      <c r="D2543" s="2" t="s">
        <v>59</v>
      </c>
      <c r="E2543" s="2">
        <v>156</v>
      </c>
      <c r="F2543" s="2">
        <v>2985.12</v>
      </c>
    </row>
    <row r="2544" spans="3:6" x14ac:dyDescent="0.25">
      <c r="C2544" s="2" t="s">
        <v>3052</v>
      </c>
      <c r="D2544" s="2" t="s">
        <v>59</v>
      </c>
      <c r="E2544" s="2">
        <v>44</v>
      </c>
      <c r="F2544" s="2">
        <v>932.371</v>
      </c>
    </row>
    <row r="2545" spans="3:6" x14ac:dyDescent="0.25">
      <c r="C2545" s="2" t="s">
        <v>3053</v>
      </c>
      <c r="D2545" s="2" t="s">
        <v>59</v>
      </c>
      <c r="E2545" s="2">
        <v>45</v>
      </c>
      <c r="F2545" s="2">
        <v>887.15</v>
      </c>
    </row>
    <row r="2546" spans="3:6" x14ac:dyDescent="0.25">
      <c r="C2546" s="2" t="s">
        <v>3054</v>
      </c>
      <c r="D2546" s="2" t="s">
        <v>59</v>
      </c>
      <c r="E2546" s="2">
        <v>261</v>
      </c>
      <c r="F2546" s="2">
        <v>5121.11</v>
      </c>
    </row>
    <row r="2548" spans="1:7" x14ac:dyDescent="0.25">
      <c r="A2548" s="1">
        <v>46227</v>
      </c>
      <c r="B2548" s="2" t="s">
        <v>347</v>
      </c>
      <c r="C2548" s="2" t="s">
        <v>3055</v>
      </c>
      <c r="D2548" s="2" t="s">
        <v>59</v>
      </c>
      <c r="E2548" s="2">
        <v>142</v>
      </c>
      <c r="F2548" s="2">
        <v>2775.41</v>
      </c>
      <c r="G2548" s="1">
        <v>46227</v>
      </c>
    </row>
    <row r="2549" spans="3:6" x14ac:dyDescent="0.25">
      <c r="C2549" s="2" t="s">
        <v>3056</v>
      </c>
      <c r="D2549" s="2" t="s">
        <v>59</v>
      </c>
      <c r="E2549" s="2">
        <v>101</v>
      </c>
      <c r="F2549" s="2">
        <v>1986.668</v>
      </c>
    </row>
    <row r="2550" spans="3:6" x14ac:dyDescent="0.25">
      <c r="C2550" s="2" t="s">
        <v>3057</v>
      </c>
      <c r="D2550" s="2" t="s">
        <v>59</v>
      </c>
      <c r="E2550" s="2">
        <v>244</v>
      </c>
      <c r="F2550" s="2">
        <v>4819.93</v>
      </c>
    </row>
    <row r="2551" spans="3:6" x14ac:dyDescent="0.25">
      <c r="C2551" s="2" t="s">
        <v>3058</v>
      </c>
      <c r="D2551" s="2" t="s">
        <v>59</v>
      </c>
      <c r="E2551" s="2">
        <v>99</v>
      </c>
      <c r="F2551" s="2">
        <v>2059.589</v>
      </c>
    </row>
    <row r="2553" spans="1:7" x14ac:dyDescent="0.25">
      <c r="A2553" s="1">
        <v>46227</v>
      </c>
      <c r="B2553" s="2" t="s">
        <v>68</v>
      </c>
      <c r="C2553" s="2" t="s">
        <v>3059</v>
      </c>
      <c r="D2553" s="2" t="s">
        <v>70</v>
      </c>
      <c r="E2553" s="2">
        <v>133</v>
      </c>
      <c r="F2553" s="2">
        <v>2424.747</v>
      </c>
      <c r="G2553" s="1">
        <v>46226</v>
      </c>
    </row>
    <row r="2555" spans="1:7" x14ac:dyDescent="0.25">
      <c r="A2555" s="1">
        <v>46228</v>
      </c>
      <c r="B2555" s="2" t="s">
        <v>7</v>
      </c>
      <c r="C2555" s="2" t="s">
        <v>3060</v>
      </c>
      <c r="D2555" s="2" t="s">
        <v>9</v>
      </c>
      <c r="E2555" s="2">
        <v>88</v>
      </c>
      <c r="F2555" s="2">
        <v>1823.479</v>
      </c>
      <c r="G2555" s="1">
        <v>46229</v>
      </c>
    </row>
    <row r="2556" spans="3:6" x14ac:dyDescent="0.25">
      <c r="C2556" s="2" t="s">
        <v>3061</v>
      </c>
      <c r="D2556" s="2" t="s">
        <v>9</v>
      </c>
      <c r="E2556" s="2">
        <v>91</v>
      </c>
      <c r="F2556" s="2">
        <v>1801.6</v>
      </c>
    </row>
    <row r="2558" spans="1:7" x14ac:dyDescent="0.25">
      <c r="A2558" s="1">
        <v>46228</v>
      </c>
      <c r="B2558" s="2" t="s">
        <v>57</v>
      </c>
      <c r="C2558" s="2" t="s">
        <v>3062</v>
      </c>
      <c r="D2558" s="2" t="s">
        <v>59</v>
      </c>
      <c r="E2558" s="2">
        <v>156</v>
      </c>
      <c r="F2558" s="2">
        <v>3058.71</v>
      </c>
      <c r="G2558" s="1">
        <v>46229</v>
      </c>
    </row>
    <row r="2559" spans="3:6" x14ac:dyDescent="0.25">
      <c r="C2559" s="2" t="s">
        <v>3063</v>
      </c>
      <c r="D2559" s="2" t="s">
        <v>59</v>
      </c>
      <c r="E2559" s="2">
        <v>156</v>
      </c>
      <c r="F2559" s="2">
        <v>3070.728</v>
      </c>
    </row>
    <row r="2560" spans="3:6" x14ac:dyDescent="0.25">
      <c r="C2560" s="2" t="s">
        <v>3064</v>
      </c>
      <c r="D2560" s="2" t="s">
        <v>59</v>
      </c>
      <c r="E2560" s="2">
        <v>156</v>
      </c>
      <c r="F2560" s="2">
        <v>3025.429</v>
      </c>
    </row>
    <row r="2561" spans="3:6" x14ac:dyDescent="0.25">
      <c r="C2561" s="2" t="s">
        <v>3065</v>
      </c>
      <c r="D2561" s="2" t="s">
        <v>59</v>
      </c>
      <c r="E2561" s="2">
        <v>156</v>
      </c>
      <c r="F2561" s="2">
        <v>3086.98</v>
      </c>
    </row>
    <row r="2562" spans="3:6" x14ac:dyDescent="0.25">
      <c r="C2562" s="2" t="s">
        <v>3066</v>
      </c>
      <c r="D2562" s="2" t="s">
        <v>59</v>
      </c>
      <c r="E2562" s="2">
        <v>206</v>
      </c>
      <c r="F2562" s="2">
        <v>4101.299</v>
      </c>
    </row>
    <row r="2563" spans="3:6" x14ac:dyDescent="0.25">
      <c r="C2563" s="2" t="s">
        <v>3067</v>
      </c>
      <c r="D2563" s="2" t="s">
        <v>59</v>
      </c>
      <c r="E2563" s="2">
        <v>100</v>
      </c>
      <c r="F2563" s="2">
        <v>2093.29</v>
      </c>
    </row>
    <row r="2564" spans="3:6" x14ac:dyDescent="0.25">
      <c r="C2564" s="2" t="s">
        <v>3068</v>
      </c>
      <c r="D2564" s="2" t="s">
        <v>59</v>
      </c>
      <c r="E2564" s="2">
        <v>145</v>
      </c>
      <c r="F2564" s="2">
        <v>2849.01</v>
      </c>
    </row>
    <row r="2565" spans="3:6" x14ac:dyDescent="0.25">
      <c r="C2565" s="2" t="s">
        <v>3069</v>
      </c>
      <c r="D2565" s="2" t="s">
        <v>59</v>
      </c>
      <c r="E2565" s="2">
        <v>78</v>
      </c>
      <c r="F2565" s="2">
        <v>1532.9</v>
      </c>
    </row>
    <row r="2566" spans="3:6" x14ac:dyDescent="0.25">
      <c r="C2566" s="2" t="s">
        <v>3070</v>
      </c>
      <c r="D2566" s="2" t="s">
        <v>59</v>
      </c>
      <c r="E2566" s="2">
        <v>111</v>
      </c>
      <c r="F2566" s="2">
        <v>2143.03</v>
      </c>
    </row>
    <row r="2567" spans="3:6" x14ac:dyDescent="0.25">
      <c r="C2567" s="2" t="s">
        <v>3071</v>
      </c>
      <c r="D2567" s="2" t="s">
        <v>59</v>
      </c>
      <c r="E2567" s="2">
        <v>93</v>
      </c>
      <c r="F2567" s="2">
        <v>1794.389</v>
      </c>
    </row>
    <row r="2569" spans="1:7" x14ac:dyDescent="0.25">
      <c r="A2569" s="1">
        <v>46229</v>
      </c>
      <c r="B2569" s="2" t="s">
        <v>80</v>
      </c>
      <c r="C2569" s="2" t="s">
        <v>3072</v>
      </c>
      <c r="D2569" s="2" t="s">
        <v>82</v>
      </c>
      <c r="E2569" s="2">
        <v>62</v>
      </c>
      <c r="F2569" s="2">
        <v>1278.95</v>
      </c>
      <c r="G2569" s="1">
        <v>46229</v>
      </c>
    </row>
    <row r="2570" spans="3:6" x14ac:dyDescent="0.25">
      <c r="C2570" s="2" t="s">
        <v>3073</v>
      </c>
      <c r="D2570" s="2" t="s">
        <v>82</v>
      </c>
      <c r="E2570" s="2">
        <v>40</v>
      </c>
      <c r="F2570" s="2">
        <v>826.38</v>
      </c>
    </row>
    <row r="2571" spans="3:6" x14ac:dyDescent="0.25">
      <c r="C2571" s="2" t="s">
        <v>3074</v>
      </c>
      <c r="D2571" s="2" t="s">
        <v>82</v>
      </c>
      <c r="E2571" s="2">
        <v>63</v>
      </c>
      <c r="F2571" s="2">
        <v>274.739</v>
      </c>
    </row>
    <row r="2572" spans="3:6" x14ac:dyDescent="0.25">
      <c r="C2572" s="2" t="s">
        <v>3075</v>
      </c>
      <c r="D2572" s="2" t="s">
        <v>82</v>
      </c>
      <c r="E2572" s="2">
        <v>75</v>
      </c>
      <c r="F2572" s="2">
        <v>374.22</v>
      </c>
    </row>
    <row r="2573" spans="3:6" x14ac:dyDescent="0.25">
      <c r="C2573" s="2" t="s">
        <v>3076</v>
      </c>
      <c r="D2573" s="2" t="s">
        <v>82</v>
      </c>
      <c r="E2573" s="2">
        <v>141</v>
      </c>
      <c r="F2573" s="2">
        <v>2807.71</v>
      </c>
    </row>
    <row r="2574" spans="3:6" x14ac:dyDescent="0.25">
      <c r="C2574" s="2" t="s">
        <v>3077</v>
      </c>
      <c r="D2574" s="2" t="s">
        <v>82</v>
      </c>
      <c r="E2574" s="2">
        <v>141</v>
      </c>
      <c r="F2574" s="2">
        <v>2913.72</v>
      </c>
    </row>
    <row r="2575" spans="3:6" x14ac:dyDescent="0.25">
      <c r="C2575" s="2" t="s">
        <v>3078</v>
      </c>
      <c r="D2575" s="2" t="s">
        <v>82</v>
      </c>
      <c r="E2575" s="2">
        <v>141</v>
      </c>
      <c r="F2575" s="2">
        <v>2962.24</v>
      </c>
    </row>
    <row r="2576" spans="3:6" x14ac:dyDescent="0.25">
      <c r="C2576" s="2" t="s">
        <v>3079</v>
      </c>
      <c r="D2576" s="2" t="s">
        <v>82</v>
      </c>
      <c r="E2576" s="2">
        <v>114</v>
      </c>
      <c r="F2576" s="2">
        <v>1486.844</v>
      </c>
    </row>
    <row r="2577" spans="3:6" x14ac:dyDescent="0.25">
      <c r="C2577" s="2" t="s">
        <v>3080</v>
      </c>
      <c r="D2577" s="2" t="s">
        <v>82</v>
      </c>
      <c r="E2577" s="2">
        <v>27</v>
      </c>
      <c r="F2577" s="2">
        <v>112.629</v>
      </c>
    </row>
    <row r="2578" spans="3:6" x14ac:dyDescent="0.25">
      <c r="C2578" s="2" t="s">
        <v>3081</v>
      </c>
      <c r="D2578" s="2" t="s">
        <v>82</v>
      </c>
      <c r="E2578" s="2">
        <v>30</v>
      </c>
      <c r="F2578" s="2">
        <v>599.6</v>
      </c>
    </row>
    <row r="2579" spans="3:6" x14ac:dyDescent="0.25">
      <c r="C2579" s="2" t="s">
        <v>3082</v>
      </c>
      <c r="D2579" s="2" t="s">
        <v>82</v>
      </c>
      <c r="E2579" s="2">
        <v>11</v>
      </c>
      <c r="F2579" s="2">
        <v>196.21</v>
      </c>
    </row>
    <row r="2580" spans="3:6" x14ac:dyDescent="0.25">
      <c r="C2580" s="2" t="s">
        <v>3083</v>
      </c>
      <c r="D2580" s="2" t="s">
        <v>82</v>
      </c>
      <c r="E2580" s="2">
        <v>101</v>
      </c>
      <c r="F2580" s="2">
        <v>1986.299</v>
      </c>
    </row>
    <row r="2581" spans="3:6" x14ac:dyDescent="0.25">
      <c r="C2581" s="2" t="s">
        <v>3084</v>
      </c>
      <c r="D2581" s="2" t="s">
        <v>82</v>
      </c>
      <c r="E2581" s="2">
        <v>15</v>
      </c>
      <c r="F2581" s="2">
        <v>276.98</v>
      </c>
    </row>
    <row r="2582" spans="3:6" x14ac:dyDescent="0.25">
      <c r="C2582" s="2" t="s">
        <v>3085</v>
      </c>
      <c r="D2582" s="2" t="s">
        <v>82</v>
      </c>
      <c r="E2582" s="2">
        <v>26</v>
      </c>
      <c r="F2582" s="2">
        <v>503.849</v>
      </c>
    </row>
    <row r="2583" spans="3:6" x14ac:dyDescent="0.25">
      <c r="C2583" s="2" t="s">
        <v>3086</v>
      </c>
      <c r="D2583" s="2" t="s">
        <v>82</v>
      </c>
      <c r="E2583" s="2">
        <v>61</v>
      </c>
      <c r="F2583" s="2">
        <v>1211.31</v>
      </c>
    </row>
    <row r="2584" spans="3:6" x14ac:dyDescent="0.25">
      <c r="C2584" s="2" t="s">
        <v>3087</v>
      </c>
      <c r="D2584" s="2" t="s">
        <v>82</v>
      </c>
      <c r="E2584" s="2">
        <v>39</v>
      </c>
      <c r="F2584" s="2">
        <v>841.4</v>
      </c>
    </row>
    <row r="2585" spans="3:6" x14ac:dyDescent="0.25">
      <c r="C2585" s="2" t="s">
        <v>3088</v>
      </c>
      <c r="D2585" s="2" t="s">
        <v>82</v>
      </c>
      <c r="E2585" s="2">
        <v>46</v>
      </c>
      <c r="F2585" s="2">
        <v>844.16</v>
      </c>
    </row>
    <row r="2586" spans="3:6" x14ac:dyDescent="0.25">
      <c r="C2586" s="2" t="s">
        <v>3089</v>
      </c>
      <c r="D2586" s="2" t="s">
        <v>82</v>
      </c>
      <c r="E2586" s="2">
        <v>30</v>
      </c>
      <c r="F2586" s="2">
        <v>592.18</v>
      </c>
    </row>
    <row r="2587" spans="3:6" x14ac:dyDescent="0.25">
      <c r="C2587" s="2" t="s">
        <v>3090</v>
      </c>
      <c r="D2587" s="2" t="s">
        <v>82</v>
      </c>
      <c r="E2587" s="2">
        <v>59</v>
      </c>
      <c r="F2587" s="2">
        <v>1181.99</v>
      </c>
    </row>
    <row r="2588" spans="3:6" x14ac:dyDescent="0.25">
      <c r="C2588" s="2" t="s">
        <v>3091</v>
      </c>
      <c r="D2588" s="2" t="s">
        <v>82</v>
      </c>
      <c r="E2588" s="2">
        <v>36</v>
      </c>
      <c r="F2588" s="2">
        <v>752.3</v>
      </c>
    </row>
    <row r="2589" spans="3:6" x14ac:dyDescent="0.25">
      <c r="C2589" s="2" t="s">
        <v>3092</v>
      </c>
      <c r="D2589" s="2" t="s">
        <v>82</v>
      </c>
      <c r="E2589" s="2">
        <v>26</v>
      </c>
      <c r="F2589" s="2">
        <v>503.35</v>
      </c>
    </row>
    <row r="2590" spans="3:6" x14ac:dyDescent="0.25">
      <c r="C2590" s="2" t="s">
        <v>3093</v>
      </c>
      <c r="D2590" s="2" t="s">
        <v>82</v>
      </c>
      <c r="E2590" s="2">
        <v>121</v>
      </c>
      <c r="F2590" s="2">
        <v>2531.219</v>
      </c>
    </row>
    <row r="2591" spans="3:5" x14ac:dyDescent="0.25">
      <c r="C2591" s="2" t="s">
        <v>3094</v>
      </c>
      <c r="D2591" s="2" t="s">
        <v>82</v>
      </c>
      <c r="E2591" s="2">
        <v>94</v>
      </c>
    </row>
    <row r="2592" spans="3:6" x14ac:dyDescent="0.25">
      <c r="C2592" s="2" t="s">
        <v>3095</v>
      </c>
      <c r="D2592" s="2" t="s">
        <v>82</v>
      </c>
      <c r="E2592" s="2">
        <v>142</v>
      </c>
      <c r="F2592" s="2">
        <v>1703.645</v>
      </c>
    </row>
    <row r="2593" spans="3:6" x14ac:dyDescent="0.25">
      <c r="C2593" s="2" t="s">
        <v>3096</v>
      </c>
      <c r="D2593" s="2" t="s">
        <v>82</v>
      </c>
      <c r="E2593" s="2">
        <v>50</v>
      </c>
      <c r="F2593" s="2">
        <v>1754.05</v>
      </c>
    </row>
    <row r="2594" spans="3:6" x14ac:dyDescent="0.25">
      <c r="C2594" s="2" t="s">
        <v>3097</v>
      </c>
      <c r="D2594" s="2" t="s">
        <v>82</v>
      </c>
      <c r="E2594" s="2">
        <v>128</v>
      </c>
      <c r="F2594" s="2">
        <v>918.816</v>
      </c>
    </row>
    <row r="2595" spans="3:6" x14ac:dyDescent="0.25">
      <c r="C2595" s="2" t="s">
        <v>3098</v>
      </c>
      <c r="D2595" s="2" t="s">
        <v>82</v>
      </c>
      <c r="E2595" s="2">
        <v>101</v>
      </c>
      <c r="F2595" s="2">
        <v>1442.421</v>
      </c>
    </row>
    <row r="2596" spans="3:6" x14ac:dyDescent="0.25">
      <c r="C2596" s="2" t="s">
        <v>3099</v>
      </c>
      <c r="D2596" s="2" t="s">
        <v>82</v>
      </c>
      <c r="E2596" s="2">
        <v>93</v>
      </c>
      <c r="F2596" s="2">
        <v>2160.138</v>
      </c>
    </row>
    <row r="2597" spans="3:6" x14ac:dyDescent="0.25">
      <c r="C2597" s="2" t="s">
        <v>3100</v>
      </c>
      <c r="D2597" s="2" t="s">
        <v>82</v>
      </c>
      <c r="E2597" s="2">
        <v>71</v>
      </c>
      <c r="F2597" s="2">
        <v>1428.95</v>
      </c>
    </row>
    <row r="2598" spans="3:6" x14ac:dyDescent="0.25">
      <c r="C2598" s="2" t="s">
        <v>3101</v>
      </c>
      <c r="D2598" s="2" t="s">
        <v>82</v>
      </c>
      <c r="E2598" s="2">
        <v>50</v>
      </c>
      <c r="F2598" s="2">
        <v>1020.49</v>
      </c>
    </row>
    <row r="2599" spans="3:6" x14ac:dyDescent="0.25">
      <c r="C2599" s="2" t="s">
        <v>3102</v>
      </c>
      <c r="D2599" s="2" t="s">
        <v>82</v>
      </c>
      <c r="E2599" s="2">
        <v>94</v>
      </c>
      <c r="F2599" s="2">
        <v>1904.46</v>
      </c>
    </row>
    <row r="2600" spans="3:6" x14ac:dyDescent="0.25">
      <c r="C2600" s="2" t="s">
        <v>3103</v>
      </c>
      <c r="D2600" s="2" t="s">
        <v>82</v>
      </c>
      <c r="E2600" s="2">
        <v>27</v>
      </c>
      <c r="F2600" s="2">
        <v>554.32</v>
      </c>
    </row>
    <row r="2601" spans="3:6" x14ac:dyDescent="0.25">
      <c r="C2601" s="2" t="s">
        <v>3104</v>
      </c>
      <c r="D2601" s="2" t="s">
        <v>82</v>
      </c>
      <c r="E2601" s="2">
        <v>26</v>
      </c>
      <c r="F2601" s="2">
        <v>497.829</v>
      </c>
    </row>
    <row r="2602" spans="3:6" x14ac:dyDescent="0.25">
      <c r="C2602" s="2" t="s">
        <v>3105</v>
      </c>
      <c r="D2602" s="2" t="s">
        <v>82</v>
      </c>
      <c r="E2602" s="2">
        <v>76</v>
      </c>
      <c r="F2602" s="2">
        <v>1553.279</v>
      </c>
    </row>
    <row r="2603" spans="3:6" x14ac:dyDescent="0.25">
      <c r="C2603" s="2" t="s">
        <v>3106</v>
      </c>
      <c r="D2603" s="2" t="s">
        <v>82</v>
      </c>
      <c r="E2603" s="2">
        <v>134</v>
      </c>
      <c r="F2603" s="2">
        <v>2641.199</v>
      </c>
    </row>
    <row r="2604" spans="3:6" x14ac:dyDescent="0.25">
      <c r="C2604" s="2" t="s">
        <v>3107</v>
      </c>
      <c r="D2604" s="2" t="s">
        <v>82</v>
      </c>
      <c r="E2604" s="2">
        <v>141</v>
      </c>
      <c r="F2604" s="2">
        <v>2786.72</v>
      </c>
    </row>
    <row r="2605" spans="3:6" x14ac:dyDescent="0.25">
      <c r="C2605" s="2" t="s">
        <v>3108</v>
      </c>
      <c r="D2605" s="2" t="s">
        <v>82</v>
      </c>
      <c r="E2605" s="2">
        <v>141</v>
      </c>
      <c r="F2605" s="2">
        <v>2890.38</v>
      </c>
    </row>
    <row r="2606" spans="3:6" x14ac:dyDescent="0.25">
      <c r="C2606" s="2" t="s">
        <v>3109</v>
      </c>
      <c r="D2606" s="2" t="s">
        <v>82</v>
      </c>
      <c r="E2606" s="2">
        <v>40</v>
      </c>
      <c r="F2606" s="2">
        <v>790.72</v>
      </c>
    </row>
    <row r="2607" spans="3:6" x14ac:dyDescent="0.25">
      <c r="C2607" s="2" t="s">
        <v>3110</v>
      </c>
      <c r="D2607" s="2" t="s">
        <v>82</v>
      </c>
      <c r="E2607" s="2">
        <v>50</v>
      </c>
      <c r="F2607" s="2">
        <v>965.6</v>
      </c>
    </row>
    <row r="2608" spans="3:6" x14ac:dyDescent="0.25">
      <c r="C2608" s="2" t="s">
        <v>3111</v>
      </c>
      <c r="D2608" s="2" t="s">
        <v>82</v>
      </c>
      <c r="E2608" s="2">
        <v>51</v>
      </c>
      <c r="F2608" s="2">
        <v>1054.65</v>
      </c>
    </row>
    <row r="2609" spans="3:6" x14ac:dyDescent="0.25">
      <c r="C2609" s="2" t="s">
        <v>3112</v>
      </c>
      <c r="D2609" s="2" t="s">
        <v>82</v>
      </c>
      <c r="E2609" s="2">
        <v>60</v>
      </c>
      <c r="F2609" s="2">
        <v>1207.31</v>
      </c>
    </row>
    <row r="2610" spans="3:6" x14ac:dyDescent="0.25">
      <c r="C2610" s="2" t="s">
        <v>3113</v>
      </c>
      <c r="D2610" s="2" t="s">
        <v>82</v>
      </c>
      <c r="E2610" s="2">
        <v>40</v>
      </c>
      <c r="F2610" s="2">
        <v>774.14</v>
      </c>
    </row>
    <row r="2611" spans="3:6" x14ac:dyDescent="0.25">
      <c r="C2611" s="2" t="s">
        <v>3114</v>
      </c>
      <c r="D2611" s="2" t="s">
        <v>82</v>
      </c>
      <c r="E2611" s="2">
        <v>15</v>
      </c>
      <c r="F2611" s="2">
        <v>289.78</v>
      </c>
    </row>
    <row r="2612" spans="3:6" x14ac:dyDescent="0.25">
      <c r="C2612" s="2" t="s">
        <v>3115</v>
      </c>
      <c r="D2612" s="2" t="s">
        <v>82</v>
      </c>
      <c r="E2612" s="2">
        <v>11</v>
      </c>
      <c r="F2612" s="2">
        <v>147.69</v>
      </c>
    </row>
    <row r="2613" spans="3:6" x14ac:dyDescent="0.25">
      <c r="C2613" s="2" t="s">
        <v>3116</v>
      </c>
      <c r="D2613" s="2" t="s">
        <v>82</v>
      </c>
      <c r="E2613" s="2">
        <v>89</v>
      </c>
      <c r="F2613" s="2">
        <v>1812.02</v>
      </c>
    </row>
    <row r="2614" spans="3:6" x14ac:dyDescent="0.25">
      <c r="C2614" s="2" t="s">
        <v>3117</v>
      </c>
      <c r="D2614" s="2" t="s">
        <v>82</v>
      </c>
      <c r="E2614" s="2">
        <v>13</v>
      </c>
      <c r="F2614" s="2">
        <v>255.41</v>
      </c>
    </row>
    <row r="2615" spans="3:6" x14ac:dyDescent="0.25">
      <c r="C2615" s="2" t="s">
        <v>3118</v>
      </c>
      <c r="D2615" s="2" t="s">
        <v>82</v>
      </c>
      <c r="E2615" s="2">
        <v>65</v>
      </c>
      <c r="F2615" s="2">
        <v>1326.44</v>
      </c>
    </row>
    <row r="2616" spans="3:6" x14ac:dyDescent="0.25">
      <c r="C2616" s="2" t="s">
        <v>3119</v>
      </c>
      <c r="D2616" s="2" t="s">
        <v>82</v>
      </c>
      <c r="E2616" s="2">
        <v>37</v>
      </c>
      <c r="F2616" s="2">
        <v>734.27</v>
      </c>
    </row>
    <row r="2618" spans="1:7" x14ac:dyDescent="0.25">
      <c r="A2618" s="1">
        <v>46229</v>
      </c>
      <c r="B2618" s="2" t="s">
        <v>122</v>
      </c>
      <c r="C2618" s="2" t="s">
        <v>3120</v>
      </c>
      <c r="D2618" s="2" t="s">
        <v>9</v>
      </c>
      <c r="E2618" s="2">
        <v>150</v>
      </c>
      <c r="F2618" s="2">
        <v>3132.89</v>
      </c>
      <c r="G2618" s="1">
        <v>46229</v>
      </c>
    </row>
    <row r="2619" spans="3:6" x14ac:dyDescent="0.25">
      <c r="C2619" s="2" t="s">
        <v>3121</v>
      </c>
      <c r="D2619" s="2" t="s">
        <v>9</v>
      </c>
      <c r="E2619" s="2">
        <v>150</v>
      </c>
      <c r="F2619" s="2">
        <v>2963.379</v>
      </c>
    </row>
    <row r="2620" spans="3:6" x14ac:dyDescent="0.25">
      <c r="C2620" s="2" t="s">
        <v>3122</v>
      </c>
      <c r="D2620" s="2" t="s">
        <v>9</v>
      </c>
      <c r="E2620" s="2">
        <v>80</v>
      </c>
      <c r="F2620" s="2">
        <v>1607.01</v>
      </c>
    </row>
    <row r="2622" spans="1:7" x14ac:dyDescent="0.25">
      <c r="A2622" s="1">
        <v>46229</v>
      </c>
      <c r="B2622" s="2" t="s">
        <v>7</v>
      </c>
      <c r="C2622" s="2" t="s">
        <v>3123</v>
      </c>
      <c r="D2622" s="2" t="s">
        <v>9</v>
      </c>
      <c r="E2622" s="2">
        <v>77</v>
      </c>
      <c r="F2622" s="2">
        <v>1614.09</v>
      </c>
      <c r="G2622" s="1">
        <v>46229</v>
      </c>
    </row>
    <row r="2623" spans="3:6" x14ac:dyDescent="0.25">
      <c r="C2623" s="2" t="s">
        <v>3124</v>
      </c>
      <c r="D2623" s="2" t="s">
        <v>9</v>
      </c>
      <c r="E2623" s="2">
        <v>88</v>
      </c>
      <c r="F2623" s="2">
        <v>1611.23</v>
      </c>
    </row>
    <row r="2625" spans="1:7" x14ac:dyDescent="0.25">
      <c r="A2625" s="1">
        <v>46229</v>
      </c>
      <c r="B2625" s="2" t="s">
        <v>57</v>
      </c>
      <c r="C2625" s="2" t="s">
        <v>3125</v>
      </c>
      <c r="D2625" s="2" t="s">
        <v>59</v>
      </c>
      <c r="E2625" s="2">
        <v>156</v>
      </c>
      <c r="F2625" s="2">
        <v>3044.638</v>
      </c>
      <c r="G2625" s="1">
        <v>46229</v>
      </c>
    </row>
    <row r="2626" spans="3:6" x14ac:dyDescent="0.25">
      <c r="C2626" s="2" t="s">
        <v>3126</v>
      </c>
      <c r="D2626" s="2" t="s">
        <v>59</v>
      </c>
      <c r="E2626" s="2">
        <v>156</v>
      </c>
      <c r="F2626" s="2">
        <v>3042.779</v>
      </c>
    </row>
    <row r="2627" spans="3:6" x14ac:dyDescent="0.25">
      <c r="C2627" s="2" t="s">
        <v>3127</v>
      </c>
      <c r="D2627" s="2" t="s">
        <v>59</v>
      </c>
      <c r="E2627" s="2">
        <v>156</v>
      </c>
      <c r="F2627" s="2">
        <v>3128.849</v>
      </c>
    </row>
    <row r="2628" spans="3:6" x14ac:dyDescent="0.25">
      <c r="C2628" s="2" t="s">
        <v>3128</v>
      </c>
      <c r="D2628" s="2" t="s">
        <v>59</v>
      </c>
      <c r="E2628" s="2">
        <v>259</v>
      </c>
      <c r="F2628" s="2">
        <v>5129.259</v>
      </c>
    </row>
    <row r="2629" spans="3:6" x14ac:dyDescent="0.25">
      <c r="C2629" s="2" t="s">
        <v>3129</v>
      </c>
      <c r="D2629" s="2" t="s">
        <v>59</v>
      </c>
      <c r="E2629" s="2">
        <v>149</v>
      </c>
      <c r="F2629" s="2">
        <v>3165.96</v>
      </c>
    </row>
    <row r="2630" spans="3:6" x14ac:dyDescent="0.25">
      <c r="C2630" s="2" t="s">
        <v>3130</v>
      </c>
      <c r="D2630" s="2" t="s">
        <v>59</v>
      </c>
      <c r="E2630" s="2">
        <v>111</v>
      </c>
      <c r="F2630" s="2">
        <v>2149.449</v>
      </c>
    </row>
    <row r="2631" spans="3:6" x14ac:dyDescent="0.25">
      <c r="C2631" s="2" t="s">
        <v>3131</v>
      </c>
      <c r="D2631" s="2" t="s">
        <v>59</v>
      </c>
      <c r="E2631" s="2">
        <v>105</v>
      </c>
      <c r="F2631" s="2">
        <v>2006.189</v>
      </c>
    </row>
    <row r="2632" spans="3:6" x14ac:dyDescent="0.25">
      <c r="C2632" s="2" t="s">
        <v>3132</v>
      </c>
      <c r="D2632" s="2" t="s">
        <v>59</v>
      </c>
      <c r="E2632" s="2">
        <v>207</v>
      </c>
      <c r="F2632" s="2">
        <v>4001.54</v>
      </c>
    </row>
    <row r="2633" spans="3:6" x14ac:dyDescent="0.25">
      <c r="C2633" s="2" t="s">
        <v>3133</v>
      </c>
      <c r="D2633" s="2" t="s">
        <v>59</v>
      </c>
      <c r="E2633" s="2">
        <v>105</v>
      </c>
      <c r="F2633" s="2">
        <v>2022.679</v>
      </c>
    </row>
    <row r="2635" spans="1:7" x14ac:dyDescent="0.25">
      <c r="A2635" s="1">
        <v>46230</v>
      </c>
      <c r="B2635" s="2" t="s">
        <v>68</v>
      </c>
      <c r="C2635" s="2" t="s">
        <v>3134</v>
      </c>
      <c r="D2635" s="2" t="s">
        <v>15</v>
      </c>
      <c r="E2635" s="2">
        <v>102</v>
      </c>
      <c r="F2635" s="2">
        <v>2042</v>
      </c>
      <c r="G2635" s="1">
        <v>46230</v>
      </c>
    </row>
    <row r="2637" spans="1:7" x14ac:dyDescent="0.25">
      <c r="A2637" s="1">
        <v>46230</v>
      </c>
      <c r="B2637" s="2" t="s">
        <v>1032</v>
      </c>
      <c r="C2637" s="2" t="s">
        <v>3135</v>
      </c>
      <c r="D2637" s="2" t="s">
        <v>73</v>
      </c>
      <c r="E2637" s="2">
        <v>74</v>
      </c>
      <c r="F2637" s="2">
        <v>1467.74</v>
      </c>
      <c r="G2637" s="1">
        <v>46229</v>
      </c>
    </row>
    <row r="2638" spans="3:6" x14ac:dyDescent="0.25">
      <c r="C2638" s="2" t="s">
        <v>3136</v>
      </c>
      <c r="D2638" s="2" t="s">
        <v>73</v>
      </c>
      <c r="E2638" s="2">
        <v>16</v>
      </c>
      <c r="F2638" s="2">
        <v>257.19</v>
      </c>
    </row>
    <row r="2639" spans="3:6" x14ac:dyDescent="0.25">
      <c r="C2639" s="2" t="s">
        <v>3137</v>
      </c>
      <c r="D2639" s="2" t="s">
        <v>73</v>
      </c>
      <c r="E2639" s="2">
        <v>35</v>
      </c>
      <c r="F2639" s="2">
        <v>647.359</v>
      </c>
    </row>
    <row r="2640" spans="3:6" x14ac:dyDescent="0.25">
      <c r="C2640" s="2" t="s">
        <v>3138</v>
      </c>
      <c r="D2640" s="2" t="s">
        <v>73</v>
      </c>
      <c r="E2640" s="2">
        <v>46</v>
      </c>
      <c r="F2640" s="2">
        <v>932.369</v>
      </c>
    </row>
    <row r="2641" spans="3:6" x14ac:dyDescent="0.25">
      <c r="C2641" s="2" t="s">
        <v>3139</v>
      </c>
      <c r="D2641" s="2" t="s">
        <v>73</v>
      </c>
      <c r="E2641" s="2">
        <v>25</v>
      </c>
      <c r="F2641" s="2">
        <v>397.89</v>
      </c>
    </row>
    <row r="2642" spans="3:6" x14ac:dyDescent="0.25">
      <c r="C2642" s="2" t="s">
        <v>3140</v>
      </c>
      <c r="D2642" s="2" t="s">
        <v>73</v>
      </c>
      <c r="E2642" s="2">
        <v>69</v>
      </c>
      <c r="F2642" s="2">
        <v>1418.53</v>
      </c>
    </row>
    <row r="2643" spans="3:6" x14ac:dyDescent="0.25">
      <c r="C2643" s="2" t="s">
        <v>3141</v>
      </c>
      <c r="D2643" s="2" t="s">
        <v>73</v>
      </c>
      <c r="E2643" s="2">
        <v>6</v>
      </c>
      <c r="F2643" s="2">
        <v>140.95</v>
      </c>
    </row>
    <row r="2644" spans="3:6" x14ac:dyDescent="0.25">
      <c r="C2644" s="2" t="s">
        <v>3142</v>
      </c>
      <c r="D2644" s="2" t="s">
        <v>73</v>
      </c>
      <c r="E2644" s="2">
        <v>41</v>
      </c>
      <c r="F2644" s="2">
        <v>759.909</v>
      </c>
    </row>
    <row r="2645" spans="3:6" x14ac:dyDescent="0.25">
      <c r="C2645" s="2" t="s">
        <v>3143</v>
      </c>
      <c r="D2645" s="2" t="s">
        <v>73</v>
      </c>
      <c r="E2645" s="2">
        <v>23</v>
      </c>
      <c r="F2645" s="2">
        <v>388.53</v>
      </c>
    </row>
    <row r="2646" spans="3:6" x14ac:dyDescent="0.25">
      <c r="C2646" s="2" t="s">
        <v>3144</v>
      </c>
      <c r="D2646" s="2" t="s">
        <v>73</v>
      </c>
      <c r="E2646" s="2">
        <v>29</v>
      </c>
      <c r="F2646" s="2">
        <v>546.74</v>
      </c>
    </row>
    <row r="2647" spans="3:6" x14ac:dyDescent="0.25">
      <c r="C2647" s="2" t="s">
        <v>3145</v>
      </c>
      <c r="D2647" s="2" t="s">
        <v>73</v>
      </c>
      <c r="E2647" s="2">
        <v>85</v>
      </c>
      <c r="F2647" s="2">
        <v>1758.399</v>
      </c>
    </row>
    <row r="2649" spans="1:7" x14ac:dyDescent="0.25">
      <c r="A2649" s="1">
        <v>46230</v>
      </c>
      <c r="B2649" s="2" t="s">
        <v>176</v>
      </c>
      <c r="C2649" s="2" t="s">
        <v>3146</v>
      </c>
      <c r="D2649" s="2" t="s">
        <v>178</v>
      </c>
      <c r="E2649" s="2">
        <v>126</v>
      </c>
      <c r="F2649" s="2">
        <v>2540.069</v>
      </c>
      <c r="G2649" s="1">
        <v>46229</v>
      </c>
    </row>
    <row r="2650" spans="3:6" x14ac:dyDescent="0.25">
      <c r="C2650" s="2" t="s">
        <v>3147</v>
      </c>
      <c r="D2650" s="2" t="s">
        <v>178</v>
      </c>
      <c r="E2650" s="2">
        <v>112</v>
      </c>
      <c r="F2650" s="2">
        <v>2190.529</v>
      </c>
    </row>
    <row r="2651" spans="3:6" x14ac:dyDescent="0.25">
      <c r="C2651" s="2" t="s">
        <v>3148</v>
      </c>
      <c r="D2651" s="2" t="s">
        <v>178</v>
      </c>
      <c r="E2651" s="2">
        <v>103</v>
      </c>
      <c r="F2651" s="2">
        <v>1860.159</v>
      </c>
    </row>
    <row r="2652" spans="3:6" x14ac:dyDescent="0.25">
      <c r="C2652" s="2" t="s">
        <v>3149</v>
      </c>
      <c r="D2652" s="2" t="s">
        <v>178</v>
      </c>
      <c r="E2652" s="2">
        <v>124</v>
      </c>
      <c r="F2652" s="2">
        <v>2300.48</v>
      </c>
    </row>
    <row r="2653" spans="3:6" x14ac:dyDescent="0.25">
      <c r="C2653" s="2" t="s">
        <v>3150</v>
      </c>
      <c r="D2653" s="2" t="s">
        <v>178</v>
      </c>
      <c r="E2653" s="2">
        <v>141</v>
      </c>
      <c r="F2653" s="2">
        <v>618.27</v>
      </c>
    </row>
    <row r="2654" spans="3:6" x14ac:dyDescent="0.25">
      <c r="C2654" s="2" t="s">
        <v>3151</v>
      </c>
      <c r="D2654" s="2" t="s">
        <v>178</v>
      </c>
      <c r="E2654" s="2">
        <v>150</v>
      </c>
      <c r="F2654" s="2">
        <v>2844.69</v>
      </c>
    </row>
    <row r="2655" spans="3:6" x14ac:dyDescent="0.25">
      <c r="C2655" s="2" t="s">
        <v>3152</v>
      </c>
      <c r="D2655" s="2" t="s">
        <v>178</v>
      </c>
      <c r="E2655" s="2">
        <v>141</v>
      </c>
      <c r="F2655" s="2">
        <v>2787.96</v>
      </c>
    </row>
    <row r="2656" spans="3:6" x14ac:dyDescent="0.25">
      <c r="C2656" s="2" t="s">
        <v>3153</v>
      </c>
      <c r="D2656" s="2" t="s">
        <v>178</v>
      </c>
      <c r="E2656" s="2">
        <v>123</v>
      </c>
      <c r="F2656" s="2">
        <v>2447.549</v>
      </c>
    </row>
    <row r="2657" spans="3:6" x14ac:dyDescent="0.25">
      <c r="C2657" s="2" t="s">
        <v>3154</v>
      </c>
      <c r="D2657" s="2" t="s">
        <v>178</v>
      </c>
      <c r="E2657" s="2">
        <v>123</v>
      </c>
      <c r="F2657" s="2">
        <v>2462.49</v>
      </c>
    </row>
    <row r="2658" spans="3:6" x14ac:dyDescent="0.25">
      <c r="C2658" s="2" t="s">
        <v>3155</v>
      </c>
      <c r="D2658" s="2" t="s">
        <v>178</v>
      </c>
      <c r="E2658" s="2">
        <v>141</v>
      </c>
      <c r="F2658" s="2">
        <v>3052.71</v>
      </c>
    </row>
    <row r="2659" spans="3:6" x14ac:dyDescent="0.25">
      <c r="C2659" s="2" t="s">
        <v>3156</v>
      </c>
      <c r="D2659" s="2" t="s">
        <v>178</v>
      </c>
      <c r="E2659" s="2">
        <v>141</v>
      </c>
      <c r="F2659" s="2">
        <v>2826.3</v>
      </c>
    </row>
    <row r="2660" spans="3:6" x14ac:dyDescent="0.25">
      <c r="C2660" s="2" t="s">
        <v>3157</v>
      </c>
      <c r="D2660" s="2" t="s">
        <v>178</v>
      </c>
      <c r="E2660" s="2">
        <v>141</v>
      </c>
      <c r="F2660" s="2">
        <v>2928.45</v>
      </c>
    </row>
    <row r="2661" spans="3:6" x14ac:dyDescent="0.25">
      <c r="C2661" s="2" t="s">
        <v>3158</v>
      </c>
      <c r="D2661" s="2" t="s">
        <v>178</v>
      </c>
      <c r="E2661" s="2">
        <v>141</v>
      </c>
      <c r="F2661" s="2">
        <v>2884.94</v>
      </c>
    </row>
    <row r="2662" spans="3:6" x14ac:dyDescent="0.25">
      <c r="C2662" s="2" t="s">
        <v>3159</v>
      </c>
      <c r="D2662" s="2" t="s">
        <v>178</v>
      </c>
      <c r="E2662" s="2">
        <v>141</v>
      </c>
      <c r="F2662" s="2">
        <v>2846.99</v>
      </c>
    </row>
    <row r="2663" spans="3:6" x14ac:dyDescent="0.25">
      <c r="C2663" s="2" t="s">
        <v>3160</v>
      </c>
      <c r="D2663" s="2" t="s">
        <v>178</v>
      </c>
      <c r="E2663" s="2">
        <v>66</v>
      </c>
      <c r="F2663" s="2">
        <v>1331.95</v>
      </c>
    </row>
    <row r="2664" spans="3:6" x14ac:dyDescent="0.25">
      <c r="C2664" s="2" t="s">
        <v>3161</v>
      </c>
      <c r="D2664" s="2" t="s">
        <v>178</v>
      </c>
      <c r="E2664" s="2">
        <v>28</v>
      </c>
      <c r="F2664" s="2">
        <v>559.79</v>
      </c>
    </row>
    <row r="2665" spans="3:6" x14ac:dyDescent="0.25">
      <c r="C2665" s="2" t="s">
        <v>3162</v>
      </c>
      <c r="D2665" s="2" t="s">
        <v>178</v>
      </c>
      <c r="E2665" s="2">
        <v>141</v>
      </c>
      <c r="F2665" s="2">
        <v>2812.11</v>
      </c>
    </row>
    <row r="2666" spans="3:6" x14ac:dyDescent="0.25">
      <c r="C2666" s="2" t="s">
        <v>3163</v>
      </c>
      <c r="D2666" s="2" t="s">
        <v>178</v>
      </c>
      <c r="E2666" s="2">
        <v>141</v>
      </c>
      <c r="F2666" s="2">
        <v>2838.42</v>
      </c>
    </row>
    <row r="2667" spans="3:6" x14ac:dyDescent="0.25">
      <c r="C2667" s="2" t="s">
        <v>3164</v>
      </c>
      <c r="D2667" s="2" t="s">
        <v>178</v>
      </c>
      <c r="E2667" s="2">
        <v>100</v>
      </c>
      <c r="F2667" s="2">
        <v>1975.47</v>
      </c>
    </row>
    <row r="2668" spans="3:6" x14ac:dyDescent="0.25">
      <c r="C2668" s="2" t="s">
        <v>3165</v>
      </c>
      <c r="D2668" s="2" t="s">
        <v>178</v>
      </c>
      <c r="E2668" s="2">
        <v>41</v>
      </c>
      <c r="F2668" s="2">
        <v>822.86</v>
      </c>
    </row>
    <row r="2669" spans="3:6" x14ac:dyDescent="0.25">
      <c r="C2669" s="2" t="s">
        <v>3166</v>
      </c>
      <c r="D2669" s="2" t="s">
        <v>178</v>
      </c>
      <c r="E2669" s="2">
        <v>102</v>
      </c>
      <c r="F2669" s="2">
        <v>2081.38</v>
      </c>
    </row>
    <row r="2670" spans="3:6" x14ac:dyDescent="0.25">
      <c r="C2670" s="2" t="s">
        <v>3167</v>
      </c>
      <c r="D2670" s="2" t="s">
        <v>178</v>
      </c>
      <c r="E2670" s="2">
        <v>141</v>
      </c>
      <c r="F2670" s="2">
        <v>2409.134</v>
      </c>
    </row>
    <row r="2671" spans="3:6" x14ac:dyDescent="0.25">
      <c r="C2671" s="2" t="s">
        <v>3168</v>
      </c>
      <c r="D2671" s="2" t="s">
        <v>178</v>
      </c>
      <c r="E2671" s="2">
        <v>54</v>
      </c>
      <c r="F2671" s="2">
        <v>1041.559</v>
      </c>
    </row>
    <row r="2672" spans="3:6" x14ac:dyDescent="0.25">
      <c r="C2672" s="2" t="s">
        <v>3169</v>
      </c>
      <c r="D2672" s="2" t="s">
        <v>178</v>
      </c>
      <c r="E2672" s="2">
        <v>17</v>
      </c>
      <c r="F2672" s="2">
        <v>365.13</v>
      </c>
    </row>
    <row r="2673" spans="3:6" x14ac:dyDescent="0.25">
      <c r="C2673" s="2" t="s">
        <v>3170</v>
      </c>
      <c r="D2673" s="2" t="s">
        <v>178</v>
      </c>
      <c r="E2673" s="2">
        <v>37</v>
      </c>
      <c r="F2673" s="2">
        <v>673.729</v>
      </c>
    </row>
    <row r="2674" spans="3:6" x14ac:dyDescent="0.25">
      <c r="C2674" s="2" t="s">
        <v>3171</v>
      </c>
      <c r="D2674" s="2" t="s">
        <v>178</v>
      </c>
      <c r="E2674" s="2">
        <v>78</v>
      </c>
      <c r="F2674" s="2">
        <v>1269.87</v>
      </c>
    </row>
    <row r="2675" spans="3:6" x14ac:dyDescent="0.25">
      <c r="C2675" s="2" t="s">
        <v>3172</v>
      </c>
      <c r="D2675" s="2" t="s">
        <v>178</v>
      </c>
      <c r="E2675" s="2">
        <v>70</v>
      </c>
      <c r="F2675" s="2">
        <v>1186.109</v>
      </c>
    </row>
    <row r="2676" spans="3:6" x14ac:dyDescent="0.25">
      <c r="C2676" s="2" t="s">
        <v>3173</v>
      </c>
      <c r="D2676" s="2" t="s">
        <v>178</v>
      </c>
      <c r="E2676" s="2">
        <v>9</v>
      </c>
      <c r="F2676" s="2">
        <v>184.01</v>
      </c>
    </row>
    <row r="2677" spans="3:6" x14ac:dyDescent="0.25">
      <c r="C2677" s="2" t="s">
        <v>3174</v>
      </c>
      <c r="D2677" s="2" t="s">
        <v>178</v>
      </c>
      <c r="E2677" s="2">
        <v>17</v>
      </c>
      <c r="F2677" s="2">
        <v>370.71</v>
      </c>
    </row>
    <row r="2678" spans="3:6" x14ac:dyDescent="0.25">
      <c r="C2678" s="2" t="s">
        <v>3175</v>
      </c>
      <c r="D2678" s="2" t="s">
        <v>178</v>
      </c>
      <c r="E2678" s="2">
        <v>33</v>
      </c>
      <c r="F2678" s="2">
        <v>653.669</v>
      </c>
    </row>
    <row r="2679" spans="3:6" x14ac:dyDescent="0.25">
      <c r="C2679" s="2" t="s">
        <v>3176</v>
      </c>
      <c r="D2679" s="2" t="s">
        <v>178</v>
      </c>
      <c r="E2679" s="2">
        <v>5</v>
      </c>
      <c r="F2679" s="2">
        <v>72.22</v>
      </c>
    </row>
    <row r="2680" spans="3:6" x14ac:dyDescent="0.25">
      <c r="C2680" s="2" t="s">
        <v>3177</v>
      </c>
      <c r="D2680" s="2" t="s">
        <v>178</v>
      </c>
      <c r="E2680" s="2">
        <v>91</v>
      </c>
      <c r="F2680" s="2">
        <v>1469.33</v>
      </c>
    </row>
    <row r="2681" spans="3:6" x14ac:dyDescent="0.25">
      <c r="C2681" s="2" t="s">
        <v>3178</v>
      </c>
      <c r="D2681" s="2" t="s">
        <v>178</v>
      </c>
      <c r="E2681" s="2">
        <v>12</v>
      </c>
      <c r="F2681" s="2">
        <v>241.94</v>
      </c>
    </row>
    <row r="2682" spans="3:6" x14ac:dyDescent="0.25">
      <c r="C2682" s="2" t="s">
        <v>3179</v>
      </c>
      <c r="D2682" s="2" t="s">
        <v>178</v>
      </c>
      <c r="E2682" s="2">
        <v>56</v>
      </c>
      <c r="F2682" s="2">
        <v>1169.12</v>
      </c>
    </row>
    <row r="2683" spans="3:6" x14ac:dyDescent="0.25">
      <c r="C2683" s="2" t="s">
        <v>3180</v>
      </c>
      <c r="D2683" s="2" t="s">
        <v>178</v>
      </c>
      <c r="E2683" s="2">
        <v>46</v>
      </c>
      <c r="F2683" s="2">
        <v>852.459</v>
      </c>
    </row>
    <row r="2684" spans="3:6" x14ac:dyDescent="0.25">
      <c r="C2684" s="2" t="s">
        <v>3181</v>
      </c>
      <c r="D2684" s="2" t="s">
        <v>178</v>
      </c>
      <c r="E2684" s="2">
        <v>141</v>
      </c>
      <c r="F2684" s="2">
        <v>2896.92</v>
      </c>
    </row>
    <row r="2685" spans="3:6" x14ac:dyDescent="0.25">
      <c r="C2685" s="2" t="s">
        <v>3182</v>
      </c>
      <c r="D2685" s="2" t="s">
        <v>178</v>
      </c>
      <c r="E2685" s="2">
        <v>71</v>
      </c>
      <c r="F2685" s="2">
        <v>319.307</v>
      </c>
    </row>
    <row r="2686" spans="3:6" x14ac:dyDescent="0.25">
      <c r="C2686" s="2" t="s">
        <v>3183</v>
      </c>
      <c r="D2686" s="2" t="s">
        <v>178</v>
      </c>
      <c r="E2686" s="2">
        <v>63</v>
      </c>
      <c r="F2686" s="2">
        <v>1191.489</v>
      </c>
    </row>
    <row r="2687" spans="3:6" x14ac:dyDescent="0.25">
      <c r="C2687" s="2" t="s">
        <v>3184</v>
      </c>
      <c r="D2687" s="2" t="s">
        <v>178</v>
      </c>
      <c r="E2687" s="2">
        <v>82</v>
      </c>
      <c r="F2687" s="2">
        <v>1613.02</v>
      </c>
    </row>
    <row r="2688" spans="3:6" x14ac:dyDescent="0.25">
      <c r="C2688" s="2" t="s">
        <v>3185</v>
      </c>
      <c r="D2688" s="2" t="s">
        <v>178</v>
      </c>
      <c r="E2688" s="2">
        <v>52</v>
      </c>
      <c r="F2688" s="2">
        <v>996.368</v>
      </c>
    </row>
    <row r="2689" spans="3:6" x14ac:dyDescent="0.25">
      <c r="C2689" s="2" t="s">
        <v>3186</v>
      </c>
      <c r="D2689" s="2" t="s">
        <v>178</v>
      </c>
      <c r="E2689" s="2">
        <v>39</v>
      </c>
      <c r="F2689" s="2">
        <v>735.82</v>
      </c>
    </row>
    <row r="2690" spans="3:6" x14ac:dyDescent="0.25">
      <c r="C2690" s="2" t="s">
        <v>3187</v>
      </c>
      <c r="D2690" s="2" t="s">
        <v>178</v>
      </c>
      <c r="E2690" s="2">
        <v>7</v>
      </c>
      <c r="F2690" s="2">
        <v>127.57</v>
      </c>
    </row>
    <row r="2691" spans="3:6" x14ac:dyDescent="0.25">
      <c r="C2691" s="2" t="s">
        <v>3188</v>
      </c>
      <c r="D2691" s="2" t="s">
        <v>178</v>
      </c>
      <c r="E2691" s="2">
        <v>38</v>
      </c>
      <c r="F2691" s="2">
        <v>812.21</v>
      </c>
    </row>
    <row r="2692" spans="3:6" x14ac:dyDescent="0.25">
      <c r="C2692" s="2" t="s">
        <v>3189</v>
      </c>
      <c r="D2692" s="2" t="s">
        <v>178</v>
      </c>
      <c r="E2692" s="2">
        <v>95</v>
      </c>
      <c r="F2692" s="2">
        <v>1822.159</v>
      </c>
    </row>
    <row r="2693" spans="3:6" x14ac:dyDescent="0.25">
      <c r="C2693" s="2" t="s">
        <v>3190</v>
      </c>
      <c r="D2693" s="2" t="s">
        <v>178</v>
      </c>
      <c r="E2693" s="2">
        <v>47</v>
      </c>
      <c r="F2693" s="2">
        <v>895.73</v>
      </c>
    </row>
    <row r="2694" spans="3:6" x14ac:dyDescent="0.25">
      <c r="C2694" s="2" t="s">
        <v>3191</v>
      </c>
      <c r="D2694" s="2" t="s">
        <v>178</v>
      </c>
      <c r="E2694" s="2">
        <v>15</v>
      </c>
      <c r="F2694" s="2">
        <v>257.04</v>
      </c>
    </row>
    <row r="2695" spans="3:6" x14ac:dyDescent="0.25">
      <c r="C2695" s="2" t="s">
        <v>3192</v>
      </c>
      <c r="D2695" s="2" t="s">
        <v>178</v>
      </c>
      <c r="E2695" s="2">
        <v>10</v>
      </c>
      <c r="F2695" s="2">
        <v>114.64</v>
      </c>
    </row>
    <row r="2696" spans="3:6" x14ac:dyDescent="0.25">
      <c r="C2696" s="2" t="s">
        <v>3193</v>
      </c>
      <c r="D2696" s="2" t="s">
        <v>178</v>
      </c>
      <c r="E2696" s="2">
        <v>5</v>
      </c>
      <c r="F2696" s="2">
        <v>100.88</v>
      </c>
    </row>
    <row r="2697" spans="3:6" x14ac:dyDescent="0.25">
      <c r="C2697" s="2" t="s">
        <v>3194</v>
      </c>
      <c r="D2697" s="2" t="s">
        <v>178</v>
      </c>
      <c r="E2697" s="2">
        <v>3</v>
      </c>
      <c r="F2697" s="2">
        <v>55.91</v>
      </c>
    </row>
    <row r="2698" spans="3:6" x14ac:dyDescent="0.25">
      <c r="C2698" s="2" t="s">
        <v>3195</v>
      </c>
      <c r="D2698" s="2" t="s">
        <v>178</v>
      </c>
      <c r="E2698" s="2">
        <v>3</v>
      </c>
      <c r="F2698" s="2">
        <v>39.91</v>
      </c>
    </row>
    <row r="2699" spans="3:6" x14ac:dyDescent="0.25">
      <c r="C2699" s="2" t="s">
        <v>3196</v>
      </c>
      <c r="D2699" s="2" t="s">
        <v>178</v>
      </c>
      <c r="E2699" s="2">
        <v>1</v>
      </c>
      <c r="F2699" s="2">
        <v>21.97</v>
      </c>
    </row>
    <row r="2700" spans="3:6" x14ac:dyDescent="0.25">
      <c r="C2700" s="2" t="s">
        <v>3197</v>
      </c>
      <c r="D2700" s="2" t="s">
        <v>178</v>
      </c>
      <c r="E2700" s="2">
        <v>41</v>
      </c>
      <c r="F2700" s="2">
        <v>836.7</v>
      </c>
    </row>
    <row r="2701" spans="3:6" x14ac:dyDescent="0.25">
      <c r="C2701" s="2" t="s">
        <v>3198</v>
      </c>
      <c r="D2701" s="2" t="s">
        <v>178</v>
      </c>
      <c r="E2701" s="2">
        <v>87</v>
      </c>
      <c r="F2701" s="2">
        <v>1694.32</v>
      </c>
    </row>
    <row r="2702" spans="3:6" x14ac:dyDescent="0.25">
      <c r="C2702" s="2" t="s">
        <v>3199</v>
      </c>
      <c r="D2702" s="2" t="s">
        <v>178</v>
      </c>
      <c r="E2702" s="2">
        <v>33</v>
      </c>
      <c r="F2702" s="2">
        <v>566.86</v>
      </c>
    </row>
    <row r="2703" spans="3:6" x14ac:dyDescent="0.25">
      <c r="C2703" s="2" t="s">
        <v>3200</v>
      </c>
      <c r="D2703" s="2" t="s">
        <v>178</v>
      </c>
      <c r="E2703" s="2">
        <v>21</v>
      </c>
      <c r="F2703" s="2">
        <v>402.509</v>
      </c>
    </row>
    <row r="2704" spans="3:6" x14ac:dyDescent="0.25">
      <c r="C2704" s="2" t="s">
        <v>3201</v>
      </c>
      <c r="D2704" s="2" t="s">
        <v>178</v>
      </c>
      <c r="E2704" s="2">
        <v>77</v>
      </c>
      <c r="F2704" s="2">
        <v>1202.36</v>
      </c>
    </row>
    <row r="2705" spans="3:6" x14ac:dyDescent="0.25">
      <c r="C2705" s="2" t="s">
        <v>3202</v>
      </c>
      <c r="D2705" s="2" t="s">
        <v>178</v>
      </c>
      <c r="E2705" s="2">
        <v>25</v>
      </c>
      <c r="F2705" s="2">
        <v>473.41</v>
      </c>
    </row>
    <row r="2706" spans="3:5" x14ac:dyDescent="0.25">
      <c r="C2706" s="2" t="s">
        <v>3203</v>
      </c>
      <c r="D2706" s="2" t="s">
        <v>178</v>
      </c>
      <c r="E2706" s="2">
        <v>100</v>
      </c>
    </row>
    <row r="2707" spans="3:5" x14ac:dyDescent="0.25">
      <c r="C2707" s="2" t="s">
        <v>3204</v>
      </c>
      <c r="D2707" s="2" t="s">
        <v>178</v>
      </c>
      <c r="E2707" s="2">
        <v>41</v>
      </c>
    </row>
    <row r="2709" spans="1:7" x14ac:dyDescent="0.25">
      <c r="A2709" s="1">
        <v>46230</v>
      </c>
      <c r="B2709" s="2" t="s">
        <v>229</v>
      </c>
      <c r="C2709" s="2" t="s">
        <v>3205</v>
      </c>
      <c r="D2709" s="2" t="s">
        <v>82</v>
      </c>
      <c r="E2709" s="2">
        <f>113+80</f>
        <v>193</v>
      </c>
      <c r="F2709" s="2">
        <f>1024.64+2204.848</f>
        <v>3229.4880000000003</v>
      </c>
      <c r="G2709" s="1">
        <v>46229</v>
      </c>
    </row>
    <row r="2710" spans="3:6" x14ac:dyDescent="0.25">
      <c r="C2710" s="2" t="s">
        <v>3206</v>
      </c>
      <c r="D2710" s="2" t="s">
        <v>82</v>
      </c>
      <c r="E2710" s="2">
        <f>97+82</f>
        <v>179</v>
      </c>
      <c r="F2710" s="2">
        <f>2386.173+2492.626</f>
        <v>4878.799</v>
      </c>
    </row>
    <row r="2711" spans="3:6" x14ac:dyDescent="0.25">
      <c r="C2711" s="2" t="s">
        <v>3207</v>
      </c>
      <c r="D2711" s="2" t="s">
        <v>82</v>
      </c>
      <c r="E2711" s="2">
        <v>3</v>
      </c>
      <c r="F2711" s="2">
        <v>27.6</v>
      </c>
    </row>
    <row r="2712" spans="3:6" x14ac:dyDescent="0.25">
      <c r="C2712" s="2" t="s">
        <v>3208</v>
      </c>
      <c r="D2712" s="2" t="s">
        <v>82</v>
      </c>
      <c r="E2712" s="2">
        <v>4</v>
      </c>
      <c r="F2712" s="2">
        <v>71.6</v>
      </c>
    </row>
    <row r="2713" spans="3:6" x14ac:dyDescent="0.25">
      <c r="C2713" s="2" t="s">
        <v>3209</v>
      </c>
      <c r="D2713" s="2" t="s">
        <v>82</v>
      </c>
      <c r="E2713" s="2">
        <v>5</v>
      </c>
      <c r="F2713" s="2">
        <v>82.05</v>
      </c>
    </row>
    <row r="2714" spans="3:6" x14ac:dyDescent="0.25">
      <c r="C2714" s="2" t="s">
        <v>3210</v>
      </c>
      <c r="D2714" s="2" t="s">
        <v>82</v>
      </c>
      <c r="E2714" s="2">
        <v>7</v>
      </c>
      <c r="F2714" s="2">
        <v>113.6</v>
      </c>
    </row>
    <row r="2715" spans="3:6" x14ac:dyDescent="0.25">
      <c r="C2715" s="2" t="s">
        <v>3211</v>
      </c>
      <c r="D2715" s="2" t="s">
        <v>82</v>
      </c>
      <c r="E2715" s="2">
        <v>6</v>
      </c>
      <c r="F2715" s="2">
        <v>114.4</v>
      </c>
    </row>
    <row r="2716" spans="3:6" x14ac:dyDescent="0.25">
      <c r="C2716" s="2" t="s">
        <v>3212</v>
      </c>
      <c r="D2716" s="2" t="s">
        <v>82</v>
      </c>
      <c r="E2716" s="2">
        <v>10</v>
      </c>
      <c r="F2716" s="2">
        <v>187.9</v>
      </c>
    </row>
    <row r="2717" spans="3:6" x14ac:dyDescent="0.25">
      <c r="C2717" s="2" t="s">
        <v>3213</v>
      </c>
      <c r="D2717" s="2" t="s">
        <v>82</v>
      </c>
      <c r="E2717" s="2">
        <v>72</v>
      </c>
      <c r="F2717" s="2">
        <v>1463.1</v>
      </c>
    </row>
    <row r="2718" spans="3:6" x14ac:dyDescent="0.25">
      <c r="C2718" s="2" t="s">
        <v>3214</v>
      </c>
      <c r="D2718" s="2" t="s">
        <v>82</v>
      </c>
      <c r="E2718" s="2">
        <v>23</v>
      </c>
      <c r="F2718" s="2">
        <v>479.3</v>
      </c>
    </row>
    <row r="2719" spans="3:6" x14ac:dyDescent="0.25">
      <c r="C2719" s="2" t="s">
        <v>3215</v>
      </c>
      <c r="D2719" s="2" t="s">
        <v>82</v>
      </c>
      <c r="E2719" s="2">
        <v>13</v>
      </c>
      <c r="F2719" s="2">
        <v>227.57</v>
      </c>
    </row>
    <row r="2720" spans="3:6" x14ac:dyDescent="0.25">
      <c r="C2720" s="2" t="s">
        <v>3216</v>
      </c>
      <c r="D2720" s="2" t="s">
        <v>82</v>
      </c>
      <c r="E2720" s="2">
        <v>51</v>
      </c>
      <c r="F2720" s="2">
        <v>1041.74</v>
      </c>
    </row>
    <row r="2721" spans="3:6" x14ac:dyDescent="0.25">
      <c r="C2721" s="2" t="s">
        <v>3217</v>
      </c>
      <c r="D2721" s="2" t="s">
        <v>82</v>
      </c>
      <c r="E2721" s="2">
        <v>60</v>
      </c>
      <c r="F2721" s="2">
        <v>1167.69</v>
      </c>
    </row>
    <row r="2722" spans="3:6" x14ac:dyDescent="0.25">
      <c r="C2722" s="2" t="s">
        <v>3218</v>
      </c>
      <c r="D2722" s="2" t="s">
        <v>82</v>
      </c>
      <c r="E2722" s="2">
        <v>30</v>
      </c>
      <c r="F2722" s="2">
        <v>613.6</v>
      </c>
    </row>
    <row r="2723" spans="3:6" x14ac:dyDescent="0.25">
      <c r="C2723" s="2" t="s">
        <v>3219</v>
      </c>
      <c r="D2723" s="2" t="s">
        <v>82</v>
      </c>
      <c r="E2723" s="2">
        <v>60</v>
      </c>
      <c r="F2723" s="2">
        <v>1242.02</v>
      </c>
    </row>
    <row r="2724" spans="3:6" x14ac:dyDescent="0.25">
      <c r="C2724" s="2" t="s">
        <v>3220</v>
      </c>
      <c r="D2724" s="2" t="s">
        <v>82</v>
      </c>
      <c r="E2724" s="2">
        <v>42</v>
      </c>
      <c r="F2724" s="2">
        <v>757.91</v>
      </c>
    </row>
    <row r="2725" spans="3:6" x14ac:dyDescent="0.25">
      <c r="C2725" s="2" t="s">
        <v>3221</v>
      </c>
      <c r="D2725" s="2" t="s">
        <v>82</v>
      </c>
      <c r="E2725" s="2">
        <v>65</v>
      </c>
      <c r="F2725" s="2">
        <v>1368.24</v>
      </c>
    </row>
    <row r="2726" spans="3:6" x14ac:dyDescent="0.25">
      <c r="C2726" s="2" t="s">
        <v>3222</v>
      </c>
      <c r="D2726" s="2" t="s">
        <v>82</v>
      </c>
      <c r="E2726" s="2">
        <v>37</v>
      </c>
      <c r="F2726" s="2">
        <v>724.57</v>
      </c>
    </row>
    <row r="2727" spans="3:6" x14ac:dyDescent="0.25">
      <c r="C2727" s="2" t="s">
        <v>3223</v>
      </c>
      <c r="D2727" s="2" t="s">
        <v>82</v>
      </c>
      <c r="E2727" s="2">
        <v>82</v>
      </c>
      <c r="F2727" s="2">
        <v>1708.61</v>
      </c>
    </row>
    <row r="2728" spans="3:6" x14ac:dyDescent="0.25">
      <c r="C2728" s="2" t="s">
        <v>3224</v>
      </c>
      <c r="D2728" s="2" t="s">
        <v>82</v>
      </c>
      <c r="E2728" s="2">
        <v>20</v>
      </c>
      <c r="F2728" s="2">
        <v>382.67</v>
      </c>
    </row>
    <row r="2729" spans="3:6" x14ac:dyDescent="0.25">
      <c r="C2729" s="2" t="s">
        <v>3225</v>
      </c>
      <c r="D2729" s="2" t="s">
        <v>82</v>
      </c>
      <c r="E2729" s="2">
        <v>44</v>
      </c>
      <c r="F2729" s="2">
        <v>875.51</v>
      </c>
    </row>
    <row r="2730" spans="3:6" x14ac:dyDescent="0.25">
      <c r="C2730" s="2" t="s">
        <v>3226</v>
      </c>
      <c r="D2730" s="2" t="s">
        <v>82</v>
      </c>
      <c r="E2730" s="2">
        <v>31</v>
      </c>
      <c r="F2730" s="2">
        <v>605.38</v>
      </c>
    </row>
    <row r="2731" spans="3:6" x14ac:dyDescent="0.25">
      <c r="C2731" s="2" t="s">
        <v>3227</v>
      </c>
      <c r="D2731" s="2" t="s">
        <v>82</v>
      </c>
      <c r="E2731" s="2">
        <v>90</v>
      </c>
      <c r="F2731" s="2">
        <v>367.207</v>
      </c>
    </row>
    <row r="2732" spans="3:6" x14ac:dyDescent="0.25">
      <c r="C2732" s="2" t="s">
        <v>3228</v>
      </c>
      <c r="D2732" s="2" t="s">
        <v>82</v>
      </c>
      <c r="E2732" s="2">
        <v>76</v>
      </c>
      <c r="F2732" s="2">
        <v>351.52</v>
      </c>
    </row>
    <row r="2733" spans="3:6" x14ac:dyDescent="0.25">
      <c r="C2733" s="2" t="s">
        <v>3229</v>
      </c>
      <c r="D2733" s="2" t="s">
        <v>82</v>
      </c>
      <c r="E2733" s="2">
        <v>121</v>
      </c>
      <c r="F2733" s="2">
        <v>2352.31</v>
      </c>
    </row>
    <row r="2734" spans="3:6" x14ac:dyDescent="0.25">
      <c r="C2734" s="2" t="s">
        <v>3230</v>
      </c>
      <c r="D2734" s="2" t="s">
        <v>82</v>
      </c>
      <c r="E2734" s="2">
        <v>70</v>
      </c>
      <c r="F2734" s="2">
        <v>1350.63</v>
      </c>
    </row>
    <row r="2735" spans="3:6" x14ac:dyDescent="0.25">
      <c r="C2735" s="2" t="s">
        <v>3231</v>
      </c>
      <c r="D2735" s="2" t="s">
        <v>82</v>
      </c>
      <c r="E2735" s="2">
        <v>51</v>
      </c>
      <c r="F2735" s="2">
        <v>989.51</v>
      </c>
    </row>
    <row r="2736" spans="3:6" x14ac:dyDescent="0.25">
      <c r="C2736" s="2" t="s">
        <v>3232</v>
      </c>
      <c r="D2736" s="2" t="s">
        <v>82</v>
      </c>
      <c r="E2736" s="2">
        <v>61</v>
      </c>
      <c r="F2736" s="2">
        <v>1163.42</v>
      </c>
    </row>
    <row r="2737" spans="3:6" x14ac:dyDescent="0.25">
      <c r="C2737" s="2" t="s">
        <v>3233</v>
      </c>
      <c r="D2737" s="2" t="s">
        <v>82</v>
      </c>
      <c r="E2737" s="2">
        <v>33</v>
      </c>
      <c r="F2737" s="2">
        <v>597.66</v>
      </c>
    </row>
    <row r="2738" spans="3:6" x14ac:dyDescent="0.25">
      <c r="C2738" s="2" t="s">
        <v>3234</v>
      </c>
      <c r="D2738" s="2" t="s">
        <v>82</v>
      </c>
      <c r="E2738" s="2">
        <v>15</v>
      </c>
      <c r="F2738" s="2">
        <v>220.923</v>
      </c>
    </row>
    <row r="2739" spans="3:6" x14ac:dyDescent="0.25">
      <c r="C2739" s="2" t="s">
        <v>3235</v>
      </c>
      <c r="D2739" s="2" t="s">
        <v>82</v>
      </c>
      <c r="E2739" s="2">
        <v>56</v>
      </c>
      <c r="F2739" s="2">
        <v>1096.41</v>
      </c>
    </row>
    <row r="2740" spans="3:6" x14ac:dyDescent="0.25">
      <c r="C2740" s="2" t="s">
        <v>3236</v>
      </c>
      <c r="D2740" s="2" t="s">
        <v>82</v>
      </c>
      <c r="E2740" s="2">
        <v>34</v>
      </c>
      <c r="F2740" s="2">
        <v>650.729</v>
      </c>
    </row>
    <row r="2741" spans="3:6" x14ac:dyDescent="0.25">
      <c r="C2741" s="2" t="s">
        <v>3237</v>
      </c>
      <c r="D2741" s="2" t="s">
        <v>82</v>
      </c>
      <c r="E2741" s="2">
        <v>31</v>
      </c>
      <c r="F2741" s="2">
        <v>568.24</v>
      </c>
    </row>
    <row r="2742" spans="3:6" x14ac:dyDescent="0.25">
      <c r="C2742" s="2" t="s">
        <v>3238</v>
      </c>
      <c r="D2742" s="2" t="s">
        <v>82</v>
      </c>
      <c r="E2742" s="2">
        <v>31</v>
      </c>
      <c r="F2742" s="2">
        <v>638.6</v>
      </c>
    </row>
    <row r="2743" spans="3:6" x14ac:dyDescent="0.25">
      <c r="C2743" s="2" t="s">
        <v>3239</v>
      </c>
      <c r="D2743" s="2" t="s">
        <v>82</v>
      </c>
      <c r="E2743" s="2">
        <v>29</v>
      </c>
      <c r="F2743" s="2">
        <v>554.37</v>
      </c>
    </row>
    <row r="2744" spans="3:6" x14ac:dyDescent="0.25">
      <c r="C2744" s="2" t="s">
        <v>3240</v>
      </c>
      <c r="D2744" s="2" t="s">
        <v>82</v>
      </c>
      <c r="E2744" s="2">
        <v>26</v>
      </c>
      <c r="F2744" s="2">
        <v>489.54</v>
      </c>
    </row>
    <row r="2745" spans="3:6" x14ac:dyDescent="0.25">
      <c r="C2745" s="2" t="s">
        <v>3241</v>
      </c>
      <c r="D2745" s="2" t="s">
        <v>82</v>
      </c>
      <c r="E2745" s="2">
        <v>16</v>
      </c>
      <c r="F2745" s="2">
        <v>284.56</v>
      </c>
    </row>
    <row r="2746" spans="3:6" x14ac:dyDescent="0.25">
      <c r="C2746" s="2" t="s">
        <v>3242</v>
      </c>
      <c r="D2746" s="2" t="s">
        <v>82</v>
      </c>
      <c r="E2746" s="2">
        <v>40</v>
      </c>
      <c r="F2746" s="2">
        <v>710.67</v>
      </c>
    </row>
    <row r="2747" spans="3:6" x14ac:dyDescent="0.25">
      <c r="C2747" s="2" t="s">
        <v>3243</v>
      </c>
      <c r="D2747" s="2" t="s">
        <v>82</v>
      </c>
      <c r="E2747" s="2">
        <v>46</v>
      </c>
      <c r="F2747" s="2">
        <v>823.43</v>
      </c>
    </row>
    <row r="2748" spans="3:6" x14ac:dyDescent="0.25">
      <c r="C2748" s="2" t="s">
        <v>3244</v>
      </c>
      <c r="D2748" s="2" t="s">
        <v>82</v>
      </c>
      <c r="E2748" s="2">
        <v>35</v>
      </c>
      <c r="F2748" s="2">
        <v>648.009</v>
      </c>
    </row>
    <row r="2749" spans="3:6" x14ac:dyDescent="0.25">
      <c r="C2749" s="2" t="s">
        <v>3245</v>
      </c>
      <c r="D2749" s="2" t="s">
        <v>82</v>
      </c>
      <c r="E2749" s="2">
        <v>20</v>
      </c>
      <c r="F2749" s="2">
        <v>210.93</v>
      </c>
    </row>
    <row r="2750" spans="3:6" x14ac:dyDescent="0.25">
      <c r="C2750" s="2" t="s">
        <v>3246</v>
      </c>
      <c r="D2750" s="2" t="s">
        <v>82</v>
      </c>
      <c r="E2750" s="2">
        <v>133</v>
      </c>
      <c r="F2750" s="2">
        <v>2228.68</v>
      </c>
    </row>
    <row r="2751" spans="3:6" x14ac:dyDescent="0.25">
      <c r="C2751" s="2" t="s">
        <v>3247</v>
      </c>
      <c r="D2751" s="2" t="s">
        <v>82</v>
      </c>
      <c r="E2751" s="2">
        <v>141</v>
      </c>
      <c r="F2751" s="2">
        <v>2822.338</v>
      </c>
    </row>
    <row r="2752" spans="3:6" x14ac:dyDescent="0.25">
      <c r="C2752" s="2" t="s">
        <v>3248</v>
      </c>
      <c r="D2752" s="2" t="s">
        <v>82</v>
      </c>
      <c r="E2752" s="2">
        <v>142</v>
      </c>
      <c r="F2752" s="2">
        <v>2744.928</v>
      </c>
    </row>
    <row r="2753" spans="3:6" x14ac:dyDescent="0.25">
      <c r="C2753" s="2" t="s">
        <v>3249</v>
      </c>
      <c r="D2753" s="2" t="s">
        <v>82</v>
      </c>
      <c r="E2753" s="2">
        <v>141</v>
      </c>
      <c r="F2753" s="2">
        <v>2853.759</v>
      </c>
    </row>
    <row r="2754" spans="3:6" x14ac:dyDescent="0.25">
      <c r="C2754" s="2" t="s">
        <v>3250</v>
      </c>
      <c r="D2754" s="2" t="s">
        <v>82</v>
      </c>
      <c r="E2754" s="2">
        <v>49</v>
      </c>
      <c r="F2754" s="2">
        <v>934.81</v>
      </c>
    </row>
    <row r="2755" spans="3:6" x14ac:dyDescent="0.25">
      <c r="C2755" s="2" t="s">
        <v>3251</v>
      </c>
      <c r="D2755" s="2" t="s">
        <v>82</v>
      </c>
      <c r="E2755" s="2">
        <v>48</v>
      </c>
      <c r="F2755" s="2">
        <v>940.53</v>
      </c>
    </row>
    <row r="2756" spans="3:6" x14ac:dyDescent="0.25">
      <c r="C2756" s="2" t="s">
        <v>3252</v>
      </c>
      <c r="D2756" s="2" t="s">
        <v>82</v>
      </c>
      <c r="E2756" s="2">
        <v>44</v>
      </c>
      <c r="F2756" s="2">
        <v>872.079</v>
      </c>
    </row>
    <row r="2757" spans="3:6" x14ac:dyDescent="0.25">
      <c r="C2757" s="2" t="s">
        <v>3253</v>
      </c>
      <c r="D2757" s="2" t="s">
        <v>82</v>
      </c>
      <c r="E2757" s="2">
        <v>61</v>
      </c>
      <c r="F2757" s="2">
        <v>1209.8</v>
      </c>
    </row>
    <row r="2758" spans="3:6" x14ac:dyDescent="0.25">
      <c r="C2758" s="2" t="s">
        <v>3254</v>
      </c>
      <c r="D2758" s="2" t="s">
        <v>82</v>
      </c>
      <c r="E2758" s="2">
        <v>13</v>
      </c>
      <c r="F2758" s="2">
        <v>209.05</v>
      </c>
    </row>
    <row r="2759" spans="3:6" x14ac:dyDescent="0.25">
      <c r="C2759" s="2" t="s">
        <v>3255</v>
      </c>
      <c r="D2759" s="2" t="s">
        <v>82</v>
      </c>
      <c r="E2759" s="2">
        <v>19</v>
      </c>
      <c r="F2759" s="2">
        <v>358.05</v>
      </c>
    </row>
    <row r="2760" spans="3:6" x14ac:dyDescent="0.25">
      <c r="C2760" s="2" t="s">
        <v>3256</v>
      </c>
      <c r="D2760" s="2" t="s">
        <v>82</v>
      </c>
      <c r="E2760" s="2">
        <v>16</v>
      </c>
      <c r="F2760" s="2">
        <v>295.64</v>
      </c>
    </row>
    <row r="2761" spans="3:6" x14ac:dyDescent="0.25">
      <c r="C2761" s="2" t="s">
        <v>3257</v>
      </c>
      <c r="D2761" s="2" t="s">
        <v>82</v>
      </c>
      <c r="E2761" s="2">
        <v>12</v>
      </c>
      <c r="F2761" s="2">
        <v>221.52</v>
      </c>
    </row>
    <row r="2762" spans="3:6" x14ac:dyDescent="0.25">
      <c r="C2762" s="2" t="s">
        <v>3258</v>
      </c>
      <c r="D2762" s="2" t="s">
        <v>82</v>
      </c>
      <c r="E2762" s="2">
        <v>20</v>
      </c>
      <c r="F2762" s="2">
        <v>75.961</v>
      </c>
    </row>
    <row r="2763" spans="3:6" x14ac:dyDescent="0.25">
      <c r="C2763" s="2" t="s">
        <v>3259</v>
      </c>
      <c r="D2763" s="2" t="s">
        <v>82</v>
      </c>
      <c r="E2763" s="2">
        <v>141</v>
      </c>
      <c r="F2763" s="2">
        <v>2699.449</v>
      </c>
    </row>
    <row r="2765" spans="1:7" x14ac:dyDescent="0.25">
      <c r="A2765" s="1">
        <v>46230</v>
      </c>
      <c r="B2765" s="2" t="s">
        <v>290</v>
      </c>
      <c r="C2765" s="2" t="s">
        <v>3260</v>
      </c>
      <c r="D2765" s="2" t="s">
        <v>292</v>
      </c>
      <c r="E2765" s="2">
        <v>141</v>
      </c>
      <c r="F2765" s="2">
        <v>2666.17</v>
      </c>
      <c r="G2765" s="1">
        <v>46229</v>
      </c>
    </row>
    <row r="2766" spans="3:6" x14ac:dyDescent="0.25">
      <c r="C2766" s="2" t="s">
        <v>3261</v>
      </c>
      <c r="D2766" s="2" t="s">
        <v>292</v>
      </c>
      <c r="E2766" s="2">
        <v>106</v>
      </c>
      <c r="F2766" s="2">
        <v>2248.59</v>
      </c>
    </row>
    <row r="2767" spans="3:6" x14ac:dyDescent="0.25">
      <c r="C2767" s="2" t="s">
        <v>3262</v>
      </c>
      <c r="D2767" s="2" t="s">
        <v>292</v>
      </c>
      <c r="E2767" s="2">
        <v>141</v>
      </c>
      <c r="F2767" s="2">
        <v>2711.639</v>
      </c>
    </row>
    <row r="2768" spans="3:6" x14ac:dyDescent="0.25">
      <c r="C2768" s="2" t="s">
        <v>3263</v>
      </c>
      <c r="D2768" s="2" t="s">
        <v>292</v>
      </c>
      <c r="E2768" s="2">
        <v>16</v>
      </c>
      <c r="F2768" s="2">
        <v>276.2</v>
      </c>
    </row>
    <row r="2769" spans="3:6" x14ac:dyDescent="0.25">
      <c r="C2769" s="2" t="s">
        <v>3264</v>
      </c>
      <c r="D2769" s="2" t="s">
        <v>292</v>
      </c>
      <c r="E2769" s="2">
        <v>17</v>
      </c>
      <c r="F2769" s="2">
        <v>268.699</v>
      </c>
    </row>
    <row r="2770" spans="3:6" x14ac:dyDescent="0.25">
      <c r="C2770" s="2" t="s">
        <v>3265</v>
      </c>
      <c r="D2770" s="2" t="s">
        <v>292</v>
      </c>
      <c r="E2770" s="2">
        <v>88</v>
      </c>
      <c r="F2770" s="2">
        <v>1725.919</v>
      </c>
    </row>
    <row r="2771" spans="3:6" x14ac:dyDescent="0.25">
      <c r="C2771" s="2" t="s">
        <v>3266</v>
      </c>
      <c r="D2771" s="2" t="s">
        <v>292</v>
      </c>
      <c r="E2771" s="2">
        <v>45</v>
      </c>
      <c r="F2771" s="2">
        <v>224.5</v>
      </c>
    </row>
    <row r="2772" spans="3:6" x14ac:dyDescent="0.25">
      <c r="C2772" s="2" t="s">
        <v>3267</v>
      </c>
      <c r="D2772" s="2" t="s">
        <v>292</v>
      </c>
      <c r="E2772" s="2">
        <v>123</v>
      </c>
      <c r="F2772" s="2">
        <v>2470.16</v>
      </c>
    </row>
    <row r="2773" spans="3:6" x14ac:dyDescent="0.25">
      <c r="C2773" s="2" t="s">
        <v>3268</v>
      </c>
      <c r="D2773" s="2" t="s">
        <v>292</v>
      </c>
      <c r="E2773" s="2">
        <v>123</v>
      </c>
      <c r="F2773" s="2">
        <v>2396.83</v>
      </c>
    </row>
    <row r="2774" spans="3:6" x14ac:dyDescent="0.25">
      <c r="C2774" s="2" t="s">
        <v>3269</v>
      </c>
      <c r="D2774" s="2" t="s">
        <v>292</v>
      </c>
      <c r="E2774" s="2">
        <v>141</v>
      </c>
      <c r="F2774" s="2">
        <v>3047.81</v>
      </c>
    </row>
    <row r="2775" spans="3:6" x14ac:dyDescent="0.25">
      <c r="C2775" s="2" t="s">
        <v>3270</v>
      </c>
      <c r="D2775" s="2" t="s">
        <v>292</v>
      </c>
      <c r="E2775" s="2">
        <v>141</v>
      </c>
      <c r="F2775" s="2">
        <v>2702.609</v>
      </c>
    </row>
    <row r="2776" spans="3:6" x14ac:dyDescent="0.25">
      <c r="C2776" s="2" t="s">
        <v>3271</v>
      </c>
      <c r="D2776" s="2" t="s">
        <v>292</v>
      </c>
      <c r="E2776" s="2">
        <v>123</v>
      </c>
      <c r="F2776" s="2">
        <v>2413.08</v>
      </c>
    </row>
    <row r="2777" spans="3:6" x14ac:dyDescent="0.25">
      <c r="C2777" s="2" t="s">
        <v>3272</v>
      </c>
      <c r="D2777" s="2" t="s">
        <v>292</v>
      </c>
      <c r="E2777" s="2">
        <v>10</v>
      </c>
      <c r="F2777" s="2">
        <v>184.8</v>
      </c>
    </row>
    <row r="2778" spans="3:6" x14ac:dyDescent="0.25">
      <c r="C2778" s="2" t="s">
        <v>3273</v>
      </c>
      <c r="D2778" s="2" t="s">
        <v>292</v>
      </c>
      <c r="E2778" s="2">
        <v>100</v>
      </c>
      <c r="F2778" s="2">
        <v>1934.28</v>
      </c>
    </row>
    <row r="2779" spans="3:6" x14ac:dyDescent="0.25">
      <c r="C2779" s="2" t="s">
        <v>3274</v>
      </c>
      <c r="D2779" s="2" t="s">
        <v>292</v>
      </c>
      <c r="E2779" s="2">
        <v>50</v>
      </c>
      <c r="F2779" s="2">
        <v>250.78</v>
      </c>
    </row>
    <row r="2780" spans="3:6" x14ac:dyDescent="0.25">
      <c r="C2780" s="2" t="s">
        <v>3275</v>
      </c>
      <c r="D2780" s="2" t="s">
        <v>292</v>
      </c>
      <c r="E2780" s="2">
        <v>141</v>
      </c>
      <c r="F2780" s="2">
        <v>2711.998</v>
      </c>
    </row>
    <row r="2781" spans="3:6" x14ac:dyDescent="0.25">
      <c r="C2781" s="2" t="s">
        <v>3276</v>
      </c>
      <c r="D2781" s="2" t="s">
        <v>292</v>
      </c>
      <c r="E2781" s="2">
        <v>142</v>
      </c>
      <c r="F2781" s="2">
        <v>2699.209</v>
      </c>
    </row>
    <row r="2782" spans="3:6" x14ac:dyDescent="0.25">
      <c r="C2782" s="2" t="s">
        <v>3277</v>
      </c>
      <c r="D2782" s="2" t="s">
        <v>292</v>
      </c>
      <c r="E2782" s="2">
        <v>46</v>
      </c>
      <c r="F2782" s="2">
        <v>838.66</v>
      </c>
    </row>
    <row r="2783" spans="3:6" x14ac:dyDescent="0.25">
      <c r="C2783" s="2" t="s">
        <v>3278</v>
      </c>
      <c r="D2783" s="2" t="s">
        <v>292</v>
      </c>
      <c r="E2783" s="2">
        <v>76</v>
      </c>
      <c r="F2783" s="2">
        <v>1451.739</v>
      </c>
    </row>
    <row r="2784" spans="3:6" x14ac:dyDescent="0.25">
      <c r="C2784" s="2" t="s">
        <v>3279</v>
      </c>
      <c r="D2784" s="2" t="s">
        <v>292</v>
      </c>
      <c r="E2784" s="2">
        <v>19</v>
      </c>
      <c r="F2784" s="2">
        <v>362.2</v>
      </c>
    </row>
    <row r="2785" spans="3:6" x14ac:dyDescent="0.25">
      <c r="C2785" s="2" t="s">
        <v>3280</v>
      </c>
      <c r="D2785" s="2" t="s">
        <v>292</v>
      </c>
      <c r="E2785" s="2">
        <v>47</v>
      </c>
      <c r="F2785" s="2">
        <v>1016.29</v>
      </c>
    </row>
    <row r="2786" spans="3:6" x14ac:dyDescent="0.25">
      <c r="C2786" s="2" t="s">
        <v>3281</v>
      </c>
      <c r="D2786" s="2" t="s">
        <v>292</v>
      </c>
      <c r="E2786" s="2">
        <v>59</v>
      </c>
      <c r="F2786" s="2">
        <v>1161.109</v>
      </c>
    </row>
    <row r="2787" spans="3:6" x14ac:dyDescent="0.25">
      <c r="C2787" s="2" t="s">
        <v>3282</v>
      </c>
      <c r="D2787" s="2" t="s">
        <v>292</v>
      </c>
      <c r="E2787" s="2">
        <v>35</v>
      </c>
      <c r="F2787" s="2">
        <v>541.19</v>
      </c>
    </row>
    <row r="2788" spans="3:6" x14ac:dyDescent="0.25">
      <c r="C2788" s="2" t="s">
        <v>3283</v>
      </c>
      <c r="D2788" s="2" t="s">
        <v>292</v>
      </c>
      <c r="E2788" s="2">
        <v>58</v>
      </c>
      <c r="F2788" s="2">
        <v>1128.19</v>
      </c>
    </row>
    <row r="2789" spans="3:6" x14ac:dyDescent="0.25">
      <c r="C2789" s="2" t="s">
        <v>3284</v>
      </c>
      <c r="D2789" s="2" t="s">
        <v>292</v>
      </c>
      <c r="E2789" s="2">
        <v>35</v>
      </c>
      <c r="F2789" s="2">
        <v>675.26</v>
      </c>
    </row>
    <row r="2790" spans="3:6" x14ac:dyDescent="0.25">
      <c r="C2790" s="2" t="s">
        <v>3285</v>
      </c>
      <c r="D2790" s="2" t="s">
        <v>292</v>
      </c>
      <c r="E2790" s="2">
        <v>31</v>
      </c>
      <c r="F2790" s="2">
        <v>602.229</v>
      </c>
    </row>
    <row r="2791" spans="3:6" x14ac:dyDescent="0.25">
      <c r="C2791" s="2" t="s">
        <v>3286</v>
      </c>
      <c r="D2791" s="2" t="s">
        <v>292</v>
      </c>
      <c r="E2791" s="2">
        <v>34</v>
      </c>
      <c r="F2791" s="2">
        <v>657.37</v>
      </c>
    </row>
    <row r="2792" spans="3:6" x14ac:dyDescent="0.25">
      <c r="C2792" s="2" t="s">
        <v>3287</v>
      </c>
      <c r="D2792" s="2" t="s">
        <v>292</v>
      </c>
      <c r="E2792" s="2">
        <v>57</v>
      </c>
      <c r="F2792" s="2">
        <v>1040.75</v>
      </c>
    </row>
    <row r="2793" spans="3:6" x14ac:dyDescent="0.25">
      <c r="C2793" s="2" t="s">
        <v>3288</v>
      </c>
      <c r="D2793" s="2" t="s">
        <v>292</v>
      </c>
      <c r="E2793" s="2">
        <v>43</v>
      </c>
      <c r="F2793" s="2">
        <v>781.759</v>
      </c>
    </row>
    <row r="2794" spans="3:6" x14ac:dyDescent="0.25">
      <c r="C2794" s="2" t="s">
        <v>3289</v>
      </c>
      <c r="D2794" s="2" t="s">
        <v>292</v>
      </c>
      <c r="E2794" s="2">
        <v>59</v>
      </c>
      <c r="F2794" s="2">
        <v>1223.12</v>
      </c>
    </row>
    <row r="2795" spans="3:6" x14ac:dyDescent="0.25">
      <c r="C2795" s="2" t="s">
        <v>3290</v>
      </c>
      <c r="D2795" s="2" t="s">
        <v>292</v>
      </c>
      <c r="E2795" s="2">
        <v>45</v>
      </c>
      <c r="F2795" s="2">
        <v>223.79</v>
      </c>
    </row>
    <row r="2796" spans="3:6" x14ac:dyDescent="0.25">
      <c r="C2796" s="2" t="s">
        <v>3291</v>
      </c>
      <c r="D2796" s="2" t="s">
        <v>292</v>
      </c>
      <c r="E2796" s="2">
        <v>76</v>
      </c>
      <c r="F2796" s="2">
        <v>1517.75</v>
      </c>
    </row>
    <row r="2797" spans="3:6" x14ac:dyDescent="0.25">
      <c r="C2797" s="2" t="s">
        <v>3292</v>
      </c>
      <c r="D2797" s="2" t="s">
        <v>292</v>
      </c>
      <c r="E2797" s="2">
        <v>48</v>
      </c>
      <c r="F2797" s="2">
        <v>904.839</v>
      </c>
    </row>
    <row r="2798" spans="3:6" x14ac:dyDescent="0.25">
      <c r="C2798" s="2" t="s">
        <v>3293</v>
      </c>
      <c r="D2798" s="2" t="s">
        <v>292</v>
      </c>
      <c r="E2798" s="2">
        <v>12</v>
      </c>
      <c r="F2798" s="2">
        <v>74.96</v>
      </c>
    </row>
    <row r="2799" spans="3:6" x14ac:dyDescent="0.25">
      <c r="C2799" s="2" t="s">
        <v>3294</v>
      </c>
      <c r="D2799" s="2" t="s">
        <v>292</v>
      </c>
      <c r="E2799" s="2">
        <v>65</v>
      </c>
      <c r="F2799" s="2">
        <v>1398.54</v>
      </c>
    </row>
    <row r="2800" spans="3:6" x14ac:dyDescent="0.25">
      <c r="C2800" s="2" t="s">
        <v>3295</v>
      </c>
      <c r="D2800" s="2" t="s">
        <v>292</v>
      </c>
      <c r="E2800" s="2">
        <v>54</v>
      </c>
      <c r="F2800" s="2">
        <v>1023.76</v>
      </c>
    </row>
    <row r="2801" spans="3:6" x14ac:dyDescent="0.25">
      <c r="C2801" s="2" t="s">
        <v>3296</v>
      </c>
      <c r="D2801" s="2" t="s">
        <v>292</v>
      </c>
      <c r="E2801" s="2">
        <v>43</v>
      </c>
      <c r="F2801" s="2">
        <v>938.31</v>
      </c>
    </row>
    <row r="2802" spans="3:6" x14ac:dyDescent="0.25">
      <c r="C2802" s="2" t="s">
        <v>3297</v>
      </c>
      <c r="D2802" s="2" t="s">
        <v>292</v>
      </c>
      <c r="E2802" s="2">
        <v>34</v>
      </c>
      <c r="F2802" s="2">
        <v>695.15</v>
      </c>
    </row>
    <row r="2803" spans="3:6" x14ac:dyDescent="0.25">
      <c r="C2803" s="2" t="s">
        <v>3298</v>
      </c>
      <c r="D2803" s="2" t="s">
        <v>292</v>
      </c>
      <c r="E2803" s="2">
        <v>51</v>
      </c>
      <c r="F2803" s="2">
        <v>1038.65</v>
      </c>
    </row>
    <row r="2804" spans="3:6" x14ac:dyDescent="0.25">
      <c r="C2804" s="2" t="s">
        <v>3299</v>
      </c>
      <c r="D2804" s="2" t="s">
        <v>292</v>
      </c>
      <c r="E2804" s="2">
        <v>26</v>
      </c>
      <c r="F2804" s="2">
        <v>530.29</v>
      </c>
    </row>
    <row r="2805" spans="3:6" x14ac:dyDescent="0.25">
      <c r="C2805" s="2" t="s">
        <v>3300</v>
      </c>
      <c r="D2805" s="2" t="s">
        <v>292</v>
      </c>
      <c r="E2805" s="2">
        <v>60</v>
      </c>
      <c r="F2805" s="2">
        <v>303.93</v>
      </c>
    </row>
    <row r="2806" spans="3:6" x14ac:dyDescent="0.25">
      <c r="C2806" s="2" t="s">
        <v>3301</v>
      </c>
      <c r="D2806" s="2" t="s">
        <v>292</v>
      </c>
      <c r="E2806" s="2">
        <v>47</v>
      </c>
      <c r="F2806" s="2">
        <v>936.199</v>
      </c>
    </row>
    <row r="2807" spans="3:6" x14ac:dyDescent="0.25">
      <c r="C2807" s="2" t="s">
        <v>3302</v>
      </c>
      <c r="D2807" s="2" t="s">
        <v>292</v>
      </c>
      <c r="E2807" s="2">
        <v>59</v>
      </c>
      <c r="F2807" s="2">
        <v>1180.039</v>
      </c>
    </row>
    <row r="2808" spans="3:6" x14ac:dyDescent="0.25">
      <c r="C2808" s="2" t="s">
        <v>3303</v>
      </c>
      <c r="D2808" s="2" t="s">
        <v>292</v>
      </c>
      <c r="E2808" s="2">
        <v>47</v>
      </c>
      <c r="F2808" s="2">
        <v>1064.25</v>
      </c>
    </row>
    <row r="2809" spans="3:6" x14ac:dyDescent="0.25">
      <c r="C2809" s="2" t="s">
        <v>3304</v>
      </c>
      <c r="D2809" s="2" t="s">
        <v>292</v>
      </c>
      <c r="E2809" s="2">
        <v>54</v>
      </c>
      <c r="F2809" s="2">
        <v>1101.25</v>
      </c>
    </row>
    <row r="2810" spans="3:6" x14ac:dyDescent="0.25">
      <c r="C2810" s="2" t="s">
        <v>3305</v>
      </c>
      <c r="D2810" s="2" t="s">
        <v>292</v>
      </c>
      <c r="E2810" s="2">
        <v>35</v>
      </c>
      <c r="F2810" s="2">
        <v>693.319</v>
      </c>
    </row>
    <row r="2811" spans="3:6" x14ac:dyDescent="0.25">
      <c r="C2811" s="2" t="s">
        <v>3306</v>
      </c>
      <c r="D2811" s="2" t="s">
        <v>292</v>
      </c>
      <c r="E2811" s="2">
        <v>53</v>
      </c>
      <c r="F2811" s="2">
        <v>1052.2</v>
      </c>
    </row>
    <row r="2812" spans="3:6" x14ac:dyDescent="0.25">
      <c r="C2812" s="2" t="s">
        <v>3307</v>
      </c>
      <c r="D2812" s="2" t="s">
        <v>292</v>
      </c>
      <c r="E2812" s="2">
        <v>10</v>
      </c>
      <c r="F2812" s="2">
        <v>194.19</v>
      </c>
    </row>
    <row r="2813" spans="3:6" x14ac:dyDescent="0.25">
      <c r="C2813" s="2" t="s">
        <v>3308</v>
      </c>
      <c r="D2813" s="2" t="s">
        <v>292</v>
      </c>
      <c r="E2813" s="2">
        <v>76</v>
      </c>
      <c r="F2813" s="2">
        <v>1329.037</v>
      </c>
    </row>
    <row r="2814" spans="3:6" x14ac:dyDescent="0.25">
      <c r="C2814" s="2" t="s">
        <v>3309</v>
      </c>
      <c r="D2814" s="2" t="s">
        <v>292</v>
      </c>
      <c r="E2814" s="2">
        <v>29</v>
      </c>
      <c r="F2814" s="2">
        <v>510.55</v>
      </c>
    </row>
    <row r="2815" spans="3:6" x14ac:dyDescent="0.25">
      <c r="C2815" s="2" t="s">
        <v>3310</v>
      </c>
      <c r="D2815" s="2" t="s">
        <v>292</v>
      </c>
      <c r="E2815" s="2">
        <v>31</v>
      </c>
      <c r="F2815" s="2">
        <v>548.069</v>
      </c>
    </row>
    <row r="2816" spans="3:6" x14ac:dyDescent="0.25">
      <c r="C2816" s="2" t="s">
        <v>3311</v>
      </c>
      <c r="D2816" s="2" t="s">
        <v>292</v>
      </c>
      <c r="E2816" s="2">
        <v>19</v>
      </c>
      <c r="F2816" s="2">
        <v>306.77</v>
      </c>
    </row>
    <row r="2817" spans="3:6" x14ac:dyDescent="0.25">
      <c r="C2817" s="2" t="s">
        <v>3312</v>
      </c>
      <c r="D2817" s="2" t="s">
        <v>292</v>
      </c>
      <c r="E2817" s="2">
        <v>11</v>
      </c>
      <c r="F2817" s="2">
        <v>228.75</v>
      </c>
    </row>
    <row r="2818" spans="3:6" x14ac:dyDescent="0.25">
      <c r="C2818" s="2" t="s">
        <v>3313</v>
      </c>
      <c r="D2818" s="2" t="s">
        <v>292</v>
      </c>
      <c r="E2818" s="2">
        <v>16</v>
      </c>
      <c r="F2818" s="2">
        <v>266.19</v>
      </c>
    </row>
    <row r="2819" spans="3:6" x14ac:dyDescent="0.25">
      <c r="C2819" s="2" t="s">
        <v>3314</v>
      </c>
      <c r="D2819" s="2" t="s">
        <v>292</v>
      </c>
      <c r="E2819" s="2">
        <v>8</v>
      </c>
      <c r="F2819" s="2">
        <v>133.31</v>
      </c>
    </row>
    <row r="2820" spans="3:6" x14ac:dyDescent="0.25">
      <c r="C2820" s="2" t="s">
        <v>3315</v>
      </c>
      <c r="D2820" s="2" t="s">
        <v>292</v>
      </c>
      <c r="E2820" s="2">
        <v>36</v>
      </c>
      <c r="F2820" s="2">
        <v>702.01</v>
      </c>
    </row>
    <row r="2821" spans="3:6" x14ac:dyDescent="0.25">
      <c r="C2821" s="2" t="s">
        <v>3316</v>
      </c>
      <c r="D2821" s="2" t="s">
        <v>292</v>
      </c>
      <c r="E2821" s="2">
        <v>48</v>
      </c>
      <c r="F2821" s="2">
        <v>864.459</v>
      </c>
    </row>
    <row r="2822" spans="3:6" x14ac:dyDescent="0.25">
      <c r="C2822" s="2" t="s">
        <v>3317</v>
      </c>
      <c r="D2822" s="2" t="s">
        <v>292</v>
      </c>
      <c r="E2822" s="2">
        <v>54</v>
      </c>
      <c r="F2822" s="2">
        <v>1045.42</v>
      </c>
    </row>
    <row r="2823" spans="3:6" x14ac:dyDescent="0.25">
      <c r="C2823" s="2" t="s">
        <v>3318</v>
      </c>
      <c r="D2823" s="2" t="s">
        <v>292</v>
      </c>
      <c r="E2823" s="2">
        <v>33</v>
      </c>
      <c r="F2823" s="2">
        <v>657.08</v>
      </c>
    </row>
    <row r="2824" spans="3:6" x14ac:dyDescent="0.25">
      <c r="C2824" s="2" t="s">
        <v>3319</v>
      </c>
      <c r="D2824" s="2" t="s">
        <v>292</v>
      </c>
      <c r="E2824" s="2">
        <v>36</v>
      </c>
      <c r="F2824" s="2">
        <v>746.31</v>
      </c>
    </row>
    <row r="2825" spans="3:6" x14ac:dyDescent="0.25">
      <c r="C2825" s="2" t="s">
        <v>3320</v>
      </c>
      <c r="D2825" s="2" t="s">
        <v>292</v>
      </c>
      <c r="E2825" s="2">
        <v>16</v>
      </c>
      <c r="F2825" s="2">
        <v>276.5</v>
      </c>
    </row>
    <row r="2826" spans="3:6" x14ac:dyDescent="0.25">
      <c r="C2826" s="2" t="s">
        <v>3321</v>
      </c>
      <c r="D2826" s="2" t="s">
        <v>292</v>
      </c>
      <c r="E2826" s="2">
        <v>100</v>
      </c>
      <c r="F2826" s="2">
        <v>1886.37</v>
      </c>
    </row>
    <row r="2828" spans="1:7" x14ac:dyDescent="0.25">
      <c r="A2828" s="1">
        <v>46230</v>
      </c>
      <c r="B2828" s="2" t="s">
        <v>1237</v>
      </c>
      <c r="C2828" s="2" t="s">
        <v>3322</v>
      </c>
      <c r="D2828" s="2" t="s">
        <v>15</v>
      </c>
      <c r="E2828" s="2">
        <v>148</v>
      </c>
      <c r="F2828" s="2">
        <v>2841.12</v>
      </c>
      <c r="G2828" s="1">
        <v>46229</v>
      </c>
    </row>
    <row r="2830" spans="2:7" x14ac:dyDescent="0.25">
      <c r="B2830" s="2" t="s">
        <v>48</v>
      </c>
      <c r="C2830" s="2" t="s">
        <v>3323</v>
      </c>
      <c r="D2830" s="2" t="s">
        <v>15</v>
      </c>
      <c r="E2830" s="2">
        <v>102</v>
      </c>
      <c r="F2830" s="2">
        <v>1959</v>
      </c>
      <c r="G2830" s="1">
        <v>46230</v>
      </c>
    </row>
    <row r="2833" spans="1:7" x14ac:dyDescent="0.25">
      <c r="A2833" s="1">
        <v>46230</v>
      </c>
      <c r="B2833" s="2" t="s">
        <v>347</v>
      </c>
      <c r="C2833" s="2" t="s">
        <v>3324</v>
      </c>
      <c r="D2833" s="2" t="s">
        <v>59</v>
      </c>
      <c r="E2833" s="2">
        <v>102</v>
      </c>
      <c r="F2833" s="2">
        <v>1926.7</v>
      </c>
      <c r="G2833" s="1">
        <v>46230</v>
      </c>
    </row>
    <row r="2834" spans="3:6" x14ac:dyDescent="0.25">
      <c r="C2834" s="2" t="s">
        <v>3325</v>
      </c>
      <c r="D2834" s="2" t="s">
        <v>59</v>
      </c>
      <c r="E2834" s="2">
        <v>142</v>
      </c>
      <c r="F2834" s="2">
        <v>2658.809</v>
      </c>
    </row>
    <row r="2835" spans="3:6" x14ac:dyDescent="0.25">
      <c r="C2835" s="2" t="s">
        <v>3326</v>
      </c>
      <c r="D2835" s="2" t="s">
        <v>59</v>
      </c>
      <c r="E2835" s="2">
        <v>102</v>
      </c>
      <c r="F2835" s="2">
        <v>1916.389</v>
      </c>
    </row>
    <row r="2836" spans="3:6" x14ac:dyDescent="0.25">
      <c r="C2836" s="2" t="s">
        <v>3327</v>
      </c>
      <c r="D2836" s="2" t="s">
        <v>59</v>
      </c>
      <c r="E2836" s="2">
        <v>244</v>
      </c>
      <c r="F2836" s="2">
        <v>4604.35</v>
      </c>
    </row>
    <row r="2837" spans="3:6" x14ac:dyDescent="0.25">
      <c r="C2837" s="2" t="s">
        <v>3328</v>
      </c>
      <c r="D2837" s="2" t="s">
        <v>59</v>
      </c>
      <c r="E2837" s="2">
        <v>96</v>
      </c>
      <c r="F2837" s="2">
        <v>1810.26</v>
      </c>
    </row>
    <row r="2838" spans="3:6" x14ac:dyDescent="0.25">
      <c r="C2838" s="2" t="s">
        <v>3329</v>
      </c>
      <c r="D2838" s="2" t="s">
        <v>59</v>
      </c>
      <c r="E2838" s="2">
        <v>135</v>
      </c>
      <c r="F2838" s="2">
        <v>2860.18</v>
      </c>
    </row>
    <row r="2839" spans="3:6" x14ac:dyDescent="0.25">
      <c r="C2839" s="2" t="s">
        <v>3330</v>
      </c>
      <c r="D2839" s="2" t="s">
        <v>59</v>
      </c>
      <c r="E2839" s="2">
        <v>142</v>
      </c>
      <c r="F2839" s="2">
        <v>2690.389</v>
      </c>
    </row>
    <row r="2840" spans="3:6" x14ac:dyDescent="0.25">
      <c r="C2840" s="2" t="s">
        <v>3331</v>
      </c>
      <c r="D2840" s="2" t="s">
        <v>59</v>
      </c>
      <c r="E2840" s="2">
        <v>102</v>
      </c>
      <c r="F2840" s="2">
        <v>1975.098</v>
      </c>
    </row>
    <row r="2841" spans="3:6" x14ac:dyDescent="0.25">
      <c r="C2841" s="2" t="s">
        <v>3332</v>
      </c>
      <c r="D2841" s="2" t="s">
        <v>59</v>
      </c>
      <c r="E2841" s="2">
        <v>244</v>
      </c>
      <c r="F2841" s="2">
        <v>4759.45</v>
      </c>
    </row>
    <row r="2843" spans="1:7" x14ac:dyDescent="0.25">
      <c r="A2843" s="1">
        <v>46231</v>
      </c>
      <c r="B2843" s="2" t="s">
        <v>7</v>
      </c>
      <c r="C2843" s="2" t="s">
        <v>3333</v>
      </c>
      <c r="D2843" s="2" t="s">
        <v>9</v>
      </c>
      <c r="E2843" s="2">
        <v>77</v>
      </c>
      <c r="F2843" s="2">
        <v>1606.36</v>
      </c>
      <c r="G2843" s="1">
        <v>46231</v>
      </c>
    </row>
    <row r="2844" spans="3:6" x14ac:dyDescent="0.25">
      <c r="C2844" s="2" t="s">
        <v>3334</v>
      </c>
      <c r="D2844" s="2" t="s">
        <v>9</v>
      </c>
      <c r="E2844" s="2">
        <v>78</v>
      </c>
      <c r="F2844" s="2">
        <v>1643.48</v>
      </c>
    </row>
    <row r="2846" spans="1:7" x14ac:dyDescent="0.25">
      <c r="A2846" s="1">
        <v>46231</v>
      </c>
      <c r="B2846" s="2" t="s">
        <v>420</v>
      </c>
      <c r="C2846" s="2" t="s">
        <v>3335</v>
      </c>
      <c r="D2846" s="2" t="s">
        <v>59</v>
      </c>
      <c r="E2846" s="2">
        <v>102</v>
      </c>
      <c r="F2846" s="2">
        <v>2049.068</v>
      </c>
      <c r="G2846" s="1">
        <v>46231</v>
      </c>
    </row>
    <row r="2847" spans="3:6" x14ac:dyDescent="0.25">
      <c r="C2847" s="2" t="s">
        <v>3336</v>
      </c>
      <c r="D2847" s="2" t="s">
        <v>59</v>
      </c>
      <c r="E2847" s="2">
        <v>100</v>
      </c>
      <c r="F2847" s="2">
        <v>1944.679</v>
      </c>
    </row>
    <row r="2848" spans="3:6" x14ac:dyDescent="0.25">
      <c r="C2848" s="2" t="s">
        <v>3337</v>
      </c>
      <c r="D2848" s="2" t="s">
        <v>59</v>
      </c>
      <c r="E2848" s="2">
        <v>105</v>
      </c>
      <c r="F2848" s="2">
        <v>2114.309</v>
      </c>
    </row>
    <row r="2849" spans="3:6" x14ac:dyDescent="0.25">
      <c r="C2849" s="2" t="s">
        <v>3338</v>
      </c>
      <c r="D2849" s="2" t="s">
        <v>59</v>
      </c>
      <c r="E2849" s="2">
        <v>156</v>
      </c>
      <c r="F2849" s="2">
        <v>2949.4</v>
      </c>
    </row>
    <row r="2850" spans="3:6" x14ac:dyDescent="0.25">
      <c r="C2850" s="2" t="s">
        <v>3339</v>
      </c>
      <c r="D2850" s="2" t="s">
        <v>59</v>
      </c>
      <c r="E2850" s="2">
        <v>156</v>
      </c>
      <c r="F2850" s="2">
        <v>3129.469</v>
      </c>
    </row>
    <row r="2851" spans="3:6" x14ac:dyDescent="0.25">
      <c r="C2851" s="2" t="s">
        <v>3340</v>
      </c>
      <c r="D2851" s="2" t="s">
        <v>59</v>
      </c>
      <c r="E2851" s="2">
        <v>149</v>
      </c>
      <c r="F2851" s="2">
        <v>3140.75</v>
      </c>
    </row>
    <row r="2852" spans="3:6" x14ac:dyDescent="0.25">
      <c r="C2852" s="2" t="s">
        <v>3341</v>
      </c>
      <c r="D2852" s="2" t="s">
        <v>59</v>
      </c>
      <c r="E2852" s="2">
        <v>105</v>
      </c>
      <c r="F2852" s="2">
        <v>2044.93</v>
      </c>
    </row>
    <row r="2853" spans="3:6" x14ac:dyDescent="0.25">
      <c r="C2853" s="2" t="s">
        <v>3342</v>
      </c>
      <c r="D2853" s="2" t="s">
        <v>59</v>
      </c>
      <c r="E2853" s="2">
        <v>156</v>
      </c>
      <c r="F2853" s="2">
        <v>3090.36</v>
      </c>
    </row>
    <row r="2855" spans="1:7" x14ac:dyDescent="0.25">
      <c r="A2855" s="1">
        <v>46232</v>
      </c>
      <c r="B2855" s="2" t="s">
        <v>3343</v>
      </c>
      <c r="C2855" s="2" t="s">
        <v>3344</v>
      </c>
      <c r="D2855" s="2" t="s">
        <v>73</v>
      </c>
      <c r="E2855" s="2">
        <v>84</v>
      </c>
      <c r="F2855" s="2">
        <v>1759.23</v>
      </c>
      <c r="G2855" s="1">
        <v>46232</v>
      </c>
    </row>
    <row r="2856" spans="3:6" x14ac:dyDescent="0.25">
      <c r="C2856" s="2" t="s">
        <v>3345</v>
      </c>
      <c r="D2856" s="2" t="s">
        <v>73</v>
      </c>
      <c r="E2856" s="2">
        <v>101</v>
      </c>
      <c r="F2856" s="2">
        <v>1945.59</v>
      </c>
    </row>
    <row r="2857" spans="3:6" x14ac:dyDescent="0.25">
      <c r="C2857" s="2" t="s">
        <v>3346</v>
      </c>
      <c r="D2857" s="2" t="s">
        <v>73</v>
      </c>
      <c r="E2857" s="2">
        <v>47</v>
      </c>
      <c r="F2857" s="2">
        <v>801.95</v>
      </c>
    </row>
    <row r="2858" spans="3:6" x14ac:dyDescent="0.25">
      <c r="C2858" s="2" t="s">
        <v>3347</v>
      </c>
      <c r="D2858" s="2" t="s">
        <v>73</v>
      </c>
      <c r="E2858" s="2">
        <v>49</v>
      </c>
      <c r="F2858" s="2">
        <v>926.569</v>
      </c>
    </row>
    <row r="2859" spans="3:6" x14ac:dyDescent="0.25">
      <c r="C2859" s="2" t="s">
        <v>3348</v>
      </c>
      <c r="D2859" s="2" t="s">
        <v>73</v>
      </c>
      <c r="E2859" s="2">
        <v>90</v>
      </c>
      <c r="F2859" s="2">
        <v>1868.14</v>
      </c>
    </row>
    <row r="2860" spans="3:6" x14ac:dyDescent="0.25">
      <c r="C2860" s="2" t="s">
        <v>3349</v>
      </c>
      <c r="D2860" s="2" t="s">
        <v>73</v>
      </c>
      <c r="E2860" s="2">
        <v>65</v>
      </c>
      <c r="F2860" s="2">
        <v>1314.37</v>
      </c>
    </row>
    <row r="2861" spans="3:6" x14ac:dyDescent="0.25">
      <c r="C2861" s="2" t="s">
        <v>3350</v>
      </c>
      <c r="D2861" s="2" t="s">
        <v>73</v>
      </c>
      <c r="E2861" s="2">
        <v>19</v>
      </c>
      <c r="F2861" s="2">
        <v>329.1</v>
      </c>
    </row>
    <row r="2862" spans="3:6" x14ac:dyDescent="0.25">
      <c r="C2862" s="2" t="s">
        <v>3351</v>
      </c>
      <c r="D2862" s="2" t="s">
        <v>73</v>
      </c>
      <c r="E2862" s="2">
        <v>43</v>
      </c>
      <c r="F2862" s="2">
        <v>801.48</v>
      </c>
    </row>
    <row r="2863" spans="3:6" x14ac:dyDescent="0.25">
      <c r="C2863" s="2" t="s">
        <v>3352</v>
      </c>
      <c r="D2863" s="2" t="s">
        <v>73</v>
      </c>
      <c r="E2863" s="2">
        <v>7</v>
      </c>
      <c r="F2863" s="2">
        <v>151.05</v>
      </c>
    </row>
    <row r="2864" spans="3:6" x14ac:dyDescent="0.25">
      <c r="C2864" s="2" t="s">
        <v>3353</v>
      </c>
      <c r="D2864" s="2" t="s">
        <v>73</v>
      </c>
      <c r="E2864" s="2">
        <v>88</v>
      </c>
      <c r="F2864" s="2">
        <v>1727.78</v>
      </c>
    </row>
    <row r="2865" spans="3:6" x14ac:dyDescent="0.25">
      <c r="C2865" s="2" t="s">
        <v>3354</v>
      </c>
      <c r="D2865" s="2" t="s">
        <v>73</v>
      </c>
      <c r="E2865" s="2">
        <v>16</v>
      </c>
      <c r="F2865" s="2">
        <v>266.81</v>
      </c>
    </row>
    <row r="2866" spans="3:6" x14ac:dyDescent="0.25">
      <c r="C2866" s="2" t="s">
        <v>3355</v>
      </c>
      <c r="D2866" s="2" t="s">
        <v>73</v>
      </c>
      <c r="E2866" s="2">
        <v>16</v>
      </c>
      <c r="F2866" s="2">
        <v>297.45</v>
      </c>
    </row>
    <row r="2868" spans="1:7" x14ac:dyDescent="0.25">
      <c r="A2868" s="1">
        <v>46232</v>
      </c>
      <c r="B2868" s="2" t="s">
        <v>229</v>
      </c>
      <c r="C2868" s="2" t="s">
        <v>3356</v>
      </c>
      <c r="D2868" s="2" t="s">
        <v>292</v>
      </c>
      <c r="E2868" s="2">
        <v>41</v>
      </c>
      <c r="F2868" s="2">
        <v>778.33</v>
      </c>
      <c r="G2868" s="1">
        <v>46232</v>
      </c>
    </row>
    <row r="2869" spans="3:6" x14ac:dyDescent="0.25">
      <c r="C2869" s="2" t="s">
        <v>3357</v>
      </c>
      <c r="D2869" s="2" t="s">
        <v>292</v>
      </c>
      <c r="E2869" s="2">
        <v>100</v>
      </c>
      <c r="F2869" s="2">
        <v>2099.25</v>
      </c>
    </row>
    <row r="2870" spans="3:6" x14ac:dyDescent="0.25">
      <c r="C2870" s="2" t="s">
        <v>3358</v>
      </c>
      <c r="D2870" s="2" t="s">
        <v>292</v>
      </c>
      <c r="E2870" s="2">
        <v>100</v>
      </c>
      <c r="F2870" s="2">
        <v>1966.64</v>
      </c>
    </row>
    <row r="2871" spans="3:6" x14ac:dyDescent="0.25">
      <c r="C2871" s="2" t="s">
        <v>3359</v>
      </c>
      <c r="D2871" s="2" t="s">
        <v>292</v>
      </c>
      <c r="E2871" s="2">
        <v>100</v>
      </c>
      <c r="F2871" s="2">
        <v>1967.189</v>
      </c>
    </row>
    <row r="2872" spans="3:6" x14ac:dyDescent="0.25">
      <c r="C2872" s="2" t="s">
        <v>3360</v>
      </c>
      <c r="D2872" s="2" t="s">
        <v>292</v>
      </c>
      <c r="E2872" s="2">
        <v>100</v>
      </c>
      <c r="F2872" s="2">
        <v>2014.069</v>
      </c>
    </row>
    <row r="2873" spans="3:6" x14ac:dyDescent="0.25">
      <c r="C2873" s="2" t="s">
        <v>3361</v>
      </c>
      <c r="D2873" s="2" t="s">
        <v>292</v>
      </c>
      <c r="E2873" s="2">
        <v>123</v>
      </c>
      <c r="F2873" s="2">
        <v>2666.13</v>
      </c>
    </row>
    <row r="2874" spans="3:6" x14ac:dyDescent="0.25">
      <c r="C2874" s="2" t="s">
        <v>3362</v>
      </c>
      <c r="D2874" s="2" t="s">
        <v>292</v>
      </c>
      <c r="E2874" s="2">
        <v>37</v>
      </c>
      <c r="F2874" s="2">
        <v>768.81</v>
      </c>
    </row>
    <row r="2875" spans="3:6" x14ac:dyDescent="0.25">
      <c r="C2875" s="2" t="s">
        <v>3363</v>
      </c>
      <c r="D2875" s="2" t="s">
        <v>292</v>
      </c>
      <c r="E2875" s="2">
        <v>141</v>
      </c>
      <c r="F2875" s="2">
        <v>2745.978</v>
      </c>
    </row>
    <row r="2876" spans="3:6" x14ac:dyDescent="0.25">
      <c r="C2876" s="2" t="s">
        <v>3364</v>
      </c>
      <c r="D2876" s="2" t="s">
        <v>292</v>
      </c>
      <c r="E2876" s="2">
        <v>100</v>
      </c>
      <c r="F2876" s="2">
        <v>2190.589</v>
      </c>
    </row>
    <row r="2877" spans="3:6" x14ac:dyDescent="0.25">
      <c r="C2877" s="2" t="s">
        <v>3365</v>
      </c>
      <c r="D2877" s="2" t="s">
        <v>292</v>
      </c>
      <c r="E2877" s="2">
        <v>26</v>
      </c>
      <c r="F2877" s="2">
        <v>459.76</v>
      </c>
    </row>
    <row r="2878" spans="3:6" x14ac:dyDescent="0.25">
      <c r="C2878" s="2" t="s">
        <v>3366</v>
      </c>
      <c r="D2878" s="2" t="s">
        <v>292</v>
      </c>
      <c r="E2878" s="2">
        <v>32</v>
      </c>
      <c r="F2878" s="2">
        <v>654.25</v>
      </c>
    </row>
    <row r="2879" spans="3:6" x14ac:dyDescent="0.25">
      <c r="C2879" s="2" t="s">
        <v>3367</v>
      </c>
      <c r="D2879" s="2" t="s">
        <v>292</v>
      </c>
      <c r="E2879" s="2">
        <v>9</v>
      </c>
      <c r="F2879" s="2">
        <v>149.2</v>
      </c>
    </row>
    <row r="2880" spans="3:6" x14ac:dyDescent="0.25">
      <c r="C2880" s="2" t="s">
        <v>3368</v>
      </c>
      <c r="D2880" s="2" t="s">
        <v>292</v>
      </c>
      <c r="E2880" s="2">
        <v>16</v>
      </c>
      <c r="F2880" s="2">
        <v>307.46</v>
      </c>
    </row>
    <row r="2881" spans="3:6" x14ac:dyDescent="0.25">
      <c r="C2881" s="2" t="s">
        <v>3369</v>
      </c>
      <c r="D2881" s="2" t="s">
        <v>292</v>
      </c>
      <c r="E2881" s="2">
        <v>70</v>
      </c>
      <c r="F2881" s="2">
        <v>1269.077</v>
      </c>
    </row>
    <row r="2882" spans="3:6" x14ac:dyDescent="0.25">
      <c r="C2882" s="2" t="s">
        <v>3370</v>
      </c>
      <c r="D2882" s="2" t="s">
        <v>292</v>
      </c>
      <c r="E2882" s="2">
        <v>45</v>
      </c>
      <c r="F2882" s="2">
        <v>210.37</v>
      </c>
    </row>
    <row r="2883" spans="3:6" x14ac:dyDescent="0.25">
      <c r="C2883" s="2" t="s">
        <v>3371</v>
      </c>
      <c r="D2883" s="2" t="s">
        <v>292</v>
      </c>
      <c r="E2883" s="2">
        <v>42</v>
      </c>
      <c r="F2883" s="2">
        <v>768.95</v>
      </c>
    </row>
    <row r="2884" spans="3:6" x14ac:dyDescent="0.25">
      <c r="C2884" s="2" t="s">
        <v>3372</v>
      </c>
      <c r="D2884" s="2" t="s">
        <v>292</v>
      </c>
      <c r="E2884" s="2">
        <v>65</v>
      </c>
      <c r="F2884" s="2">
        <v>1340.13</v>
      </c>
    </row>
    <row r="2885" spans="3:6" x14ac:dyDescent="0.25">
      <c r="C2885" s="2" t="s">
        <v>3373</v>
      </c>
      <c r="D2885" s="2" t="s">
        <v>292</v>
      </c>
      <c r="E2885" s="2">
        <v>10</v>
      </c>
      <c r="F2885" s="2">
        <v>212.98</v>
      </c>
    </row>
    <row r="2886" spans="3:6" x14ac:dyDescent="0.25">
      <c r="C2886" s="2" t="s">
        <v>3374</v>
      </c>
      <c r="D2886" s="2" t="s">
        <v>292</v>
      </c>
      <c r="E2886" s="2">
        <v>134</v>
      </c>
      <c r="F2886" s="2">
        <v>2573.85</v>
      </c>
    </row>
    <row r="2887" spans="3:6" x14ac:dyDescent="0.25">
      <c r="C2887" s="2" t="s">
        <v>3375</v>
      </c>
      <c r="D2887" s="2" t="s">
        <v>292</v>
      </c>
      <c r="E2887" s="2">
        <v>81</v>
      </c>
      <c r="F2887" s="2">
        <v>1771</v>
      </c>
    </row>
    <row r="2888" spans="3:6" x14ac:dyDescent="0.25">
      <c r="C2888" s="2" t="s">
        <v>3376</v>
      </c>
      <c r="D2888" s="2" t="s">
        <v>292</v>
      </c>
      <c r="E2888" s="2">
        <v>141</v>
      </c>
      <c r="F2888" s="2">
        <v>2753.71</v>
      </c>
    </row>
    <row r="2889" spans="3:6" x14ac:dyDescent="0.25">
      <c r="C2889" s="2" t="s">
        <v>3377</v>
      </c>
      <c r="D2889" s="2" t="s">
        <v>292</v>
      </c>
      <c r="E2889" s="2">
        <v>50</v>
      </c>
      <c r="F2889" s="2">
        <v>239.55</v>
      </c>
    </row>
    <row r="2890" spans="3:6" x14ac:dyDescent="0.25">
      <c r="C2890" s="2" t="s">
        <v>3378</v>
      </c>
      <c r="D2890" s="2" t="s">
        <v>292</v>
      </c>
      <c r="E2890" s="2">
        <v>141</v>
      </c>
      <c r="F2890" s="2">
        <v>3039.83</v>
      </c>
    </row>
    <row r="2891" spans="3:6" x14ac:dyDescent="0.25">
      <c r="C2891" s="2" t="s">
        <v>3379</v>
      </c>
      <c r="D2891" s="2" t="s">
        <v>292</v>
      </c>
      <c r="E2891" s="2">
        <v>106</v>
      </c>
      <c r="F2891" s="2">
        <v>2054.46</v>
      </c>
    </row>
    <row r="2892" spans="3:6" x14ac:dyDescent="0.25">
      <c r="C2892" s="2" t="s">
        <v>3380</v>
      </c>
      <c r="D2892" s="2" t="s">
        <v>292</v>
      </c>
      <c r="E2892" s="2">
        <v>45</v>
      </c>
      <c r="F2892" s="2">
        <v>1370.07</v>
      </c>
    </row>
    <row r="2893" spans="3:6" x14ac:dyDescent="0.25">
      <c r="C2893" s="2" t="s">
        <v>3381</v>
      </c>
      <c r="D2893" s="2" t="s">
        <v>292</v>
      </c>
      <c r="E2893" s="2">
        <v>141</v>
      </c>
      <c r="F2893" s="2">
        <v>1813.499</v>
      </c>
    </row>
    <row r="2894" spans="3:6" x14ac:dyDescent="0.25">
      <c r="C2894" s="2" t="s">
        <v>3382</v>
      </c>
      <c r="D2894" s="2" t="s">
        <v>292</v>
      </c>
      <c r="E2894" s="2">
        <v>33</v>
      </c>
      <c r="F2894" s="2">
        <v>1410.86</v>
      </c>
    </row>
    <row r="2895" spans="3:6" x14ac:dyDescent="0.25">
      <c r="C2895" s="2" t="s">
        <v>3383</v>
      </c>
      <c r="D2895" s="2" t="s">
        <v>292</v>
      </c>
      <c r="E2895" s="2">
        <v>45</v>
      </c>
      <c r="F2895" s="2">
        <v>1121.91</v>
      </c>
    </row>
    <row r="2896" spans="3:6" x14ac:dyDescent="0.25">
      <c r="C2896" s="2" t="s">
        <v>3384</v>
      </c>
      <c r="D2896" s="2" t="s">
        <v>292</v>
      </c>
      <c r="E2896" s="2">
        <v>108</v>
      </c>
      <c r="F2896" s="2">
        <v>646.393</v>
      </c>
    </row>
    <row r="2897" spans="3:6" x14ac:dyDescent="0.25">
      <c r="C2897" s="2" t="s">
        <v>3385</v>
      </c>
      <c r="D2897" s="2" t="s">
        <v>292</v>
      </c>
      <c r="E2897" s="2">
        <v>115</v>
      </c>
      <c r="F2897" s="2">
        <v>2156.64</v>
      </c>
    </row>
    <row r="2898" spans="3:6" x14ac:dyDescent="0.25">
      <c r="C2898" s="2" t="s">
        <v>3386</v>
      </c>
      <c r="D2898" s="2" t="s">
        <v>292</v>
      </c>
      <c r="E2898" s="2">
        <v>13</v>
      </c>
      <c r="F2898" s="2">
        <v>240.235</v>
      </c>
    </row>
    <row r="2899" spans="3:6" x14ac:dyDescent="0.25">
      <c r="C2899" s="2" t="s">
        <v>3387</v>
      </c>
      <c r="D2899" s="2" t="s">
        <v>292</v>
      </c>
      <c r="E2899" s="2">
        <v>54</v>
      </c>
      <c r="F2899" s="2">
        <v>1025.099</v>
      </c>
    </row>
    <row r="2900" spans="3:6" x14ac:dyDescent="0.25">
      <c r="C2900" s="2" t="s">
        <v>3388</v>
      </c>
      <c r="D2900" s="2" t="s">
        <v>292</v>
      </c>
      <c r="E2900" s="2">
        <v>11</v>
      </c>
      <c r="F2900" s="2">
        <v>182.68</v>
      </c>
    </row>
    <row r="2901" spans="3:6" x14ac:dyDescent="0.25">
      <c r="C2901" s="2" t="s">
        <v>3389</v>
      </c>
      <c r="D2901" s="2" t="s">
        <v>292</v>
      </c>
      <c r="E2901" s="2">
        <v>63</v>
      </c>
      <c r="F2901" s="2">
        <v>1097.526</v>
      </c>
    </row>
    <row r="2902" spans="3:6" x14ac:dyDescent="0.25">
      <c r="C2902" s="2" t="s">
        <v>3390</v>
      </c>
      <c r="D2902" s="2" t="s">
        <v>292</v>
      </c>
      <c r="E2902" s="2">
        <v>84</v>
      </c>
      <c r="F2902" s="2">
        <v>1524.478</v>
      </c>
    </row>
    <row r="2903" spans="3:6" x14ac:dyDescent="0.25">
      <c r="C2903" s="2" t="s">
        <v>3391</v>
      </c>
      <c r="D2903" s="2" t="s">
        <v>292</v>
      </c>
      <c r="E2903" s="2">
        <v>18</v>
      </c>
      <c r="F2903" s="2">
        <v>413.068</v>
      </c>
    </row>
    <row r="2904" spans="3:6" x14ac:dyDescent="0.25">
      <c r="C2904" s="2" t="s">
        <v>3392</v>
      </c>
      <c r="D2904" s="2" t="s">
        <v>292</v>
      </c>
      <c r="E2904" s="2">
        <v>68</v>
      </c>
      <c r="F2904" s="2">
        <v>1256.349</v>
      </c>
    </row>
    <row r="2905" spans="3:6" x14ac:dyDescent="0.25">
      <c r="C2905" s="2" t="s">
        <v>3393</v>
      </c>
      <c r="D2905" s="2" t="s">
        <v>292</v>
      </c>
      <c r="E2905" s="2">
        <v>12</v>
      </c>
      <c r="F2905" s="2">
        <v>235.367</v>
      </c>
    </row>
    <row r="2906" spans="3:6" x14ac:dyDescent="0.25">
      <c r="C2906" s="2" t="s">
        <v>3394</v>
      </c>
      <c r="D2906" s="2" t="s">
        <v>292</v>
      </c>
      <c r="E2906" s="2">
        <v>61</v>
      </c>
      <c r="F2906" s="2">
        <v>1172.83</v>
      </c>
    </row>
    <row r="2907" spans="3:6" x14ac:dyDescent="0.25">
      <c r="C2907" s="2" t="s">
        <v>3395</v>
      </c>
      <c r="D2907" s="2" t="s">
        <v>292</v>
      </c>
      <c r="E2907" s="2">
        <v>68</v>
      </c>
      <c r="F2907" s="2">
        <v>1370.07</v>
      </c>
    </row>
    <row r="2908" spans="3:6" x14ac:dyDescent="0.25">
      <c r="C2908" s="2" t="s">
        <v>3396</v>
      </c>
      <c r="D2908" s="2" t="s">
        <v>292</v>
      </c>
      <c r="E2908" s="2">
        <v>85</v>
      </c>
      <c r="F2908" s="2">
        <v>1813.499</v>
      </c>
    </row>
    <row r="2909" spans="3:6" x14ac:dyDescent="0.25">
      <c r="C2909" s="2" t="s">
        <v>3397</v>
      </c>
      <c r="D2909" s="2" t="s">
        <v>292</v>
      </c>
      <c r="E2909" s="2">
        <v>73</v>
      </c>
      <c r="F2909" s="2">
        <v>1410.86</v>
      </c>
    </row>
    <row r="2910" spans="3:6" x14ac:dyDescent="0.25">
      <c r="C2910" s="2" t="s">
        <v>3398</v>
      </c>
      <c r="D2910" s="2" t="s">
        <v>292</v>
      </c>
      <c r="E2910" s="2">
        <v>56</v>
      </c>
      <c r="F2910" s="2">
        <v>1121.91</v>
      </c>
    </row>
    <row r="2911" spans="3:6" x14ac:dyDescent="0.25">
      <c r="C2911" s="2" t="s">
        <v>3399</v>
      </c>
      <c r="D2911" s="2" t="s">
        <v>292</v>
      </c>
      <c r="E2911" s="2">
        <v>34</v>
      </c>
      <c r="F2911" s="2">
        <v>646.393</v>
      </c>
    </row>
    <row r="2912" spans="3:6" x14ac:dyDescent="0.25">
      <c r="C2912" s="2" t="s">
        <v>3385</v>
      </c>
      <c r="D2912" s="2" t="s">
        <v>292</v>
      </c>
      <c r="E2912" s="2">
        <v>115</v>
      </c>
      <c r="F2912" s="2">
        <v>2156.64</v>
      </c>
    </row>
    <row r="2913" spans="3:6" x14ac:dyDescent="0.25">
      <c r="C2913" s="2" t="s">
        <v>3400</v>
      </c>
      <c r="D2913" s="2" t="s">
        <v>292</v>
      </c>
      <c r="E2913" s="2">
        <v>45</v>
      </c>
      <c r="F2913" s="2">
        <v>923.69</v>
      </c>
    </row>
    <row r="2914" spans="3:6" x14ac:dyDescent="0.25">
      <c r="C2914" s="2" t="s">
        <v>3401</v>
      </c>
      <c r="D2914" s="2" t="s">
        <v>292</v>
      </c>
      <c r="E2914" s="2">
        <v>42</v>
      </c>
      <c r="F2914" s="2">
        <v>843.489</v>
      </c>
    </row>
    <row r="2915" spans="3:6" x14ac:dyDescent="0.25">
      <c r="C2915" s="2" t="s">
        <v>3402</v>
      </c>
      <c r="D2915" s="2" t="s">
        <v>292</v>
      </c>
      <c r="E2915" s="2">
        <v>53</v>
      </c>
      <c r="F2915" s="2">
        <v>1032.48</v>
      </c>
    </row>
    <row r="2916" spans="3:6" x14ac:dyDescent="0.25">
      <c r="C2916" s="2" t="s">
        <v>3403</v>
      </c>
      <c r="D2916" s="2" t="s">
        <v>292</v>
      </c>
      <c r="E2916" s="2">
        <v>30</v>
      </c>
      <c r="F2916" s="2">
        <v>600.58</v>
      </c>
    </row>
    <row r="2917" spans="3:6" x14ac:dyDescent="0.25">
      <c r="C2917" s="2" t="s">
        <v>3404</v>
      </c>
      <c r="D2917" s="2" t="s">
        <v>292</v>
      </c>
      <c r="E2917" s="2">
        <v>100</v>
      </c>
      <c r="F2917" s="2">
        <v>1870.908</v>
      </c>
    </row>
    <row r="2918" spans="3:6" x14ac:dyDescent="0.25">
      <c r="C2918" s="2" t="s">
        <v>3405</v>
      </c>
      <c r="D2918" s="2" t="s">
        <v>292</v>
      </c>
      <c r="E2918" s="2">
        <v>51</v>
      </c>
      <c r="F2918" s="2">
        <v>954.078</v>
      </c>
    </row>
    <row r="2919" spans="3:6" x14ac:dyDescent="0.25">
      <c r="C2919" s="2" t="s">
        <v>3406</v>
      </c>
      <c r="D2919" s="2" t="s">
        <v>292</v>
      </c>
      <c r="E2919" s="2">
        <v>6</v>
      </c>
      <c r="F2919" s="2">
        <v>118.312</v>
      </c>
    </row>
    <row r="2920" spans="3:6" x14ac:dyDescent="0.25">
      <c r="C2920" s="2" t="s">
        <v>3407</v>
      </c>
      <c r="D2920" s="2" t="s">
        <v>292</v>
      </c>
      <c r="E2920" s="2">
        <v>12</v>
      </c>
      <c r="F2920" s="2">
        <v>228.201</v>
      </c>
    </row>
    <row r="2921" spans="3:6" x14ac:dyDescent="0.25">
      <c r="C2921" s="2" t="s">
        <v>3408</v>
      </c>
      <c r="D2921" s="2" t="s">
        <v>292</v>
      </c>
      <c r="E2921" s="2">
        <v>82</v>
      </c>
      <c r="F2921" s="2">
        <v>1526.106</v>
      </c>
    </row>
    <row r="2922" spans="3:6" x14ac:dyDescent="0.25">
      <c r="C2922" s="2" t="s">
        <v>3409</v>
      </c>
      <c r="D2922" s="2" t="s">
        <v>292</v>
      </c>
      <c r="E2922" s="2">
        <v>10</v>
      </c>
      <c r="F2922" s="2">
        <v>170.937</v>
      </c>
    </row>
    <row r="2923" spans="3:6" x14ac:dyDescent="0.25">
      <c r="C2923" s="2" t="s">
        <v>3410</v>
      </c>
      <c r="D2923" s="2" t="s">
        <v>292</v>
      </c>
      <c r="E2923" s="2">
        <v>33</v>
      </c>
      <c r="F2923" s="2">
        <v>617.624</v>
      </c>
    </row>
    <row r="2924" spans="3:6" x14ac:dyDescent="0.25">
      <c r="C2924" s="2" t="s">
        <v>3411</v>
      </c>
      <c r="D2924" s="2" t="s">
        <v>292</v>
      </c>
      <c r="E2924" s="2">
        <v>57</v>
      </c>
      <c r="F2924" s="2">
        <v>1018.799</v>
      </c>
    </row>
    <row r="2925" spans="3:6" x14ac:dyDescent="0.25">
      <c r="C2925" s="2" t="s">
        <v>3412</v>
      </c>
      <c r="D2925" s="2" t="s">
        <v>292</v>
      </c>
      <c r="E2925" s="2">
        <v>39</v>
      </c>
      <c r="F2925" s="2">
        <v>688.971</v>
      </c>
    </row>
    <row r="2927" spans="1:7" x14ac:dyDescent="0.25">
      <c r="A2927" s="1">
        <v>46232</v>
      </c>
      <c r="B2927" s="2" t="s">
        <v>7</v>
      </c>
      <c r="C2927" s="2" t="s">
        <v>3413</v>
      </c>
      <c r="D2927" s="2" t="s">
        <v>9</v>
      </c>
      <c r="E2927" s="2">
        <v>80</v>
      </c>
      <c r="F2927" s="2">
        <v>1681.54</v>
      </c>
      <c r="G2927" s="1">
        <v>46232</v>
      </c>
    </row>
    <row r="2928" spans="3:6" x14ac:dyDescent="0.25">
      <c r="C2928" s="2" t="s">
        <v>3414</v>
      </c>
      <c r="D2928" s="2" t="s">
        <v>9</v>
      </c>
      <c r="E2928" s="2">
        <v>84</v>
      </c>
      <c r="F2928" s="2">
        <v>1726.05</v>
      </c>
    </row>
    <row r="2930" spans="1:7" x14ac:dyDescent="0.25">
      <c r="A2930" s="1">
        <v>46232</v>
      </c>
      <c r="B2930" s="2" t="s">
        <v>430</v>
      </c>
      <c r="C2930" s="2" t="s">
        <v>3415</v>
      </c>
      <c r="D2930" s="2" t="s">
        <v>15</v>
      </c>
      <c r="E2930" s="2">
        <v>148</v>
      </c>
      <c r="F2930" s="2">
        <v>2819.94</v>
      </c>
      <c r="G2930" s="1">
        <v>46232</v>
      </c>
    </row>
    <row r="2931" spans="3:6" x14ac:dyDescent="0.25">
      <c r="C2931" s="2" t="s">
        <v>3416</v>
      </c>
      <c r="D2931" s="2" t="s">
        <v>15</v>
      </c>
      <c r="E2931" s="2">
        <v>102</v>
      </c>
      <c r="F2931" s="2">
        <v>2026.48</v>
      </c>
    </row>
    <row r="2932" spans="3:6" x14ac:dyDescent="0.25">
      <c r="C2932" s="2" t="s">
        <v>3417</v>
      </c>
      <c r="D2932" s="2" t="s">
        <v>15</v>
      </c>
      <c r="E2932" s="2">
        <v>141</v>
      </c>
      <c r="F2932" s="2">
        <v>2709.309</v>
      </c>
    </row>
    <row r="2933" spans="3:6" x14ac:dyDescent="0.25">
      <c r="C2933" s="2" t="s">
        <v>3418</v>
      </c>
      <c r="D2933" s="2" t="s">
        <v>15</v>
      </c>
      <c r="E2933" s="2">
        <v>141</v>
      </c>
      <c r="F2933" s="2">
        <v>2820.91</v>
      </c>
    </row>
    <row r="2935" spans="2:7" x14ac:dyDescent="0.25">
      <c r="B2935" s="2" t="s">
        <v>48</v>
      </c>
      <c r="C2935" s="2" t="s">
        <v>3419</v>
      </c>
      <c r="D2935" s="2" t="s">
        <v>15</v>
      </c>
      <c r="E2935" s="2">
        <v>102</v>
      </c>
      <c r="F2935" s="2">
        <v>1855</v>
      </c>
      <c r="G2935" s="1">
        <v>46232</v>
      </c>
    </row>
    <row r="2937" spans="1:7" x14ac:dyDescent="0.25">
      <c r="A2937" s="1">
        <v>46232</v>
      </c>
      <c r="B2937" s="2" t="s">
        <v>420</v>
      </c>
      <c r="C2937" s="2" t="s">
        <v>3420</v>
      </c>
      <c r="D2937" s="2" t="s">
        <v>59</v>
      </c>
      <c r="E2937" s="2">
        <v>105</v>
      </c>
      <c r="F2937" s="2">
        <v>2077.71</v>
      </c>
      <c r="G2937" s="1">
        <v>46232</v>
      </c>
    </row>
    <row r="2938" spans="3:6" x14ac:dyDescent="0.25">
      <c r="C2938" s="2" t="s">
        <v>3421</v>
      </c>
      <c r="D2938" s="2" t="s">
        <v>59</v>
      </c>
      <c r="E2938" s="2">
        <v>103</v>
      </c>
      <c r="F2938" s="2">
        <v>1984.75</v>
      </c>
    </row>
    <row r="2939" spans="3:6" x14ac:dyDescent="0.25">
      <c r="C2939" s="2" t="s">
        <v>3422</v>
      </c>
      <c r="D2939" s="2" t="s">
        <v>59</v>
      </c>
      <c r="E2939" s="2">
        <v>104</v>
      </c>
      <c r="F2939" s="2">
        <v>2028.19</v>
      </c>
    </row>
    <row r="2940" spans="3:6" x14ac:dyDescent="0.25">
      <c r="C2940" s="2" t="s">
        <v>3423</v>
      </c>
      <c r="D2940" s="2" t="s">
        <v>59</v>
      </c>
      <c r="E2940" s="2">
        <v>156</v>
      </c>
      <c r="F2940" s="2">
        <v>3076.95</v>
      </c>
    </row>
    <row r="2941" spans="3:6" x14ac:dyDescent="0.25">
      <c r="C2941" s="2" t="s">
        <v>3424</v>
      </c>
      <c r="D2941" s="2" t="s">
        <v>59</v>
      </c>
      <c r="E2941" s="2">
        <v>156</v>
      </c>
      <c r="F2941" s="2">
        <v>3100.559</v>
      </c>
    </row>
    <row r="2942" spans="3:6" x14ac:dyDescent="0.25">
      <c r="C2942" s="2" t="s">
        <v>3425</v>
      </c>
      <c r="D2942" s="2" t="s">
        <v>59</v>
      </c>
      <c r="E2942" s="2">
        <v>156</v>
      </c>
      <c r="F2942" s="2">
        <v>3070.599</v>
      </c>
    </row>
    <row r="2943" spans="3:6" x14ac:dyDescent="0.25">
      <c r="C2943" s="2" t="s">
        <v>3426</v>
      </c>
      <c r="D2943" s="2" t="s">
        <v>59</v>
      </c>
      <c r="E2943" s="2">
        <v>156</v>
      </c>
      <c r="F2943" s="2">
        <v>3032.829</v>
      </c>
    </row>
    <row r="2944" spans="3:6" x14ac:dyDescent="0.25">
      <c r="C2944" s="2" t="s">
        <v>3427</v>
      </c>
      <c r="D2944" s="2" t="s">
        <v>59</v>
      </c>
      <c r="E2944" s="2">
        <v>130</v>
      </c>
      <c r="F2944" s="2">
        <v>2542.349</v>
      </c>
    </row>
    <row r="2945" spans="3:6" x14ac:dyDescent="0.25">
      <c r="C2945" s="2" t="s">
        <v>3428</v>
      </c>
      <c r="D2945" s="2" t="s">
        <v>59</v>
      </c>
      <c r="E2945" s="2">
        <v>105</v>
      </c>
      <c r="F2945" s="2">
        <v>2060.608</v>
      </c>
    </row>
    <row r="2947" spans="1:7" x14ac:dyDescent="0.25">
      <c r="A2947" s="1">
        <v>46232</v>
      </c>
      <c r="B2947" s="2" t="s">
        <v>427</v>
      </c>
      <c r="C2947" s="2" t="s">
        <v>3429</v>
      </c>
      <c r="D2947" s="2" t="s">
        <v>59</v>
      </c>
      <c r="E2947" s="2">
        <v>149</v>
      </c>
      <c r="F2947" s="2">
        <v>2977.218</v>
      </c>
      <c r="G2947" s="1">
        <v>46232</v>
      </c>
    </row>
    <row r="2948" spans="3:6" x14ac:dyDescent="0.25">
      <c r="C2948" s="2" t="s">
        <v>3430</v>
      </c>
      <c r="D2948" s="2" t="s">
        <v>59</v>
      </c>
      <c r="E2948" s="2">
        <v>149</v>
      </c>
      <c r="F2948" s="2">
        <v>3043.83</v>
      </c>
    </row>
    <row r="2950" spans="1:7" x14ac:dyDescent="0.25">
      <c r="A2950" s="1">
        <v>46233</v>
      </c>
      <c r="B2950" s="2" t="s">
        <v>495</v>
      </c>
      <c r="C2950" s="2" t="s">
        <v>3431</v>
      </c>
      <c r="D2950" s="2" t="s">
        <v>82</v>
      </c>
      <c r="E2950" s="2">
        <v>134</v>
      </c>
      <c r="F2950" s="2">
        <v>2734</v>
      </c>
      <c r="G2950" s="1">
        <v>46232</v>
      </c>
    </row>
    <row r="2951" spans="3:6" x14ac:dyDescent="0.25">
      <c r="C2951" s="2" t="s">
        <v>3432</v>
      </c>
      <c r="D2951" s="2" t="s">
        <v>82</v>
      </c>
      <c r="E2951" s="2">
        <v>121</v>
      </c>
      <c r="F2951" s="2">
        <v>2445.83</v>
      </c>
    </row>
    <row r="2952" spans="3:6" x14ac:dyDescent="0.25">
      <c r="C2952" s="2" t="s">
        <v>3433</v>
      </c>
      <c r="D2952" s="2" t="s">
        <v>82</v>
      </c>
      <c r="E2952" s="2">
        <v>121</v>
      </c>
      <c r="F2952" s="2">
        <v>2535.72</v>
      </c>
    </row>
    <row r="2953" spans="3:6" x14ac:dyDescent="0.25">
      <c r="C2953" s="2" t="s">
        <v>3434</v>
      </c>
      <c r="D2953" s="2" t="s">
        <v>82</v>
      </c>
      <c r="E2953" s="2">
        <v>121</v>
      </c>
      <c r="F2953" s="2">
        <v>2494.12</v>
      </c>
    </row>
    <row r="2954" spans="3:6" x14ac:dyDescent="0.25">
      <c r="C2954" s="2" t="s">
        <v>3435</v>
      </c>
      <c r="D2954" s="2" t="s">
        <v>82</v>
      </c>
      <c r="E2954" s="2">
        <v>60</v>
      </c>
      <c r="F2954" s="2">
        <v>269.739</v>
      </c>
    </row>
    <row r="2955" spans="3:6" x14ac:dyDescent="0.25">
      <c r="C2955" s="2" t="s">
        <v>3436</v>
      </c>
      <c r="D2955" s="2" t="s">
        <v>82</v>
      </c>
      <c r="E2955" s="2">
        <v>40</v>
      </c>
      <c r="F2955" s="2">
        <v>190.95</v>
      </c>
    </row>
    <row r="2956" spans="3:6" x14ac:dyDescent="0.25">
      <c r="C2956" s="2" t="s">
        <v>3437</v>
      </c>
      <c r="D2956" s="2" t="s">
        <v>82</v>
      </c>
      <c r="E2956" s="2">
        <v>128</v>
      </c>
      <c r="F2956" s="2">
        <v>918.816</v>
      </c>
    </row>
    <row r="2957" spans="3:6" x14ac:dyDescent="0.25">
      <c r="C2957" s="2" t="s">
        <v>3438</v>
      </c>
      <c r="D2957" s="2" t="s">
        <v>82</v>
      </c>
      <c r="E2957" s="2">
        <v>101</v>
      </c>
      <c r="F2957" s="2">
        <v>1442.421</v>
      </c>
    </row>
    <row r="2958" spans="3:6" x14ac:dyDescent="0.25">
      <c r="C2958" s="2" t="s">
        <v>3439</v>
      </c>
      <c r="D2958" s="2" t="s">
        <v>82</v>
      </c>
      <c r="E2958" s="2">
        <v>93</v>
      </c>
      <c r="F2958" s="2">
        <v>2160.138</v>
      </c>
    </row>
    <row r="2959" spans="3:6" x14ac:dyDescent="0.25">
      <c r="C2959" s="2" t="s">
        <v>3440</v>
      </c>
      <c r="D2959" s="2" t="s">
        <v>82</v>
      </c>
      <c r="E2959" s="2">
        <v>142</v>
      </c>
      <c r="F2959" s="2">
        <v>2902.08</v>
      </c>
    </row>
    <row r="2960" spans="3:6" x14ac:dyDescent="0.25">
      <c r="C2960" s="2" t="s">
        <v>3441</v>
      </c>
      <c r="D2960" s="2" t="s">
        <v>82</v>
      </c>
      <c r="E2960" s="2">
        <v>142</v>
      </c>
      <c r="F2960" s="2">
        <v>2709.569</v>
      </c>
    </row>
    <row r="2961" spans="3:6" x14ac:dyDescent="0.25">
      <c r="C2961" s="2" t="s">
        <v>3442</v>
      </c>
      <c r="D2961" s="2" t="s">
        <v>82</v>
      </c>
      <c r="E2961" s="2">
        <v>141</v>
      </c>
      <c r="F2961" s="2">
        <v>2752.44</v>
      </c>
    </row>
    <row r="2962" spans="3:6" x14ac:dyDescent="0.25">
      <c r="C2962" s="2" t="s">
        <v>3443</v>
      </c>
      <c r="D2962" s="2" t="s">
        <v>82</v>
      </c>
      <c r="E2962" s="2">
        <v>78</v>
      </c>
      <c r="F2962" s="2">
        <v>1487.63</v>
      </c>
    </row>
    <row r="2963" spans="3:6" x14ac:dyDescent="0.25">
      <c r="C2963" s="2" t="s">
        <v>3444</v>
      </c>
      <c r="D2963" s="2" t="s">
        <v>82</v>
      </c>
      <c r="E2963" s="2">
        <v>63</v>
      </c>
      <c r="F2963" s="2">
        <v>1225.46</v>
      </c>
    </row>
    <row r="2964" spans="3:6" x14ac:dyDescent="0.25">
      <c r="C2964" s="2" t="s">
        <v>3445</v>
      </c>
      <c r="D2964" s="2" t="s">
        <v>82</v>
      </c>
      <c r="E2964" s="2">
        <v>60</v>
      </c>
      <c r="F2964" s="2">
        <v>275.509</v>
      </c>
    </row>
    <row r="2965" spans="3:6" x14ac:dyDescent="0.25">
      <c r="C2965" s="2" t="s">
        <v>3446</v>
      </c>
      <c r="D2965" s="2" t="s">
        <v>82</v>
      </c>
      <c r="E2965" s="2">
        <v>43</v>
      </c>
      <c r="F2965" s="2">
        <v>768.7</v>
      </c>
    </row>
    <row r="2966" spans="3:6" x14ac:dyDescent="0.25">
      <c r="C2966" s="2" t="s">
        <v>3447</v>
      </c>
      <c r="D2966" s="2" t="s">
        <v>82</v>
      </c>
      <c r="E2966" s="2">
        <v>52</v>
      </c>
      <c r="F2966" s="2">
        <v>990.34</v>
      </c>
    </row>
    <row r="2967" spans="3:6" x14ac:dyDescent="0.25">
      <c r="C2967" s="2" t="s">
        <v>3448</v>
      </c>
      <c r="D2967" s="2" t="s">
        <v>82</v>
      </c>
      <c r="E2967" s="2">
        <v>7</v>
      </c>
      <c r="F2967" s="2">
        <v>113.81</v>
      </c>
    </row>
    <row r="2968" spans="3:6" x14ac:dyDescent="0.25">
      <c r="C2968" s="2" t="s">
        <v>3449</v>
      </c>
      <c r="D2968" s="2" t="s">
        <v>82</v>
      </c>
      <c r="E2968" s="2">
        <v>52</v>
      </c>
      <c r="F2968" s="2">
        <v>1073.46</v>
      </c>
    </row>
    <row r="2969" spans="3:6" x14ac:dyDescent="0.25">
      <c r="C2969" s="2" t="s">
        <v>3450</v>
      </c>
      <c r="D2969" s="2" t="s">
        <v>82</v>
      </c>
      <c r="E2969" s="2">
        <v>14</v>
      </c>
      <c r="F2969" s="2">
        <v>253.44</v>
      </c>
    </row>
    <row r="2970" spans="3:6" x14ac:dyDescent="0.25">
      <c r="C2970" s="2" t="s">
        <v>3451</v>
      </c>
      <c r="D2970" s="2" t="s">
        <v>82</v>
      </c>
      <c r="E2970" s="2">
        <v>36</v>
      </c>
      <c r="F2970" s="2">
        <v>724.02</v>
      </c>
    </row>
    <row r="2971" spans="3:6" x14ac:dyDescent="0.25">
      <c r="C2971" s="2" t="s">
        <v>3452</v>
      </c>
      <c r="D2971" s="2" t="s">
        <v>82</v>
      </c>
      <c r="E2971" s="2">
        <v>11</v>
      </c>
      <c r="F2971" s="2">
        <v>214.85</v>
      </c>
    </row>
    <row r="2972" spans="3:6" x14ac:dyDescent="0.25">
      <c r="C2972" s="2" t="s">
        <v>3453</v>
      </c>
      <c r="D2972" s="2" t="s">
        <v>82</v>
      </c>
      <c r="E2972" s="2">
        <v>64</v>
      </c>
      <c r="F2972" s="2">
        <v>1335.859</v>
      </c>
    </row>
    <row r="2973" spans="3:6" x14ac:dyDescent="0.25">
      <c r="C2973" s="2" t="s">
        <v>3454</v>
      </c>
      <c r="D2973" s="2" t="s">
        <v>82</v>
      </c>
      <c r="E2973" s="2">
        <v>26</v>
      </c>
      <c r="F2973" s="2">
        <v>516.31</v>
      </c>
    </row>
    <row r="2974" spans="3:6" x14ac:dyDescent="0.25">
      <c r="C2974" s="2" t="s">
        <v>3455</v>
      </c>
      <c r="D2974" s="2" t="s">
        <v>82</v>
      </c>
      <c r="E2974" s="2">
        <v>76</v>
      </c>
      <c r="F2974" s="2">
        <v>1513.82</v>
      </c>
    </row>
    <row r="2975" spans="3:6" x14ac:dyDescent="0.25">
      <c r="C2975" s="2" t="s">
        <v>3456</v>
      </c>
      <c r="D2975" s="2" t="s">
        <v>82</v>
      </c>
      <c r="E2975" s="2">
        <v>21</v>
      </c>
      <c r="F2975" s="2">
        <v>429.06</v>
      </c>
    </row>
    <row r="2976" spans="3:6" x14ac:dyDescent="0.25">
      <c r="C2976" s="2" t="s">
        <v>3457</v>
      </c>
      <c r="D2976" s="2" t="s">
        <v>82</v>
      </c>
      <c r="E2976" s="2">
        <v>65</v>
      </c>
      <c r="F2976" s="2">
        <v>1302.63</v>
      </c>
    </row>
    <row r="2977" spans="3:6" x14ac:dyDescent="0.25">
      <c r="C2977" s="2" t="s">
        <v>3458</v>
      </c>
      <c r="D2977" s="2" t="s">
        <v>82</v>
      </c>
      <c r="E2977" s="2">
        <v>16</v>
      </c>
      <c r="F2977" s="2">
        <v>282.66</v>
      </c>
    </row>
    <row r="2978" spans="3:6" x14ac:dyDescent="0.25">
      <c r="C2978" s="2" t="s">
        <v>3459</v>
      </c>
      <c r="D2978" s="2" t="s">
        <v>82</v>
      </c>
      <c r="E2978" s="2">
        <v>121</v>
      </c>
      <c r="F2978" s="2">
        <v>2479.15</v>
      </c>
    </row>
    <row r="2979" spans="3:6" x14ac:dyDescent="0.25">
      <c r="C2979" s="2" t="s">
        <v>3460</v>
      </c>
      <c r="D2979" s="2" t="s">
        <v>82</v>
      </c>
      <c r="E2979" s="2">
        <v>8</v>
      </c>
      <c r="F2979" s="2">
        <v>141.66</v>
      </c>
    </row>
    <row r="2980" spans="3:6" x14ac:dyDescent="0.25">
      <c r="C2980" s="2" t="s">
        <v>3461</v>
      </c>
      <c r="D2980" s="2" t="s">
        <v>82</v>
      </c>
      <c r="E2980" s="2">
        <v>7</v>
      </c>
      <c r="F2980" s="2">
        <v>132.07</v>
      </c>
    </row>
    <row r="2981" spans="3:6" x14ac:dyDescent="0.25">
      <c r="C2981" s="2" t="s">
        <v>3462</v>
      </c>
      <c r="D2981" s="2" t="s">
        <v>82</v>
      </c>
      <c r="E2981" s="2">
        <v>10</v>
      </c>
      <c r="F2981" s="2">
        <v>191.11</v>
      </c>
    </row>
    <row r="2982" spans="3:6" x14ac:dyDescent="0.25">
      <c r="C2982" s="2" t="s">
        <v>3463</v>
      </c>
      <c r="D2982" s="2" t="s">
        <v>82</v>
      </c>
      <c r="E2982" s="2">
        <v>50</v>
      </c>
      <c r="F2982" s="2">
        <v>1013.05</v>
      </c>
    </row>
    <row r="2983" spans="3:6" x14ac:dyDescent="0.25">
      <c r="C2983" s="2" t="s">
        <v>3464</v>
      </c>
      <c r="D2983" s="2" t="s">
        <v>82</v>
      </c>
      <c r="E2983" s="2">
        <v>15</v>
      </c>
      <c r="F2983" s="2">
        <v>306.7</v>
      </c>
    </row>
    <row r="2984" spans="3:6" x14ac:dyDescent="0.25">
      <c r="C2984" s="2" t="s">
        <v>3465</v>
      </c>
      <c r="D2984" s="2" t="s">
        <v>82</v>
      </c>
      <c r="E2984" s="2">
        <v>22</v>
      </c>
      <c r="F2984" s="2">
        <v>459</v>
      </c>
    </row>
    <row r="2985" spans="3:6" x14ac:dyDescent="0.25">
      <c r="C2985" s="2" t="s">
        <v>3466</v>
      </c>
      <c r="D2985" s="2" t="s">
        <v>82</v>
      </c>
      <c r="E2985" s="2">
        <v>29</v>
      </c>
      <c r="F2985" s="2">
        <v>577.54</v>
      </c>
    </row>
    <row r="2986" spans="3:6" x14ac:dyDescent="0.25">
      <c r="C2986" s="2" t="s">
        <v>3467</v>
      </c>
      <c r="D2986" s="2" t="s">
        <v>82</v>
      </c>
      <c r="E2986" s="2">
        <v>53</v>
      </c>
      <c r="F2986" s="2">
        <v>1081.63</v>
      </c>
    </row>
    <row r="2987" spans="3:6" x14ac:dyDescent="0.25">
      <c r="C2987" s="2" t="s">
        <v>3468</v>
      </c>
      <c r="D2987" s="2" t="s">
        <v>82</v>
      </c>
      <c r="E2987" s="2">
        <v>49</v>
      </c>
      <c r="F2987" s="2">
        <v>932.41</v>
      </c>
    </row>
    <row r="2988" spans="3:6" x14ac:dyDescent="0.25">
      <c r="C2988" s="2" t="s">
        <v>3469</v>
      </c>
      <c r="D2988" s="2" t="s">
        <v>82</v>
      </c>
      <c r="E2988" s="2">
        <v>141</v>
      </c>
      <c r="F2988" s="2">
        <v>2740.077</v>
      </c>
    </row>
    <row r="2989" spans="3:6" x14ac:dyDescent="0.25">
      <c r="C2989" s="2" t="s">
        <v>3470</v>
      </c>
      <c r="D2989" s="2" t="s">
        <v>82</v>
      </c>
      <c r="E2989" s="2">
        <v>141</v>
      </c>
      <c r="F2989" s="2">
        <v>2791.96</v>
      </c>
    </row>
    <row r="2990" spans="3:6" x14ac:dyDescent="0.25">
      <c r="C2990" s="2" t="s">
        <v>3471</v>
      </c>
      <c r="D2990" s="2" t="s">
        <v>82</v>
      </c>
      <c r="E2990" s="2">
        <v>141</v>
      </c>
      <c r="F2990" s="2">
        <v>2793.66</v>
      </c>
    </row>
    <row r="2991" spans="3:6" x14ac:dyDescent="0.25">
      <c r="C2991" s="2" t="s">
        <v>3472</v>
      </c>
      <c r="D2991" s="2" t="s">
        <v>82</v>
      </c>
      <c r="E2991" s="2">
        <v>63</v>
      </c>
      <c r="F2991" s="2">
        <v>1250.93</v>
      </c>
    </row>
    <row r="2992" spans="3:6" x14ac:dyDescent="0.25">
      <c r="C2992" s="2" t="s">
        <v>3473</v>
      </c>
      <c r="D2992" s="2" t="s">
        <v>82</v>
      </c>
      <c r="E2992" s="2">
        <v>41</v>
      </c>
      <c r="F2992" s="2">
        <v>849.02</v>
      </c>
    </row>
    <row r="2993" spans="3:6" x14ac:dyDescent="0.25">
      <c r="C2993" s="2" t="s">
        <v>3474</v>
      </c>
      <c r="D2993" s="2" t="s">
        <v>82</v>
      </c>
      <c r="E2993" s="2">
        <v>37</v>
      </c>
      <c r="F2993" s="2">
        <v>765.78</v>
      </c>
    </row>
    <row r="2994" spans="3:6" x14ac:dyDescent="0.25">
      <c r="C2994" s="2" t="s">
        <v>3475</v>
      </c>
      <c r="D2994" s="2" t="s">
        <v>82</v>
      </c>
      <c r="E2994" s="2">
        <v>45</v>
      </c>
      <c r="F2994" s="2">
        <v>195.32</v>
      </c>
    </row>
    <row r="2996" spans="1:7" x14ac:dyDescent="0.25">
      <c r="A2996" s="1">
        <v>46233</v>
      </c>
      <c r="B2996" s="2" t="s">
        <v>7</v>
      </c>
      <c r="C2996" s="2" t="s">
        <v>3476</v>
      </c>
      <c r="D2996" s="2" t="s">
        <v>9</v>
      </c>
      <c r="E2996" s="2">
        <v>89</v>
      </c>
      <c r="F2996" s="2">
        <v>1810.18</v>
      </c>
      <c r="G2996" s="1">
        <v>46233</v>
      </c>
    </row>
    <row r="2997" spans="3:6" x14ac:dyDescent="0.25">
      <c r="C2997" s="2" t="s">
        <v>3477</v>
      </c>
      <c r="D2997" s="2" t="s">
        <v>9</v>
      </c>
      <c r="E2997" s="2">
        <v>86</v>
      </c>
      <c r="F2997" s="2">
        <v>1795.83</v>
      </c>
    </row>
    <row r="2999" spans="1:7" x14ac:dyDescent="0.25">
      <c r="A2999" s="1">
        <v>46233</v>
      </c>
      <c r="B2999" s="2" t="s">
        <v>2084</v>
      </c>
      <c r="C2999" s="2" t="s">
        <v>3478</v>
      </c>
      <c r="D2999" s="2" t="s">
        <v>15</v>
      </c>
      <c r="E2999" s="2">
        <v>85</v>
      </c>
      <c r="F2999" s="2">
        <v>1992.36</v>
      </c>
      <c r="G2999" s="1">
        <v>46233</v>
      </c>
    </row>
    <row r="3001" spans="1:7" x14ac:dyDescent="0.25">
      <c r="A3001" s="1">
        <v>46234</v>
      </c>
      <c r="B3001" s="2" t="s">
        <v>3479</v>
      </c>
      <c r="C3001" s="2" t="s">
        <v>3480</v>
      </c>
      <c r="D3001" s="2" t="s">
        <v>73</v>
      </c>
      <c r="E3001" s="2">
        <v>82</v>
      </c>
      <c r="F3001" s="2">
        <v>1703.44</v>
      </c>
      <c r="G3001" s="1">
        <v>46233</v>
      </c>
    </row>
    <row r="3002" spans="3:6" x14ac:dyDescent="0.25">
      <c r="C3002" s="2" t="s">
        <v>3481</v>
      </c>
      <c r="D3002" s="2" t="s">
        <v>73</v>
      </c>
      <c r="E3002" s="2">
        <v>101</v>
      </c>
      <c r="F3002" s="2">
        <v>1921.49</v>
      </c>
    </row>
    <row r="3003" spans="3:6" x14ac:dyDescent="0.25">
      <c r="C3003" s="2" t="s">
        <v>3482</v>
      </c>
      <c r="D3003" s="2" t="s">
        <v>73</v>
      </c>
      <c r="E3003" s="2">
        <v>45</v>
      </c>
      <c r="F3003" s="2">
        <v>739.66</v>
      </c>
    </row>
    <row r="3004" spans="3:6" x14ac:dyDescent="0.25">
      <c r="C3004" s="2" t="s">
        <v>3483</v>
      </c>
      <c r="D3004" s="2" t="s">
        <v>73</v>
      </c>
      <c r="E3004" s="2">
        <v>54</v>
      </c>
      <c r="F3004" s="2">
        <v>1077.28</v>
      </c>
    </row>
    <row r="3005" spans="3:6" x14ac:dyDescent="0.25">
      <c r="C3005" s="2" t="s">
        <v>3484</v>
      </c>
      <c r="D3005" s="2" t="s">
        <v>73</v>
      </c>
      <c r="E3005" s="2">
        <v>77</v>
      </c>
      <c r="F3005" s="2">
        <v>1597.09</v>
      </c>
    </row>
    <row r="3006" spans="3:6" x14ac:dyDescent="0.25">
      <c r="C3006" s="2" t="s">
        <v>3485</v>
      </c>
      <c r="D3006" s="2" t="s">
        <v>73</v>
      </c>
      <c r="E3006" s="2">
        <v>53</v>
      </c>
      <c r="F3006" s="2">
        <v>981.908</v>
      </c>
    </row>
    <row r="3007" spans="3:6" x14ac:dyDescent="0.25">
      <c r="C3007" s="2" t="s">
        <v>3486</v>
      </c>
      <c r="D3007" s="2" t="s">
        <v>73</v>
      </c>
      <c r="E3007" s="2">
        <v>46</v>
      </c>
      <c r="F3007" s="2">
        <v>882.03</v>
      </c>
    </row>
    <row r="3008" spans="3:6" x14ac:dyDescent="0.25">
      <c r="C3008" s="2" t="s">
        <v>3487</v>
      </c>
      <c r="D3008" s="2" t="s">
        <v>73</v>
      </c>
      <c r="E3008" s="2">
        <v>18</v>
      </c>
      <c r="F3008" s="2">
        <v>408.9</v>
      </c>
    </row>
    <row r="3009" spans="3:6" x14ac:dyDescent="0.25">
      <c r="C3009" s="2" t="s">
        <v>3488</v>
      </c>
      <c r="D3009" s="2" t="s">
        <v>73</v>
      </c>
      <c r="E3009" s="2">
        <v>19</v>
      </c>
      <c r="F3009" s="2">
        <v>383.1</v>
      </c>
    </row>
    <row r="3010" spans="3:6" x14ac:dyDescent="0.25">
      <c r="C3010" s="2" t="s">
        <v>3489</v>
      </c>
      <c r="D3010" s="2" t="s">
        <v>73</v>
      </c>
      <c r="E3010" s="2">
        <v>27</v>
      </c>
      <c r="F3010" s="2">
        <v>507.319</v>
      </c>
    </row>
    <row r="3011" spans="3:6" x14ac:dyDescent="0.25">
      <c r="C3011" s="2" t="s">
        <v>3490</v>
      </c>
      <c r="D3011" s="2" t="s">
        <v>73</v>
      </c>
      <c r="E3011" s="2">
        <v>32</v>
      </c>
      <c r="F3011" s="2">
        <v>548.05</v>
      </c>
    </row>
    <row r="3012" spans="3:6" x14ac:dyDescent="0.25">
      <c r="C3012" s="2" t="s">
        <v>3491</v>
      </c>
      <c r="D3012" s="2" t="s">
        <v>73</v>
      </c>
      <c r="E3012" s="2">
        <v>98</v>
      </c>
      <c r="F3012" s="2">
        <v>1991.62</v>
      </c>
    </row>
    <row r="3014" spans="1:7" x14ac:dyDescent="0.25">
      <c r="A3014" s="1">
        <v>46234</v>
      </c>
      <c r="B3014" s="2" t="s">
        <v>229</v>
      </c>
      <c r="C3014" s="2" t="s">
        <v>3492</v>
      </c>
      <c r="D3014" s="2" t="s">
        <v>82</v>
      </c>
      <c r="E3014" s="2">
        <v>51</v>
      </c>
      <c r="F3014" s="2">
        <v>1791.1</v>
      </c>
      <c r="G3014" s="1">
        <v>46233</v>
      </c>
    </row>
    <row r="3015" spans="3:6" x14ac:dyDescent="0.25">
      <c r="C3015" s="2" t="s">
        <v>3493</v>
      </c>
      <c r="D3015" s="2" t="s">
        <v>82</v>
      </c>
      <c r="E3015" s="2">
        <v>76</v>
      </c>
      <c r="F3015" s="2">
        <v>1420.506</v>
      </c>
    </row>
    <row r="3016" spans="3:6" x14ac:dyDescent="0.25">
      <c r="C3016" s="2" t="s">
        <v>3494</v>
      </c>
      <c r="D3016" s="2" t="s">
        <v>82</v>
      </c>
      <c r="E3016" s="2">
        <v>71</v>
      </c>
      <c r="F3016" s="2">
        <v>2483.779</v>
      </c>
    </row>
    <row r="3017" spans="3:6" x14ac:dyDescent="0.25">
      <c r="C3017" s="2" t="s">
        <v>3495</v>
      </c>
      <c r="D3017" s="2" t="s">
        <v>82</v>
      </c>
      <c r="E3017" s="2">
        <v>80</v>
      </c>
      <c r="F3017" s="2">
        <v>1506.02</v>
      </c>
    </row>
    <row r="3018" spans="3:6" x14ac:dyDescent="0.25">
      <c r="C3018" s="2" t="s">
        <v>3496</v>
      </c>
      <c r="D3018" s="2" t="s">
        <v>82</v>
      </c>
      <c r="E3018" s="2">
        <v>30</v>
      </c>
      <c r="F3018" s="2">
        <v>550.26</v>
      </c>
    </row>
    <row r="3019" spans="3:6" x14ac:dyDescent="0.25">
      <c r="C3019" s="2" t="s">
        <v>3497</v>
      </c>
      <c r="D3019" s="2" t="s">
        <v>82</v>
      </c>
      <c r="E3019" s="2">
        <v>16</v>
      </c>
      <c r="F3019" s="2">
        <v>312.63</v>
      </c>
    </row>
    <row r="3020" spans="3:6" x14ac:dyDescent="0.25">
      <c r="C3020" s="2" t="s">
        <v>3498</v>
      </c>
      <c r="D3020" s="2" t="s">
        <v>82</v>
      </c>
      <c r="E3020" s="2">
        <v>15</v>
      </c>
      <c r="F3020" s="2">
        <v>252.259</v>
      </c>
    </row>
    <row r="3021" spans="3:6" x14ac:dyDescent="0.25">
      <c r="C3021" s="2" t="s">
        <v>3499</v>
      </c>
      <c r="D3021" s="2" t="s">
        <v>82</v>
      </c>
      <c r="E3021" s="2">
        <v>31</v>
      </c>
      <c r="F3021" s="2">
        <v>527.92</v>
      </c>
    </row>
    <row r="3022" spans="3:6" x14ac:dyDescent="0.25">
      <c r="C3022" s="2" t="s">
        <v>3500</v>
      </c>
      <c r="D3022" s="2" t="s">
        <v>82</v>
      </c>
      <c r="E3022" s="2">
        <v>30</v>
      </c>
      <c r="F3022" s="2">
        <v>585.689</v>
      </c>
    </row>
    <row r="3023" spans="3:6" x14ac:dyDescent="0.25">
      <c r="C3023" s="2" t="s">
        <v>3501</v>
      </c>
      <c r="D3023" s="2" t="s">
        <v>82</v>
      </c>
      <c r="E3023" s="2">
        <v>80</v>
      </c>
      <c r="F3023" s="2">
        <v>1381.52</v>
      </c>
    </row>
    <row r="3024" spans="3:6" x14ac:dyDescent="0.25">
      <c r="C3024" s="2" t="s">
        <v>3502</v>
      </c>
      <c r="D3024" s="2" t="s">
        <v>82</v>
      </c>
      <c r="E3024" s="2">
        <v>49</v>
      </c>
      <c r="F3024" s="2">
        <v>985.549</v>
      </c>
    </row>
    <row r="3025" spans="3:6" x14ac:dyDescent="0.25">
      <c r="C3025" s="2" t="s">
        <v>3503</v>
      </c>
      <c r="D3025" s="2" t="s">
        <v>82</v>
      </c>
      <c r="E3025" s="2">
        <v>12</v>
      </c>
      <c r="F3025" s="2">
        <v>235.35</v>
      </c>
    </row>
    <row r="3026" spans="3:6" x14ac:dyDescent="0.25">
      <c r="C3026" s="2" t="s">
        <v>3504</v>
      </c>
      <c r="D3026" s="2" t="s">
        <v>82</v>
      </c>
      <c r="E3026" s="2">
        <v>14</v>
      </c>
      <c r="F3026" s="2">
        <v>253.47</v>
      </c>
    </row>
    <row r="3027" spans="3:6" x14ac:dyDescent="0.25">
      <c r="C3027" s="2" t="s">
        <v>3505</v>
      </c>
      <c r="D3027" s="2" t="s">
        <v>82</v>
      </c>
      <c r="E3027" s="2">
        <v>99</v>
      </c>
      <c r="F3027" s="2">
        <v>1864.129</v>
      </c>
    </row>
    <row r="3028" spans="3:6" x14ac:dyDescent="0.25">
      <c r="C3028" s="2" t="s">
        <v>3506</v>
      </c>
      <c r="D3028" s="2" t="s">
        <v>82</v>
      </c>
      <c r="E3028" s="2">
        <v>48</v>
      </c>
      <c r="F3028" s="2">
        <v>219.459</v>
      </c>
    </row>
    <row r="3029" spans="3:6" x14ac:dyDescent="0.25">
      <c r="C3029" s="2" t="s">
        <v>3507</v>
      </c>
      <c r="D3029" s="2" t="s">
        <v>82</v>
      </c>
      <c r="E3029" s="2">
        <v>81</v>
      </c>
      <c r="F3029" s="2">
        <v>369.957</v>
      </c>
    </row>
    <row r="3030" spans="3:6" x14ac:dyDescent="0.25">
      <c r="C3030" s="2" t="s">
        <v>3508</v>
      </c>
      <c r="D3030" s="2" t="s">
        <v>82</v>
      </c>
      <c r="E3030" s="2">
        <v>34</v>
      </c>
      <c r="F3030" s="2">
        <v>685.55</v>
      </c>
    </row>
    <row r="3031" spans="3:6" x14ac:dyDescent="0.25">
      <c r="C3031" s="2" t="s">
        <v>3509</v>
      </c>
      <c r="D3031" s="2" t="s">
        <v>82</v>
      </c>
      <c r="E3031" s="2">
        <v>60</v>
      </c>
      <c r="F3031" s="2">
        <v>1159.539</v>
      </c>
    </row>
    <row r="3032" spans="3:6" x14ac:dyDescent="0.25">
      <c r="C3032" s="2" t="s">
        <v>3510</v>
      </c>
      <c r="D3032" s="2" t="s">
        <v>82</v>
      </c>
      <c r="E3032" s="2">
        <v>40</v>
      </c>
      <c r="F3032" s="2">
        <v>798.49</v>
      </c>
    </row>
    <row r="3033" spans="3:6" x14ac:dyDescent="0.25">
      <c r="C3033" s="2" t="s">
        <v>3511</v>
      </c>
      <c r="D3033" s="2" t="s">
        <v>82</v>
      </c>
      <c r="E3033" s="2">
        <v>44</v>
      </c>
      <c r="F3033" s="2">
        <v>754.42</v>
      </c>
    </row>
    <row r="3034" spans="3:6" x14ac:dyDescent="0.25">
      <c r="C3034" s="2" t="s">
        <v>3512</v>
      </c>
      <c r="D3034" s="2" t="s">
        <v>82</v>
      </c>
      <c r="E3034" s="2">
        <v>78</v>
      </c>
      <c r="F3034" s="2">
        <v>1605.21</v>
      </c>
    </row>
    <row r="3035" spans="3:6" x14ac:dyDescent="0.25">
      <c r="C3035" s="2" t="s">
        <v>3513</v>
      </c>
      <c r="D3035" s="2" t="s">
        <v>82</v>
      </c>
      <c r="E3035" s="2">
        <v>34</v>
      </c>
      <c r="F3035" s="2">
        <v>659.2</v>
      </c>
    </row>
    <row r="3036" spans="3:6" x14ac:dyDescent="0.25">
      <c r="C3036" s="2" t="s">
        <v>3514</v>
      </c>
      <c r="D3036" s="2" t="s">
        <v>82</v>
      </c>
      <c r="E3036" s="2">
        <v>87</v>
      </c>
      <c r="F3036" s="2">
        <v>1811.16</v>
      </c>
    </row>
    <row r="3037" spans="3:6" x14ac:dyDescent="0.25">
      <c r="C3037" s="2" t="s">
        <v>3515</v>
      </c>
      <c r="D3037" s="2" t="s">
        <v>82</v>
      </c>
      <c r="E3037" s="2">
        <v>102</v>
      </c>
      <c r="F3037" s="2">
        <v>2119.64</v>
      </c>
    </row>
    <row r="3038" spans="3:6" x14ac:dyDescent="0.25">
      <c r="C3038" s="2" t="s">
        <v>3516</v>
      </c>
      <c r="D3038" s="2" t="s">
        <v>82</v>
      </c>
      <c r="E3038" s="2">
        <v>16</v>
      </c>
      <c r="F3038" s="2">
        <v>594.24</v>
      </c>
    </row>
    <row r="3039" spans="3:6" x14ac:dyDescent="0.25">
      <c r="C3039" s="2" t="s">
        <v>3517</v>
      </c>
      <c r="D3039" s="2" t="s">
        <v>82</v>
      </c>
      <c r="E3039" s="2">
        <v>44</v>
      </c>
      <c r="F3039" s="2">
        <v>861.143</v>
      </c>
    </row>
    <row r="3040" spans="3:6" x14ac:dyDescent="0.25">
      <c r="C3040" s="2" t="s">
        <v>3518</v>
      </c>
      <c r="D3040" s="2" t="s">
        <v>82</v>
      </c>
      <c r="E3040" s="2">
        <v>68</v>
      </c>
      <c r="F3040" s="2">
        <v>1153.919</v>
      </c>
    </row>
    <row r="3041" spans="3:6" x14ac:dyDescent="0.25">
      <c r="C3041" s="2" t="s">
        <v>3519</v>
      </c>
      <c r="D3041" s="2" t="s">
        <v>82</v>
      </c>
      <c r="E3041" s="2">
        <v>40</v>
      </c>
      <c r="F3041" s="2">
        <v>777.779</v>
      </c>
    </row>
    <row r="3042" spans="3:6" x14ac:dyDescent="0.25">
      <c r="C3042" s="2" t="s">
        <v>3520</v>
      </c>
      <c r="D3042" s="2" t="s">
        <v>82</v>
      </c>
      <c r="E3042" s="2">
        <v>141</v>
      </c>
      <c r="F3042" s="2">
        <v>2902.4</v>
      </c>
    </row>
    <row r="3043" spans="3:6" x14ac:dyDescent="0.25">
      <c r="C3043" s="2" t="s">
        <v>3521</v>
      </c>
      <c r="D3043" s="2" t="s">
        <v>82</v>
      </c>
      <c r="E3043" s="2">
        <v>121</v>
      </c>
      <c r="F3043" s="2">
        <v>2423.269</v>
      </c>
    </row>
    <row r="3044" spans="3:6" x14ac:dyDescent="0.25">
      <c r="C3044" s="2" t="s">
        <v>3522</v>
      </c>
      <c r="D3044" s="2" t="s">
        <v>82</v>
      </c>
      <c r="E3044" s="2">
        <v>141</v>
      </c>
      <c r="F3044" s="2">
        <v>2929.74</v>
      </c>
    </row>
    <row r="3045" spans="3:6" x14ac:dyDescent="0.25">
      <c r="C3045" s="2" t="s">
        <v>3523</v>
      </c>
      <c r="D3045" s="2" t="s">
        <v>82</v>
      </c>
      <c r="E3045" s="2">
        <v>141</v>
      </c>
      <c r="F3045" s="2">
        <v>2929.3</v>
      </c>
    </row>
    <row r="3046" spans="3:6" x14ac:dyDescent="0.25">
      <c r="C3046" s="2" t="s">
        <v>3524</v>
      </c>
      <c r="D3046" s="2" t="s">
        <v>82</v>
      </c>
      <c r="E3046" s="2">
        <v>141</v>
      </c>
      <c r="F3046" s="2">
        <v>2944.71</v>
      </c>
    </row>
    <row r="3047" spans="3:6" x14ac:dyDescent="0.25">
      <c r="C3047" s="2" t="s">
        <v>3525</v>
      </c>
      <c r="D3047" s="2" t="s">
        <v>82</v>
      </c>
      <c r="E3047" s="2">
        <v>141</v>
      </c>
      <c r="F3047" s="2">
        <v>2735.628</v>
      </c>
    </row>
    <row r="3048" spans="3:6" x14ac:dyDescent="0.25">
      <c r="C3048" s="2" t="s">
        <v>3526</v>
      </c>
      <c r="D3048" s="2" t="s">
        <v>82</v>
      </c>
      <c r="E3048" s="2">
        <v>141</v>
      </c>
      <c r="F3048" s="2">
        <v>2834.59</v>
      </c>
    </row>
    <row r="3049" spans="3:6" x14ac:dyDescent="0.25">
      <c r="C3049" s="2" t="s">
        <v>3527</v>
      </c>
      <c r="D3049" s="2" t="s">
        <v>82</v>
      </c>
      <c r="E3049" s="2">
        <v>141</v>
      </c>
      <c r="F3049" s="2">
        <v>2854.85</v>
      </c>
    </row>
    <row r="3050" spans="3:6" x14ac:dyDescent="0.25">
      <c r="C3050" s="2" t="s">
        <v>3528</v>
      </c>
      <c r="D3050" s="2" t="s">
        <v>82</v>
      </c>
      <c r="E3050" s="2">
        <v>98</v>
      </c>
      <c r="F3050" s="2">
        <v>1913.79</v>
      </c>
    </row>
    <row r="3051" spans="3:6" x14ac:dyDescent="0.25">
      <c r="C3051" s="2" t="s">
        <v>3529</v>
      </c>
      <c r="D3051" s="2" t="s">
        <v>82</v>
      </c>
      <c r="E3051" s="2">
        <v>43</v>
      </c>
      <c r="F3051" s="2">
        <v>872.11</v>
      </c>
    </row>
    <row r="3052" spans="3:6" x14ac:dyDescent="0.25">
      <c r="C3052" s="2" t="s">
        <v>3530</v>
      </c>
      <c r="D3052" s="2" t="s">
        <v>82</v>
      </c>
      <c r="E3052" s="2">
        <v>36</v>
      </c>
      <c r="F3052" s="2">
        <v>721.45</v>
      </c>
    </row>
    <row r="3053" spans="3:6" x14ac:dyDescent="0.25">
      <c r="C3053" s="2" t="s">
        <v>3531</v>
      </c>
      <c r="D3053" s="2" t="s">
        <v>82</v>
      </c>
      <c r="E3053" s="2">
        <v>30</v>
      </c>
      <c r="F3053" s="2">
        <v>604.26</v>
      </c>
    </row>
    <row r="3054" spans="3:6" x14ac:dyDescent="0.25">
      <c r="C3054" s="2" t="s">
        <v>3532</v>
      </c>
      <c r="D3054" s="2" t="s">
        <v>82</v>
      </c>
      <c r="E3054" s="2">
        <v>58</v>
      </c>
      <c r="F3054" s="2">
        <v>1178.35</v>
      </c>
    </row>
    <row r="3055" spans="3:6" x14ac:dyDescent="0.25">
      <c r="C3055" s="2" t="s">
        <v>3533</v>
      </c>
      <c r="D3055" s="2" t="s">
        <v>82</v>
      </c>
      <c r="E3055" s="2">
        <v>17</v>
      </c>
      <c r="F3055" s="2">
        <v>338.04</v>
      </c>
    </row>
    <row r="3057" spans="1:7" x14ac:dyDescent="0.25">
      <c r="A3057" s="1">
        <v>46234</v>
      </c>
      <c r="B3057" s="2" t="s">
        <v>897</v>
      </c>
      <c r="C3057" s="2" t="s">
        <v>3534</v>
      </c>
      <c r="D3057" s="2" t="s">
        <v>292</v>
      </c>
      <c r="E3057" s="2">
        <v>32</v>
      </c>
      <c r="F3057" s="2">
        <v>669.21</v>
      </c>
      <c r="G3057" s="1">
        <v>46233</v>
      </c>
    </row>
    <row r="3058" spans="3:6" x14ac:dyDescent="0.25">
      <c r="C3058" s="2" t="s">
        <v>3535</v>
      </c>
      <c r="D3058" s="2" t="s">
        <v>292</v>
      </c>
      <c r="E3058" s="2">
        <v>44</v>
      </c>
      <c r="F3058" s="2">
        <v>859.579</v>
      </c>
    </row>
    <row r="3059" spans="3:6" x14ac:dyDescent="0.25">
      <c r="C3059" s="2" t="s">
        <v>3536</v>
      </c>
      <c r="D3059" s="2" t="s">
        <v>292</v>
      </c>
      <c r="E3059" s="2">
        <v>46</v>
      </c>
      <c r="F3059" s="2">
        <v>917.74</v>
      </c>
    </row>
    <row r="3060" spans="3:6" x14ac:dyDescent="0.25">
      <c r="C3060" s="2" t="s">
        <v>3537</v>
      </c>
      <c r="D3060" s="2" t="s">
        <v>292</v>
      </c>
      <c r="E3060" s="2">
        <v>108</v>
      </c>
      <c r="F3060" s="2">
        <v>2164.55</v>
      </c>
    </row>
    <row r="3061" spans="3:6" x14ac:dyDescent="0.25">
      <c r="C3061" s="2" t="s">
        <v>3538</v>
      </c>
      <c r="D3061" s="2" t="s">
        <v>292</v>
      </c>
      <c r="E3061" s="2">
        <v>15</v>
      </c>
      <c r="F3061" s="2">
        <v>320</v>
      </c>
    </row>
    <row r="3062" spans="3:6" x14ac:dyDescent="0.25">
      <c r="C3062" s="2" t="s">
        <v>3539</v>
      </c>
      <c r="D3062" s="2" t="s">
        <v>292</v>
      </c>
      <c r="E3062" s="2">
        <v>123</v>
      </c>
      <c r="F3062" s="2">
        <v>2411.43</v>
      </c>
    </row>
    <row r="3063" spans="3:6" x14ac:dyDescent="0.25">
      <c r="C3063" s="2" t="s">
        <v>3540</v>
      </c>
      <c r="D3063" s="2" t="s">
        <v>292</v>
      </c>
      <c r="E3063" s="2">
        <v>124</v>
      </c>
      <c r="F3063" s="2">
        <v>2354.07</v>
      </c>
    </row>
    <row r="3064" spans="3:6" x14ac:dyDescent="0.25">
      <c r="C3064" s="2" t="s">
        <v>3541</v>
      </c>
      <c r="D3064" s="2" t="s">
        <v>292</v>
      </c>
      <c r="E3064" s="2">
        <v>142</v>
      </c>
      <c r="F3064" s="2">
        <v>2647.279</v>
      </c>
    </row>
    <row r="3065" spans="3:6" x14ac:dyDescent="0.25">
      <c r="C3065" s="2" t="s">
        <v>3542</v>
      </c>
      <c r="D3065" s="2" t="s">
        <v>292</v>
      </c>
      <c r="E3065" s="2">
        <v>100</v>
      </c>
      <c r="F3065" s="2">
        <v>1991.03</v>
      </c>
    </row>
    <row r="3066" spans="3:6" x14ac:dyDescent="0.25">
      <c r="C3066" s="2" t="s">
        <v>3543</v>
      </c>
      <c r="D3066" s="2" t="s">
        <v>292</v>
      </c>
      <c r="E3066" s="2">
        <v>20</v>
      </c>
      <c r="F3066" s="2">
        <v>362.55</v>
      </c>
    </row>
    <row r="3067" spans="3:6" x14ac:dyDescent="0.25">
      <c r="C3067" s="2" t="s">
        <v>3544</v>
      </c>
      <c r="D3067" s="2" t="s">
        <v>292</v>
      </c>
      <c r="E3067" s="2">
        <v>21</v>
      </c>
      <c r="F3067" s="2">
        <v>415.34</v>
      </c>
    </row>
    <row r="3068" spans="3:6" x14ac:dyDescent="0.25">
      <c r="C3068" s="2" t="s">
        <v>3545</v>
      </c>
      <c r="D3068" s="2" t="s">
        <v>292</v>
      </c>
      <c r="E3068" s="2">
        <v>50</v>
      </c>
      <c r="F3068" s="2">
        <v>240.89</v>
      </c>
    </row>
    <row r="3069" spans="3:6" x14ac:dyDescent="0.25">
      <c r="C3069" s="2" t="s">
        <v>3546</v>
      </c>
      <c r="D3069" s="2" t="s">
        <v>292</v>
      </c>
      <c r="E3069" s="2">
        <v>141</v>
      </c>
      <c r="F3069" s="2">
        <v>3080.97</v>
      </c>
    </row>
    <row r="3070" spans="3:6" x14ac:dyDescent="0.25">
      <c r="C3070" s="2" t="s">
        <v>3547</v>
      </c>
      <c r="D3070" s="2" t="s">
        <v>292</v>
      </c>
      <c r="E3070" s="2">
        <v>141</v>
      </c>
      <c r="F3070" s="2">
        <v>3066.83</v>
      </c>
    </row>
    <row r="3071" spans="3:6" x14ac:dyDescent="0.25">
      <c r="C3071" s="2" t="s">
        <v>3548</v>
      </c>
      <c r="D3071" s="2" t="s">
        <v>292</v>
      </c>
      <c r="E3071" s="2">
        <v>141</v>
      </c>
      <c r="F3071" s="2">
        <v>2785.22</v>
      </c>
    </row>
    <row r="3072" spans="3:6" x14ac:dyDescent="0.25">
      <c r="C3072" s="2" t="s">
        <v>3549</v>
      </c>
      <c r="D3072" s="2" t="s">
        <v>292</v>
      </c>
      <c r="E3072" s="2">
        <v>141</v>
      </c>
      <c r="F3072" s="2">
        <v>2677.609</v>
      </c>
    </row>
    <row r="3073" spans="3:6" x14ac:dyDescent="0.25">
      <c r="C3073" s="2" t="s">
        <v>3550</v>
      </c>
      <c r="D3073" s="2" t="s">
        <v>292</v>
      </c>
      <c r="E3073" s="2">
        <v>60</v>
      </c>
      <c r="F3073" s="2">
        <v>294.68</v>
      </c>
    </row>
    <row r="3074" spans="3:6" x14ac:dyDescent="0.25">
      <c r="C3074" s="2" t="s">
        <v>3551</v>
      </c>
      <c r="D3074" s="2" t="s">
        <v>292</v>
      </c>
      <c r="E3074" s="2">
        <v>141</v>
      </c>
      <c r="F3074" s="2">
        <v>2775.11</v>
      </c>
    </row>
    <row r="3075" spans="3:6" x14ac:dyDescent="0.25">
      <c r="C3075" s="2" t="s">
        <v>3552</v>
      </c>
      <c r="D3075" s="2" t="s">
        <v>292</v>
      </c>
      <c r="E3075" s="2">
        <v>86</v>
      </c>
      <c r="F3075" s="2">
        <v>1871.66</v>
      </c>
    </row>
    <row r="3076" spans="3:6" x14ac:dyDescent="0.25">
      <c r="C3076" s="2" t="s">
        <v>3553</v>
      </c>
      <c r="D3076" s="2" t="s">
        <v>292</v>
      </c>
      <c r="E3076" s="2">
        <v>55</v>
      </c>
      <c r="F3076" s="2">
        <v>1073.189</v>
      </c>
    </row>
    <row r="3077" spans="3:6" x14ac:dyDescent="0.25">
      <c r="C3077" s="2" t="s">
        <v>3554</v>
      </c>
      <c r="D3077" s="2" t="s">
        <v>292</v>
      </c>
      <c r="E3077" s="2">
        <v>51</v>
      </c>
      <c r="F3077" s="2">
        <v>1058.65</v>
      </c>
    </row>
    <row r="3078" spans="3:6" x14ac:dyDescent="0.25">
      <c r="C3078" s="2" t="s">
        <v>3555</v>
      </c>
      <c r="D3078" s="2" t="s">
        <v>292</v>
      </c>
      <c r="E3078" s="2">
        <v>40</v>
      </c>
      <c r="F3078" s="2">
        <v>818.93</v>
      </c>
    </row>
    <row r="3079" spans="3:6" x14ac:dyDescent="0.25">
      <c r="C3079" s="2" t="s">
        <v>3556</v>
      </c>
      <c r="D3079" s="2" t="s">
        <v>292</v>
      </c>
      <c r="E3079" s="2">
        <v>49</v>
      </c>
      <c r="F3079" s="2">
        <v>1014.77</v>
      </c>
    </row>
    <row r="3080" spans="3:6" x14ac:dyDescent="0.25">
      <c r="C3080" s="2" t="s">
        <v>3557</v>
      </c>
      <c r="D3080" s="2" t="s">
        <v>292</v>
      </c>
      <c r="E3080" s="2">
        <v>79</v>
      </c>
      <c r="F3080" s="2">
        <v>1474.19</v>
      </c>
    </row>
    <row r="3081" spans="3:6" x14ac:dyDescent="0.25">
      <c r="C3081" s="2" t="s">
        <v>3558</v>
      </c>
      <c r="D3081" s="2" t="s">
        <v>292</v>
      </c>
      <c r="E3081" s="2">
        <v>45</v>
      </c>
      <c r="F3081" s="2">
        <v>897.88</v>
      </c>
    </row>
    <row r="3082" spans="3:6" x14ac:dyDescent="0.25">
      <c r="C3082" s="2" t="s">
        <v>3559</v>
      </c>
      <c r="D3082" s="2" t="s">
        <v>292</v>
      </c>
      <c r="E3082" s="2">
        <v>17</v>
      </c>
      <c r="F3082" s="2">
        <v>362.61</v>
      </c>
    </row>
    <row r="3083" spans="3:6" x14ac:dyDescent="0.25">
      <c r="C3083" s="2" t="s">
        <v>3560</v>
      </c>
      <c r="D3083" s="2" t="s">
        <v>292</v>
      </c>
      <c r="E3083" s="2">
        <v>60</v>
      </c>
      <c r="F3083" s="2">
        <v>287.77</v>
      </c>
    </row>
    <row r="3084" spans="3:6" x14ac:dyDescent="0.25">
      <c r="C3084" s="2" t="s">
        <v>3561</v>
      </c>
      <c r="D3084" s="2" t="s">
        <v>292</v>
      </c>
      <c r="E3084" s="2">
        <v>93</v>
      </c>
      <c r="F3084" s="2">
        <v>1835.84</v>
      </c>
    </row>
    <row r="3085" spans="3:6" x14ac:dyDescent="0.25">
      <c r="C3085" s="2" t="s">
        <v>3562</v>
      </c>
      <c r="D3085" s="2" t="s">
        <v>292</v>
      </c>
      <c r="E3085" s="2">
        <v>41</v>
      </c>
      <c r="F3085" s="2">
        <v>757.42</v>
      </c>
    </row>
    <row r="3086" spans="3:6" x14ac:dyDescent="0.25">
      <c r="C3086" s="2" t="s">
        <v>3563</v>
      </c>
      <c r="D3086" s="2" t="s">
        <v>292</v>
      </c>
      <c r="E3086" s="2">
        <v>35</v>
      </c>
      <c r="F3086" s="2">
        <v>622.21</v>
      </c>
    </row>
    <row r="3087" spans="3:6" x14ac:dyDescent="0.25">
      <c r="C3087" s="2" t="s">
        <v>3564</v>
      </c>
      <c r="D3087" s="2" t="s">
        <v>292</v>
      </c>
      <c r="E3087" s="2">
        <v>65</v>
      </c>
      <c r="F3087" s="2">
        <v>1232.09</v>
      </c>
    </row>
    <row r="3088" spans="3:6" x14ac:dyDescent="0.25">
      <c r="C3088" s="2" t="s">
        <v>3565</v>
      </c>
      <c r="D3088" s="2" t="s">
        <v>292</v>
      </c>
      <c r="E3088" s="2">
        <v>11</v>
      </c>
      <c r="F3088" s="2">
        <v>110.06</v>
      </c>
    </row>
    <row r="3089" spans="3:6" x14ac:dyDescent="0.25">
      <c r="C3089" s="2" t="s">
        <v>3566</v>
      </c>
      <c r="D3089" s="2" t="s">
        <v>292</v>
      </c>
      <c r="E3089" s="2">
        <v>36</v>
      </c>
      <c r="F3089" s="2">
        <v>707.4</v>
      </c>
    </row>
    <row r="3090" spans="3:6" x14ac:dyDescent="0.25">
      <c r="C3090" s="2" t="s">
        <v>3567</v>
      </c>
      <c r="D3090" s="2" t="s">
        <v>292</v>
      </c>
      <c r="E3090" s="2">
        <v>13</v>
      </c>
      <c r="F3090" s="2">
        <v>193.35</v>
      </c>
    </row>
    <row r="3091" spans="3:6" x14ac:dyDescent="0.25">
      <c r="C3091" s="2" t="s">
        <v>3568</v>
      </c>
      <c r="D3091" s="2" t="s">
        <v>292</v>
      </c>
      <c r="E3091" s="2">
        <v>43</v>
      </c>
      <c r="F3091" s="2">
        <v>748.23</v>
      </c>
    </row>
    <row r="3092" spans="3:6" x14ac:dyDescent="0.25">
      <c r="C3092" s="2" t="s">
        <v>3569</v>
      </c>
      <c r="D3092" s="2" t="s">
        <v>292</v>
      </c>
      <c r="E3092" s="2">
        <v>100</v>
      </c>
      <c r="F3092" s="2">
        <v>1829.539</v>
      </c>
    </row>
    <row r="3093" spans="3:6" x14ac:dyDescent="0.25">
      <c r="C3093" s="2" t="s">
        <v>3570</v>
      </c>
      <c r="D3093" s="2" t="s">
        <v>292</v>
      </c>
      <c r="E3093" s="2">
        <v>43</v>
      </c>
      <c r="F3093" s="2">
        <v>841.68</v>
      </c>
    </row>
    <row r="3094" spans="3:6" x14ac:dyDescent="0.25">
      <c r="C3094" s="2" t="s">
        <v>3571</v>
      </c>
      <c r="D3094" s="2" t="s">
        <v>292</v>
      </c>
      <c r="E3094" s="2">
        <v>36</v>
      </c>
      <c r="F3094" s="2">
        <v>553.44</v>
      </c>
    </row>
    <row r="3095" spans="3:6" x14ac:dyDescent="0.25">
      <c r="C3095" s="2" t="s">
        <v>3572</v>
      </c>
      <c r="D3095" s="2" t="s">
        <v>292</v>
      </c>
      <c r="E3095" s="2">
        <v>21</v>
      </c>
      <c r="F3095" s="2">
        <v>381.867</v>
      </c>
    </row>
    <row r="3096" spans="3:6" x14ac:dyDescent="0.25">
      <c r="C3096" s="2" t="s">
        <v>3573</v>
      </c>
      <c r="D3096" s="2" t="s">
        <v>292</v>
      </c>
      <c r="E3096" s="2">
        <v>10</v>
      </c>
      <c r="F3096" s="2">
        <v>191.46</v>
      </c>
    </row>
    <row r="3097" spans="3:6" x14ac:dyDescent="0.25">
      <c r="C3097" s="2" t="s">
        <v>3574</v>
      </c>
      <c r="D3097" s="2" t="s">
        <v>292</v>
      </c>
      <c r="E3097" s="2">
        <v>65</v>
      </c>
      <c r="F3097" s="2">
        <v>1222.24</v>
      </c>
    </row>
    <row r="3098" spans="3:6" x14ac:dyDescent="0.25">
      <c r="C3098" s="2" t="s">
        <v>3575</v>
      </c>
      <c r="D3098" s="2" t="s">
        <v>292</v>
      </c>
      <c r="E3098" s="2">
        <v>43</v>
      </c>
      <c r="F3098" s="2">
        <v>864.01</v>
      </c>
    </row>
    <row r="3099" spans="3:6" x14ac:dyDescent="0.25">
      <c r="C3099" s="2" t="s">
        <v>3576</v>
      </c>
      <c r="D3099" s="2" t="s">
        <v>292</v>
      </c>
      <c r="E3099" s="2">
        <v>61</v>
      </c>
      <c r="F3099" s="2">
        <v>1026.62</v>
      </c>
    </row>
    <row r="3100" spans="3:6" x14ac:dyDescent="0.25">
      <c r="C3100" s="2" t="s">
        <v>3577</v>
      </c>
      <c r="D3100" s="2" t="s">
        <v>292</v>
      </c>
      <c r="E3100" s="2">
        <v>21</v>
      </c>
      <c r="F3100" s="2">
        <v>394.12</v>
      </c>
    </row>
    <row r="3101" spans="3:6" x14ac:dyDescent="0.25">
      <c r="C3101" s="2" t="s">
        <v>3578</v>
      </c>
      <c r="D3101" s="2" t="s">
        <v>292</v>
      </c>
      <c r="E3101" s="2">
        <v>16</v>
      </c>
      <c r="F3101" s="2">
        <v>299.74</v>
      </c>
    </row>
    <row r="3102" spans="3:6" x14ac:dyDescent="0.25">
      <c r="C3102" s="2" t="s">
        <v>3579</v>
      </c>
      <c r="D3102" s="2" t="s">
        <v>292</v>
      </c>
      <c r="E3102" s="2">
        <v>54</v>
      </c>
      <c r="F3102" s="2">
        <v>1046.86</v>
      </c>
    </row>
    <row r="3103" spans="3:6" x14ac:dyDescent="0.25">
      <c r="C3103" s="2" t="s">
        <v>3580</v>
      </c>
      <c r="D3103" s="2" t="s">
        <v>292</v>
      </c>
      <c r="E3103" s="2">
        <v>23</v>
      </c>
      <c r="F3103" s="2">
        <v>398.74</v>
      </c>
    </row>
    <row r="3104" spans="3:6" x14ac:dyDescent="0.25">
      <c r="C3104" s="2" t="s">
        <v>3581</v>
      </c>
      <c r="D3104" s="2" t="s">
        <v>292</v>
      </c>
      <c r="E3104" s="2">
        <v>39</v>
      </c>
      <c r="F3104" s="2">
        <v>746.53</v>
      </c>
    </row>
    <row r="3105" spans="3:6" x14ac:dyDescent="0.25">
      <c r="C3105" s="2" t="s">
        <v>3582</v>
      </c>
      <c r="D3105" s="2" t="s">
        <v>292</v>
      </c>
      <c r="E3105" s="2">
        <v>25</v>
      </c>
      <c r="F3105" s="2">
        <v>578.54</v>
      </c>
    </row>
    <row r="3106" spans="3:6" x14ac:dyDescent="0.25">
      <c r="C3106" s="2" t="s">
        <v>3583</v>
      </c>
      <c r="D3106" s="2" t="s">
        <v>292</v>
      </c>
      <c r="E3106" s="2">
        <v>53</v>
      </c>
      <c r="F3106" s="2">
        <v>1127.46</v>
      </c>
    </row>
    <row r="3107" spans="3:6" x14ac:dyDescent="0.25">
      <c r="C3107" s="2" t="s">
        <v>3584</v>
      </c>
      <c r="D3107" s="2" t="s">
        <v>292</v>
      </c>
      <c r="E3107" s="2">
        <v>20</v>
      </c>
      <c r="F3107" s="2">
        <v>341.71</v>
      </c>
    </row>
    <row r="3108" spans="3:6" x14ac:dyDescent="0.25">
      <c r="C3108" s="2" t="s">
        <v>3585</v>
      </c>
      <c r="D3108" s="2" t="s">
        <v>292</v>
      </c>
      <c r="E3108" s="2">
        <v>20</v>
      </c>
      <c r="F3108" s="2">
        <v>327.71</v>
      </c>
    </row>
    <row r="3109" spans="3:6" x14ac:dyDescent="0.25">
      <c r="C3109" s="2" t="s">
        <v>3586</v>
      </c>
      <c r="D3109" s="2" t="s">
        <v>292</v>
      </c>
      <c r="E3109" s="2">
        <v>7</v>
      </c>
      <c r="F3109" s="2">
        <v>128.82</v>
      </c>
    </row>
    <row r="3110" spans="3:6" x14ac:dyDescent="0.25">
      <c r="C3110" s="2" t="s">
        <v>3587</v>
      </c>
      <c r="D3110" s="2" t="s">
        <v>292</v>
      </c>
      <c r="E3110" s="2">
        <v>42</v>
      </c>
      <c r="F3110" s="2">
        <v>781.009</v>
      </c>
    </row>
    <row r="3111" spans="3:6" x14ac:dyDescent="0.25">
      <c r="C3111" s="2" t="s">
        <v>3588</v>
      </c>
      <c r="D3111" s="2" t="s">
        <v>292</v>
      </c>
      <c r="E3111" s="2">
        <v>58</v>
      </c>
      <c r="F3111" s="2">
        <v>1039.679</v>
      </c>
    </row>
    <row r="3112" spans="3:6" x14ac:dyDescent="0.25">
      <c r="C3112" s="2" t="s">
        <v>3589</v>
      </c>
      <c r="D3112" s="2" t="s">
        <v>292</v>
      </c>
      <c r="E3112" s="2">
        <v>28</v>
      </c>
      <c r="F3112" s="2">
        <v>521.39</v>
      </c>
    </row>
    <row r="3113" spans="3:6" x14ac:dyDescent="0.25">
      <c r="C3113" s="2" t="s">
        <v>3590</v>
      </c>
      <c r="D3113" s="2" t="s">
        <v>292</v>
      </c>
      <c r="E3113" s="2">
        <v>35</v>
      </c>
      <c r="F3113" s="2">
        <v>653.99</v>
      </c>
    </row>
    <row r="3114" spans="3:6" x14ac:dyDescent="0.25">
      <c r="C3114" s="2" t="s">
        <v>3591</v>
      </c>
      <c r="D3114" s="2" t="s">
        <v>292</v>
      </c>
      <c r="E3114" s="2">
        <v>28</v>
      </c>
      <c r="F3114" s="2">
        <v>529.04</v>
      </c>
    </row>
    <row r="3115" spans="3:6" x14ac:dyDescent="0.25">
      <c r="C3115" s="2" t="s">
        <v>3592</v>
      </c>
      <c r="D3115" s="2" t="s">
        <v>292</v>
      </c>
      <c r="E3115" s="2">
        <v>9</v>
      </c>
      <c r="F3115" s="2">
        <v>179.12</v>
      </c>
    </row>
    <row r="3116" spans="3:6" x14ac:dyDescent="0.25">
      <c r="C3116" s="2" t="s">
        <v>3593</v>
      </c>
      <c r="D3116" s="2" t="s">
        <v>292</v>
      </c>
      <c r="E3116" s="2">
        <v>103</v>
      </c>
      <c r="F3116" s="2">
        <v>1634</v>
      </c>
    </row>
    <row r="3117" spans="3:6" x14ac:dyDescent="0.25">
      <c r="C3117" s="2" t="s">
        <v>3594</v>
      </c>
      <c r="D3117" s="2" t="s">
        <v>292</v>
      </c>
      <c r="E3117" s="2">
        <v>63</v>
      </c>
      <c r="F3117" s="2">
        <v>1514</v>
      </c>
    </row>
    <row r="3118" spans="3:6" x14ac:dyDescent="0.25">
      <c r="C3118" s="2" t="s">
        <v>3595</v>
      </c>
      <c r="D3118" s="2" t="s">
        <v>292</v>
      </c>
      <c r="E3118" s="2">
        <v>50</v>
      </c>
      <c r="F3118" s="2">
        <v>1080</v>
      </c>
    </row>
    <row r="3120" spans="1:7" x14ac:dyDescent="0.25">
      <c r="A3120" s="1">
        <v>46234</v>
      </c>
      <c r="B3120" s="2" t="s">
        <v>290</v>
      </c>
      <c r="C3120" s="2" t="s">
        <v>3596</v>
      </c>
      <c r="D3120" s="2" t="s">
        <v>178</v>
      </c>
      <c r="E3120" s="2">
        <v>134</v>
      </c>
      <c r="F3120" s="2">
        <v>2693.94</v>
      </c>
      <c r="G3120" s="1">
        <v>46235</v>
      </c>
    </row>
    <row r="3121" spans="3:6" x14ac:dyDescent="0.25">
      <c r="C3121" s="2" t="s">
        <v>3597</v>
      </c>
      <c r="D3121" s="2" t="s">
        <v>178</v>
      </c>
      <c r="E3121" s="2">
        <v>116</v>
      </c>
      <c r="F3121" s="2">
        <v>2337.058</v>
      </c>
    </row>
    <row r="3122" spans="3:6" x14ac:dyDescent="0.25">
      <c r="C3122" s="2" t="s">
        <v>3598</v>
      </c>
      <c r="D3122" s="2" t="s">
        <v>178</v>
      </c>
      <c r="E3122" s="2">
        <v>115</v>
      </c>
      <c r="F3122" s="2">
        <v>2345.929</v>
      </c>
    </row>
    <row r="3123" spans="3:6" x14ac:dyDescent="0.25">
      <c r="C3123" s="2" t="s">
        <v>3599</v>
      </c>
      <c r="D3123" s="2" t="s">
        <v>178</v>
      </c>
      <c r="E3123" s="2">
        <v>103</v>
      </c>
      <c r="F3123" s="2">
        <v>2091.019</v>
      </c>
    </row>
    <row r="3124" spans="3:6" x14ac:dyDescent="0.25">
      <c r="C3124" s="2" t="s">
        <v>3600</v>
      </c>
      <c r="D3124" s="2" t="s">
        <v>178</v>
      </c>
      <c r="E3124" s="2">
        <v>105</v>
      </c>
      <c r="F3124" s="2">
        <v>418.909</v>
      </c>
    </row>
    <row r="3125" spans="3:6" x14ac:dyDescent="0.25">
      <c r="C3125" s="2" t="s">
        <v>3601</v>
      </c>
      <c r="D3125" s="2" t="s">
        <v>178</v>
      </c>
      <c r="E3125" s="2">
        <v>141</v>
      </c>
      <c r="F3125" s="2">
        <v>2925.57</v>
      </c>
    </row>
    <row r="3126" spans="3:6" x14ac:dyDescent="0.25">
      <c r="C3126" s="2" t="s">
        <v>3602</v>
      </c>
      <c r="D3126" s="2" t="s">
        <v>178</v>
      </c>
      <c r="E3126" s="2">
        <v>141</v>
      </c>
      <c r="F3126" s="2">
        <v>2935.73</v>
      </c>
    </row>
    <row r="3127" spans="3:6" x14ac:dyDescent="0.25">
      <c r="C3127" s="2" t="s">
        <v>3603</v>
      </c>
      <c r="D3127" s="2" t="s">
        <v>178</v>
      </c>
      <c r="E3127" s="2">
        <v>123</v>
      </c>
      <c r="F3127" s="2">
        <v>2464.81</v>
      </c>
    </row>
    <row r="3128" spans="3:6" x14ac:dyDescent="0.25">
      <c r="C3128" s="2" t="s">
        <v>3604</v>
      </c>
      <c r="D3128" s="2" t="s">
        <v>178</v>
      </c>
      <c r="E3128" s="2">
        <v>124</v>
      </c>
      <c r="F3128" s="2">
        <v>2342.859</v>
      </c>
    </row>
    <row r="3129" spans="3:6" x14ac:dyDescent="0.25">
      <c r="C3129" s="2" t="s">
        <v>3605</v>
      </c>
      <c r="D3129" s="2" t="s">
        <v>178</v>
      </c>
      <c r="E3129" s="2">
        <v>141</v>
      </c>
      <c r="F3129" s="2">
        <v>2837.53</v>
      </c>
    </row>
    <row r="3130" spans="3:6" x14ac:dyDescent="0.25">
      <c r="C3130" s="2" t="s">
        <v>3606</v>
      </c>
      <c r="D3130" s="2" t="s">
        <v>178</v>
      </c>
      <c r="E3130" s="2">
        <v>141</v>
      </c>
      <c r="F3130" s="2">
        <v>2844.29</v>
      </c>
    </row>
    <row r="3131" spans="3:6" x14ac:dyDescent="0.25">
      <c r="C3131" s="2" t="s">
        <v>3607</v>
      </c>
      <c r="D3131" s="2" t="s">
        <v>178</v>
      </c>
      <c r="E3131" s="2">
        <v>141</v>
      </c>
      <c r="F3131" s="2">
        <v>2915.61</v>
      </c>
    </row>
    <row r="3132" spans="3:6" x14ac:dyDescent="0.25">
      <c r="C3132" s="2" t="s">
        <v>3608</v>
      </c>
      <c r="D3132" s="2" t="s">
        <v>178</v>
      </c>
      <c r="E3132" s="2">
        <v>141</v>
      </c>
      <c r="F3132" s="2">
        <v>2749.1</v>
      </c>
    </row>
    <row r="3133" spans="3:6" x14ac:dyDescent="0.25">
      <c r="C3133" s="2" t="s">
        <v>3609</v>
      </c>
      <c r="D3133" s="2" t="s">
        <v>178</v>
      </c>
      <c r="E3133" s="2">
        <v>141</v>
      </c>
      <c r="F3133" s="2">
        <v>2845.96</v>
      </c>
    </row>
    <row r="3134" spans="3:6" x14ac:dyDescent="0.25">
      <c r="C3134" s="2" t="s">
        <v>3610</v>
      </c>
      <c r="D3134" s="2" t="s">
        <v>178</v>
      </c>
      <c r="E3134" s="2">
        <v>102</v>
      </c>
      <c r="F3134" s="2">
        <v>2071.66</v>
      </c>
    </row>
    <row r="3135" spans="3:6" x14ac:dyDescent="0.25">
      <c r="C3135" s="2" t="s">
        <v>3611</v>
      </c>
      <c r="D3135" s="2" t="s">
        <v>178</v>
      </c>
      <c r="E3135" s="2">
        <v>41</v>
      </c>
      <c r="F3135" s="2">
        <v>164.8</v>
      </c>
    </row>
    <row r="3136" spans="3:6" x14ac:dyDescent="0.25">
      <c r="C3136" s="2" t="s">
        <v>3612</v>
      </c>
      <c r="D3136" s="2" t="s">
        <v>178</v>
      </c>
      <c r="E3136" s="2">
        <v>146</v>
      </c>
      <c r="F3136" s="2">
        <v>2785.34</v>
      </c>
    </row>
    <row r="3137" spans="3:6" x14ac:dyDescent="0.25">
      <c r="C3137" s="2" t="s">
        <v>3613</v>
      </c>
      <c r="D3137" s="2" t="s">
        <v>178</v>
      </c>
      <c r="E3137" s="2">
        <v>142</v>
      </c>
      <c r="F3137" s="2">
        <v>2782.34</v>
      </c>
    </row>
    <row r="3138" spans="3:6" x14ac:dyDescent="0.25">
      <c r="C3138" s="2" t="s">
        <v>3614</v>
      </c>
      <c r="D3138" s="2" t="s">
        <v>178</v>
      </c>
      <c r="E3138" s="2">
        <v>141</v>
      </c>
      <c r="F3138" s="2">
        <v>2882.84</v>
      </c>
    </row>
    <row r="3139" spans="3:6" x14ac:dyDescent="0.25">
      <c r="C3139" s="2" t="s">
        <v>3615</v>
      </c>
      <c r="D3139" s="2" t="s">
        <v>178</v>
      </c>
      <c r="E3139" s="2">
        <v>91</v>
      </c>
      <c r="F3139" s="2">
        <v>1845.91</v>
      </c>
    </row>
    <row r="3140" spans="3:6" x14ac:dyDescent="0.25">
      <c r="C3140" s="2" t="s">
        <v>3616</v>
      </c>
      <c r="D3140" s="2" t="s">
        <v>178</v>
      </c>
      <c r="E3140" s="2">
        <v>51</v>
      </c>
      <c r="F3140" s="2">
        <v>939.71</v>
      </c>
    </row>
    <row r="3141" spans="3:6" x14ac:dyDescent="0.25">
      <c r="C3141" s="2" t="s">
        <v>3617</v>
      </c>
      <c r="D3141" s="2" t="s">
        <v>178</v>
      </c>
      <c r="E3141" s="2">
        <v>82</v>
      </c>
      <c r="F3141" s="2">
        <v>1649.63</v>
      </c>
    </row>
    <row r="3142" spans="3:6" x14ac:dyDescent="0.25">
      <c r="C3142" s="2" t="s">
        <v>3618</v>
      </c>
      <c r="D3142" s="2" t="s">
        <v>178</v>
      </c>
      <c r="E3142" s="2">
        <v>51</v>
      </c>
      <c r="F3142" s="2">
        <v>1046.51</v>
      </c>
    </row>
    <row r="3143" spans="3:6" x14ac:dyDescent="0.25">
      <c r="C3143" s="2" t="s">
        <v>3619</v>
      </c>
      <c r="D3143" s="2" t="s">
        <v>178</v>
      </c>
      <c r="E3143" s="2">
        <v>102</v>
      </c>
      <c r="F3143" s="2">
        <v>2117.72</v>
      </c>
    </row>
    <row r="3144" spans="3:6" x14ac:dyDescent="0.25">
      <c r="C3144" s="2" t="s">
        <v>3620</v>
      </c>
      <c r="D3144" s="2" t="s">
        <v>178</v>
      </c>
      <c r="E3144" s="2">
        <v>142</v>
      </c>
      <c r="F3144" s="2">
        <v>2806.378</v>
      </c>
    </row>
    <row r="3145" spans="3:6" x14ac:dyDescent="0.25">
      <c r="C3145" s="2" t="s">
        <v>3621</v>
      </c>
      <c r="D3145" s="2" t="s">
        <v>178</v>
      </c>
      <c r="E3145" s="2">
        <v>38</v>
      </c>
      <c r="F3145" s="2">
        <v>784.39</v>
      </c>
    </row>
    <row r="3146" spans="3:6" x14ac:dyDescent="0.25">
      <c r="C3146" s="2" t="s">
        <v>3622</v>
      </c>
      <c r="D3146" s="2" t="s">
        <v>178</v>
      </c>
      <c r="E3146" s="2">
        <v>62</v>
      </c>
      <c r="F3146" s="2">
        <v>1208.64</v>
      </c>
    </row>
    <row r="3147" spans="3:6" x14ac:dyDescent="0.25">
      <c r="C3147" s="2" t="s">
        <v>3623</v>
      </c>
      <c r="D3147" s="2" t="s">
        <v>178</v>
      </c>
      <c r="E3147" s="2">
        <v>41</v>
      </c>
      <c r="F3147" s="2">
        <v>824.56</v>
      </c>
    </row>
    <row r="3148" spans="3:6" x14ac:dyDescent="0.25">
      <c r="C3148" s="2" t="s">
        <v>3624</v>
      </c>
      <c r="D3148" s="2" t="s">
        <v>178</v>
      </c>
      <c r="E3148" s="2">
        <v>141</v>
      </c>
      <c r="F3148" s="2">
        <v>2799.238</v>
      </c>
    </row>
    <row r="3149" spans="3:6" x14ac:dyDescent="0.25">
      <c r="C3149" s="2" t="s">
        <v>3625</v>
      </c>
      <c r="D3149" s="2" t="s">
        <v>178</v>
      </c>
      <c r="E3149" s="2">
        <v>141</v>
      </c>
      <c r="F3149" s="2">
        <v>2445.19</v>
      </c>
    </row>
    <row r="3150" spans="3:6" x14ac:dyDescent="0.25">
      <c r="C3150" s="2" t="s">
        <v>3626</v>
      </c>
      <c r="D3150" s="2" t="s">
        <v>178</v>
      </c>
      <c r="E3150" s="2">
        <v>38</v>
      </c>
      <c r="F3150" s="2">
        <v>718.03</v>
      </c>
    </row>
    <row r="3151" spans="3:6" x14ac:dyDescent="0.25">
      <c r="C3151" s="2" t="s">
        <v>3627</v>
      </c>
      <c r="D3151" s="2" t="s">
        <v>178</v>
      </c>
      <c r="E3151" s="2">
        <v>94</v>
      </c>
      <c r="F3151" s="2">
        <v>1901.76</v>
      </c>
    </row>
    <row r="3152" spans="3:6" x14ac:dyDescent="0.25">
      <c r="C3152" s="2" t="s">
        <v>3628</v>
      </c>
      <c r="D3152" s="2" t="s">
        <v>178</v>
      </c>
      <c r="E3152" s="2">
        <v>9</v>
      </c>
      <c r="F3152" s="2">
        <v>164.64</v>
      </c>
    </row>
    <row r="3153" spans="3:6" x14ac:dyDescent="0.25">
      <c r="C3153" s="2" t="s">
        <v>3629</v>
      </c>
      <c r="D3153" s="2" t="s">
        <v>178</v>
      </c>
      <c r="E3153" s="2">
        <v>102</v>
      </c>
      <c r="F3153" s="2">
        <v>1893.219</v>
      </c>
    </row>
    <row r="3154" spans="3:6" x14ac:dyDescent="0.25">
      <c r="C3154" s="2" t="s">
        <v>3630</v>
      </c>
      <c r="D3154" s="2" t="s">
        <v>178</v>
      </c>
      <c r="E3154" s="2">
        <v>102</v>
      </c>
      <c r="F3154" s="2">
        <v>1714.894</v>
      </c>
    </row>
    <row r="3155" spans="3:6" x14ac:dyDescent="0.25">
      <c r="C3155" s="2" t="s">
        <v>3631</v>
      </c>
      <c r="D3155" s="2" t="s">
        <v>178</v>
      </c>
      <c r="E3155" s="2">
        <v>26</v>
      </c>
      <c r="F3155" s="2">
        <v>546.54</v>
      </c>
    </row>
    <row r="3156" spans="3:6" x14ac:dyDescent="0.25">
      <c r="C3156" s="2" t="s">
        <v>3632</v>
      </c>
      <c r="D3156" s="2" t="s">
        <v>178</v>
      </c>
      <c r="E3156" s="2">
        <v>36</v>
      </c>
      <c r="F3156" s="2">
        <v>649.48</v>
      </c>
    </row>
    <row r="3157" spans="3:6" x14ac:dyDescent="0.25">
      <c r="C3157" s="2" t="s">
        <v>3633</v>
      </c>
      <c r="D3157" s="2" t="s">
        <v>178</v>
      </c>
      <c r="E3157" s="2">
        <v>35</v>
      </c>
      <c r="F3157" s="2">
        <v>694.8</v>
      </c>
    </row>
    <row r="3158" spans="3:6" x14ac:dyDescent="0.25">
      <c r="C3158" s="2" t="s">
        <v>3634</v>
      </c>
      <c r="D3158" s="2" t="s">
        <v>178</v>
      </c>
      <c r="E3158" s="2">
        <v>44</v>
      </c>
      <c r="F3158" s="2">
        <v>915.65</v>
      </c>
    </row>
    <row r="3159" spans="3:6" x14ac:dyDescent="0.25">
      <c r="C3159" s="2" t="s">
        <v>3635</v>
      </c>
      <c r="D3159" s="2" t="s">
        <v>178</v>
      </c>
      <c r="E3159" s="2">
        <v>27</v>
      </c>
      <c r="F3159" s="2">
        <v>480.82</v>
      </c>
    </row>
    <row r="3160" spans="3:6" x14ac:dyDescent="0.25">
      <c r="C3160" s="2" t="s">
        <v>3636</v>
      </c>
      <c r="D3160" s="2" t="s">
        <v>178</v>
      </c>
      <c r="E3160" s="2">
        <v>71</v>
      </c>
      <c r="F3160" s="2">
        <v>1306.85</v>
      </c>
    </row>
    <row r="3161" spans="3:6" x14ac:dyDescent="0.25">
      <c r="C3161" s="2" t="s">
        <v>3637</v>
      </c>
      <c r="D3161" s="2" t="s">
        <v>178</v>
      </c>
      <c r="E3161" s="2">
        <v>8</v>
      </c>
      <c r="F3161" s="2">
        <v>168.66</v>
      </c>
    </row>
    <row r="3162" spans="3:6" x14ac:dyDescent="0.25">
      <c r="C3162" s="2" t="s">
        <v>3638</v>
      </c>
      <c r="D3162" s="2" t="s">
        <v>178</v>
      </c>
      <c r="E3162" s="2">
        <v>35</v>
      </c>
      <c r="F3162" s="2">
        <v>714.14</v>
      </c>
    </row>
    <row r="3163" spans="3:6" x14ac:dyDescent="0.25">
      <c r="C3163" s="2" t="s">
        <v>3639</v>
      </c>
      <c r="D3163" s="2" t="s">
        <v>178</v>
      </c>
      <c r="E3163" s="2">
        <v>141</v>
      </c>
      <c r="F3163" s="2">
        <v>2875.029</v>
      </c>
    </row>
    <row r="3164" spans="3:6" x14ac:dyDescent="0.25">
      <c r="C3164" s="2" t="s">
        <v>3640</v>
      </c>
      <c r="D3164" s="2" t="s">
        <v>178</v>
      </c>
      <c r="E3164" s="2">
        <v>62</v>
      </c>
      <c r="F3164" s="2">
        <v>1233.909</v>
      </c>
    </row>
    <row r="3165" spans="3:6" x14ac:dyDescent="0.25">
      <c r="C3165" s="2" t="s">
        <v>3641</v>
      </c>
      <c r="D3165" s="2" t="s">
        <v>178</v>
      </c>
      <c r="E3165" s="2">
        <v>19</v>
      </c>
      <c r="F3165" s="2">
        <v>368.02</v>
      </c>
    </row>
    <row r="3166" spans="3:6" x14ac:dyDescent="0.25">
      <c r="C3166" s="2" t="s">
        <v>3642</v>
      </c>
      <c r="D3166" s="2" t="s">
        <v>178</v>
      </c>
      <c r="E3166" s="2">
        <v>5</v>
      </c>
      <c r="F3166" s="2">
        <v>97.77</v>
      </c>
    </row>
    <row r="3167" spans="3:6" x14ac:dyDescent="0.25">
      <c r="C3167" s="2" t="s">
        <v>3643</v>
      </c>
      <c r="D3167" s="2" t="s">
        <v>178</v>
      </c>
      <c r="E3167" s="2">
        <v>12</v>
      </c>
      <c r="F3167" s="2">
        <v>235.75</v>
      </c>
    </row>
    <row r="3168" spans="3:6" x14ac:dyDescent="0.25">
      <c r="C3168" s="2" t="s">
        <v>3644</v>
      </c>
      <c r="D3168" s="2" t="s">
        <v>178</v>
      </c>
      <c r="E3168" s="2">
        <v>12</v>
      </c>
      <c r="F3168" s="2">
        <v>142.96</v>
      </c>
    </row>
    <row r="3169" spans="3:6" x14ac:dyDescent="0.25">
      <c r="C3169" s="2" t="s">
        <v>3645</v>
      </c>
      <c r="D3169" s="2" t="s">
        <v>178</v>
      </c>
      <c r="E3169" s="2">
        <v>16</v>
      </c>
      <c r="F3169" s="2">
        <v>294.03</v>
      </c>
    </row>
    <row r="3170" spans="3:6" x14ac:dyDescent="0.25">
      <c r="C3170" s="2" t="s">
        <v>3646</v>
      </c>
      <c r="D3170" s="2" t="s">
        <v>178</v>
      </c>
      <c r="E3170" s="2">
        <v>50</v>
      </c>
      <c r="F3170" s="2">
        <v>1026.28</v>
      </c>
    </row>
    <row r="3171" spans="3:6" x14ac:dyDescent="0.25">
      <c r="C3171" s="2" t="s">
        <v>3647</v>
      </c>
      <c r="D3171" s="2" t="s">
        <v>178</v>
      </c>
      <c r="E3171" s="2">
        <v>46</v>
      </c>
      <c r="F3171" s="2">
        <v>929.25</v>
      </c>
    </row>
    <row r="3172" spans="3:6" x14ac:dyDescent="0.25">
      <c r="C3172" s="2" t="s">
        <v>3648</v>
      </c>
      <c r="D3172" s="2" t="s">
        <v>178</v>
      </c>
      <c r="E3172" s="2">
        <v>23</v>
      </c>
      <c r="F3172" s="2">
        <v>479.72</v>
      </c>
    </row>
    <row r="3173" spans="3:6" x14ac:dyDescent="0.25">
      <c r="C3173" s="2" t="s">
        <v>3649</v>
      </c>
      <c r="D3173" s="2" t="s">
        <v>178</v>
      </c>
      <c r="E3173" s="2">
        <v>21</v>
      </c>
      <c r="F3173" s="2">
        <v>442.65</v>
      </c>
    </row>
    <row r="3174" spans="3:6" x14ac:dyDescent="0.25">
      <c r="C3174" s="2" t="s">
        <v>3650</v>
      </c>
      <c r="D3174" s="2" t="s">
        <v>178</v>
      </c>
      <c r="E3174" s="2">
        <v>12</v>
      </c>
      <c r="F3174" s="2">
        <v>239.07</v>
      </c>
    </row>
    <row r="3176" spans="1:7" x14ac:dyDescent="0.25">
      <c r="A3176" s="1">
        <v>46234</v>
      </c>
      <c r="B3176" s="2" t="s">
        <v>989</v>
      </c>
      <c r="C3176" s="2" t="s">
        <v>3651</v>
      </c>
      <c r="D3176" s="2" t="s">
        <v>9</v>
      </c>
      <c r="E3176" s="2">
        <v>150</v>
      </c>
      <c r="F3176" s="2">
        <v>3125.5</v>
      </c>
      <c r="G3176" s="1">
        <v>46233</v>
      </c>
    </row>
    <row r="3177" spans="3:6" x14ac:dyDescent="0.25">
      <c r="C3177" s="2" t="s">
        <v>3652</v>
      </c>
      <c r="D3177" s="2" t="s">
        <v>9</v>
      </c>
      <c r="E3177" s="2">
        <v>150</v>
      </c>
      <c r="F3177" s="2">
        <v>3135.46</v>
      </c>
    </row>
    <row r="3179" spans="1:7" x14ac:dyDescent="0.25">
      <c r="A3179" s="1">
        <v>46234</v>
      </c>
      <c r="B3179" s="2" t="s">
        <v>666</v>
      </c>
      <c r="C3179" s="2" t="s">
        <v>3653</v>
      </c>
      <c r="D3179" s="2" t="s">
        <v>59</v>
      </c>
      <c r="E3179" s="2">
        <v>149</v>
      </c>
      <c r="F3179" s="2">
        <v>3704.59</v>
      </c>
      <c r="G3179" s="1">
        <v>46233</v>
      </c>
    </row>
    <row r="3180" spans="3:6" x14ac:dyDescent="0.25">
      <c r="C3180" s="2" t="s">
        <v>3654</v>
      </c>
      <c r="D3180" s="2" t="s">
        <v>59</v>
      </c>
      <c r="E3180" s="2">
        <v>149</v>
      </c>
      <c r="F3180" s="2">
        <v>3008.63</v>
      </c>
    </row>
    <row r="3181" spans="3:6" x14ac:dyDescent="0.25">
      <c r="C3181" s="2" t="s">
        <v>3655</v>
      </c>
      <c r="D3181" s="2" t="s">
        <v>59</v>
      </c>
      <c r="E3181" s="2">
        <v>149</v>
      </c>
      <c r="F3181" s="2">
        <v>3065.66</v>
      </c>
    </row>
    <row r="3183" spans="1:7" x14ac:dyDescent="0.25">
      <c r="A3183" s="1">
        <v>46234</v>
      </c>
      <c r="B3183" s="2" t="s">
        <v>420</v>
      </c>
      <c r="C3183" s="2" t="s">
        <v>3656</v>
      </c>
      <c r="D3183" s="2" t="s">
        <v>59</v>
      </c>
      <c r="E3183" s="2">
        <v>156</v>
      </c>
      <c r="F3183" s="2">
        <v>2999.21</v>
      </c>
      <c r="G3183" s="1">
        <v>46235</v>
      </c>
    </row>
    <row r="3184" spans="3:6" x14ac:dyDescent="0.25">
      <c r="C3184" s="2" t="s">
        <v>3657</v>
      </c>
      <c r="D3184" s="2" t="s">
        <v>59</v>
      </c>
      <c r="E3184" s="2">
        <v>105</v>
      </c>
      <c r="F3184" s="2">
        <v>1995.849</v>
      </c>
    </row>
    <row r="3185" spans="3:6" x14ac:dyDescent="0.25">
      <c r="C3185" s="2" t="s">
        <v>3658</v>
      </c>
      <c r="D3185" s="2" t="s">
        <v>59</v>
      </c>
      <c r="E3185" s="2">
        <v>156</v>
      </c>
      <c r="F3185" s="2">
        <v>3035.858</v>
      </c>
    </row>
    <row r="3186" spans="3:6" x14ac:dyDescent="0.25">
      <c r="C3186" s="2" t="s">
        <v>3659</v>
      </c>
      <c r="D3186" s="2" t="s">
        <v>59</v>
      </c>
      <c r="E3186" s="2">
        <v>156</v>
      </c>
      <c r="F3186" s="2">
        <v>2935.249</v>
      </c>
    </row>
    <row r="3187" spans="3:6" x14ac:dyDescent="0.25">
      <c r="C3187" s="2" t="s">
        <v>3660</v>
      </c>
      <c r="D3187" s="2" t="s">
        <v>59</v>
      </c>
      <c r="E3187" s="2">
        <v>120</v>
      </c>
      <c r="F3187" s="2">
        <v>2426.12</v>
      </c>
    </row>
    <row r="3188" spans="3:6" x14ac:dyDescent="0.25">
      <c r="C3188" s="2" t="s">
        <v>3661</v>
      </c>
      <c r="D3188" s="2" t="s">
        <v>59</v>
      </c>
      <c r="E3188" s="2">
        <v>310</v>
      </c>
      <c r="F3188" s="2">
        <v>5974.698</v>
      </c>
    </row>
    <row r="3189" spans="3:6" x14ac:dyDescent="0.25">
      <c r="C3189" s="2" t="s">
        <v>3662</v>
      </c>
      <c r="D3189" s="2" t="s">
        <v>59</v>
      </c>
      <c r="E3189" s="2">
        <v>153</v>
      </c>
      <c r="F3189" s="2">
        <v>2977.839</v>
      </c>
    </row>
    <row r="3190" spans="3:6" x14ac:dyDescent="0.25">
      <c r="C3190" s="2" t="s">
        <v>3663</v>
      </c>
      <c r="D3190" s="2" t="s">
        <v>59</v>
      </c>
      <c r="E3190" s="2">
        <v>148</v>
      </c>
      <c r="F3190" s="2">
        <v>3111.87</v>
      </c>
    </row>
    <row r="3191" spans="3:6" x14ac:dyDescent="0.25">
      <c r="C3191" s="2" t="s">
        <v>3664</v>
      </c>
      <c r="D3191" s="2" t="s">
        <v>59</v>
      </c>
      <c r="E3191" s="2">
        <v>105</v>
      </c>
      <c r="F3191" s="2">
        <v>2035.97</v>
      </c>
    </row>
    <row r="3193" spans="1:7" x14ac:dyDescent="0.25">
      <c r="A3193" s="1">
        <v>46234</v>
      </c>
      <c r="B3193" s="2" t="s">
        <v>347</v>
      </c>
      <c r="C3193" s="2" t="s">
        <v>3665</v>
      </c>
      <c r="D3193" s="2" t="s">
        <v>59</v>
      </c>
      <c r="E3193" s="2">
        <v>142</v>
      </c>
      <c r="F3193" s="2">
        <v>2733.299</v>
      </c>
      <c r="G3193" s="1">
        <v>46233</v>
      </c>
    </row>
    <row r="3194" spans="3:6" x14ac:dyDescent="0.25">
      <c r="C3194" s="2" t="s">
        <v>3666</v>
      </c>
      <c r="D3194" s="2" t="s">
        <v>59</v>
      </c>
      <c r="E3194" s="2">
        <v>142</v>
      </c>
      <c r="F3194" s="2">
        <v>2718.189</v>
      </c>
    </row>
    <row r="3195" spans="3:6" x14ac:dyDescent="0.25">
      <c r="C3195" s="2" t="s">
        <v>3667</v>
      </c>
      <c r="D3195" s="2" t="s">
        <v>59</v>
      </c>
      <c r="E3195" s="2">
        <v>139</v>
      </c>
      <c r="F3195" s="2">
        <v>2667.87</v>
      </c>
    </row>
    <row r="3196" spans="3:6" x14ac:dyDescent="0.25">
      <c r="C3196" s="2" t="s">
        <v>3668</v>
      </c>
      <c r="D3196" s="2" t="s">
        <v>59</v>
      </c>
      <c r="E3196" s="2">
        <v>102</v>
      </c>
      <c r="F3196" s="2">
        <v>1918.14</v>
      </c>
    </row>
    <row r="3197" spans="3:6" x14ac:dyDescent="0.25">
      <c r="C3197" s="2" t="s">
        <v>3669</v>
      </c>
      <c r="D3197" s="2" t="s">
        <v>59</v>
      </c>
      <c r="E3197" s="2">
        <v>94</v>
      </c>
      <c r="F3197" s="2">
        <v>1916.54</v>
      </c>
    </row>
    <row r="3199" spans="1:7" x14ac:dyDescent="0.25">
      <c r="A3199" s="5"/>
      <c r="B3199" s="6"/>
      <c r="C3199" s="6"/>
      <c r="D3199" s="6"/>
      <c r="E3199" s="6"/>
      <c r="F3199" s="6"/>
      <c r="G3199" s="5"/>
    </row>
    <row r="3200" ht="16.5" customHeight="1" spans="2:8" x14ac:dyDescent="0.25">
      <c r="B3200" s="7" t="s">
        <v>669</v>
      </c>
      <c r="C3200" s="8">
        <f>COUNTA(C3:C3199)</f>
        <v>3007</v>
      </c>
      <c r="E3200" s="7" t="s">
        <v>670</v>
      </c>
      <c r="F3200" s="9">
        <f>SUM(F3:F3199)</f>
        <v>4536230.113000004</v>
      </c>
      <c r="G3200" s="1" t="s">
        <v>671</v>
      </c>
      <c r="H3200" s="10">
        <f>F3200*0.04</f>
        <v>181449.20452000014</v>
      </c>
    </row>
    <row r="3201" ht="13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67"/>
  <sheetViews>
    <sheetView workbookViewId="0" zoomScale="100" zoomScaleNormal="100">
      <pane ySplit="3" topLeftCell="A652" activePane="bottomLeft" state="frozen"/>
      <selection pane="bottomLeft" activeCell="A667" sqref="A667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6" spans="1:7" x14ac:dyDescent="0.25">
      <c r="A6" s="1">
        <v>46235</v>
      </c>
      <c r="B6" s="2" t="s">
        <v>7</v>
      </c>
      <c r="C6" s="2" t="s">
        <v>8</v>
      </c>
      <c r="D6" s="2" t="s">
        <v>9</v>
      </c>
      <c r="E6" s="2">
        <v>97</v>
      </c>
      <c r="F6" s="2">
        <v>1865.869</v>
      </c>
      <c r="G6" s="1">
        <v>46235</v>
      </c>
    </row>
    <row r="7" spans="1:6" x14ac:dyDescent="0.25">
      <c r="A7" s="1"/>
      <c r="C7" s="2" t="s">
        <v>10</v>
      </c>
      <c r="D7" s="2" t="s">
        <v>9</v>
      </c>
      <c r="E7" s="2">
        <v>88</v>
      </c>
      <c r="F7" s="2">
        <v>1832.459</v>
      </c>
    </row>
    <row r="8" spans="1:7" x14ac:dyDescent="0.25">
      <c r="A8" s="1">
        <v>46235.66666666667</v>
      </c>
      <c r="B8" s="2" t="s">
        <v>7</v>
      </c>
      <c r="C8" s="2" t="s">
        <v>11</v>
      </c>
      <c r="D8" s="2"/>
      <c r="E8" s="2">
        <v>99</v>
      </c>
      <c r="F8" s="2">
        <v>1871.8</v>
      </c>
      <c r="G8" s="1">
        <v>46235.66666666667</v>
      </c>
    </row>
    <row r="9" spans="1:7" x14ac:dyDescent="0.25">
      <c r="A9" s="1">
        <v>46235</v>
      </c>
      <c r="B9" s="2" t="s">
        <v>12</v>
      </c>
      <c r="C9" s="2" t="s">
        <v>13</v>
      </c>
      <c r="D9" s="2"/>
      <c r="E9" s="2">
        <v>99</v>
      </c>
      <c r="F9" s="2">
        <v>1810.34</v>
      </c>
      <c r="G9" s="1">
        <v>46235.66666666667</v>
      </c>
    </row>
    <row r="10" spans="3:6" x14ac:dyDescent="0.25">
      <c r="C10" s="2" t="s">
        <v>14</v>
      </c>
      <c r="D10" s="2" t="s">
        <v>15</v>
      </c>
      <c r="E10" s="2">
        <v>134</v>
      </c>
      <c r="F10" s="2">
        <v>2733.4</v>
      </c>
    </row>
    <row r="11" spans="3:6" x14ac:dyDescent="0.25">
      <c r="C11" s="2" t="s">
        <v>16</v>
      </c>
      <c r="D11" s="2" t="s">
        <v>15</v>
      </c>
      <c r="E11" s="2">
        <v>134</v>
      </c>
      <c r="F11" s="2">
        <v>2623.87</v>
      </c>
    </row>
    <row r="12" spans="3:6" x14ac:dyDescent="0.25">
      <c r="C12" s="2" t="s">
        <v>17</v>
      </c>
      <c r="D12" s="2" t="s">
        <v>15</v>
      </c>
      <c r="E12" s="2">
        <v>134</v>
      </c>
      <c r="F12" s="2">
        <v>2777.059</v>
      </c>
    </row>
    <row r="13" spans="3:6" x14ac:dyDescent="0.25">
      <c r="C13" s="2" t="s">
        <v>18</v>
      </c>
      <c r="D13" s="2" t="s">
        <v>15</v>
      </c>
      <c r="E13" s="2">
        <v>91</v>
      </c>
      <c r="F13" s="2">
        <v>1839.31</v>
      </c>
    </row>
    <row r="14" spans="3:6" x14ac:dyDescent="0.25">
      <c r="C14" s="2" t="s">
        <v>19</v>
      </c>
      <c r="D14" s="2" t="s">
        <v>15</v>
      </c>
      <c r="E14" s="2">
        <v>43</v>
      </c>
      <c r="F14" s="2">
        <v>804</v>
      </c>
    </row>
    <row r="15" spans="3:6" x14ac:dyDescent="0.25">
      <c r="C15" s="2" t="s">
        <v>20</v>
      </c>
      <c r="D15" s="2" t="s">
        <v>15</v>
      </c>
      <c r="E15" s="2">
        <v>134</v>
      </c>
      <c r="F15" s="2">
        <v>2666.4</v>
      </c>
    </row>
    <row r="16" spans="3:6" x14ac:dyDescent="0.25">
      <c r="C16" s="2" t="s">
        <v>21</v>
      </c>
      <c r="D16" s="2" t="s">
        <v>15</v>
      </c>
      <c r="E16" s="2">
        <v>134</v>
      </c>
      <c r="F16" s="2">
        <v>2797.18</v>
      </c>
    </row>
    <row r="17" spans="3:6" x14ac:dyDescent="0.25">
      <c r="C17" s="2" t="s">
        <v>22</v>
      </c>
      <c r="D17" s="2" t="s">
        <v>15</v>
      </c>
      <c r="E17" s="2">
        <v>71</v>
      </c>
      <c r="F17" s="2">
        <v>1534.782</v>
      </c>
    </row>
    <row r="18" spans="3:6" x14ac:dyDescent="0.25">
      <c r="C18" s="2" t="s">
        <v>23</v>
      </c>
      <c r="D18" s="2" t="s">
        <v>15</v>
      </c>
      <c r="E18" s="2">
        <v>39</v>
      </c>
      <c r="F18" s="2">
        <v>759.82</v>
      </c>
    </row>
    <row r="19" spans="3:6" x14ac:dyDescent="0.25">
      <c r="C19" s="2" t="s">
        <v>24</v>
      </c>
      <c r="D19" s="2" t="s">
        <v>15</v>
      </c>
      <c r="E19" s="2">
        <v>26</v>
      </c>
      <c r="F19" s="2">
        <v>502</v>
      </c>
    </row>
    <row r="20" spans="3:6" x14ac:dyDescent="0.25">
      <c r="C20" s="2" t="s">
        <v>25</v>
      </c>
      <c r="D20" s="2" t="s">
        <v>26</v>
      </c>
      <c r="E20" s="2">
        <v>156</v>
      </c>
      <c r="F20" s="2">
        <v>3180.9</v>
      </c>
    </row>
    <row r="21" spans="3:6" x14ac:dyDescent="0.25">
      <c r="C21" s="2" t="s">
        <v>27</v>
      </c>
      <c r="D21" s="2" t="s">
        <v>26</v>
      </c>
      <c r="E21" s="2">
        <v>100</v>
      </c>
      <c r="F21" s="2">
        <v>1947.239</v>
      </c>
    </row>
    <row r="22" spans="3:6" x14ac:dyDescent="0.25">
      <c r="C22" s="2" t="s">
        <v>28</v>
      </c>
      <c r="D22" s="2" t="s">
        <v>26</v>
      </c>
      <c r="E22" s="2">
        <v>56</v>
      </c>
      <c r="F22" s="2">
        <v>1091.419</v>
      </c>
    </row>
    <row r="23" spans="3:6" x14ac:dyDescent="0.25">
      <c r="C23" s="2" t="s">
        <v>29</v>
      </c>
      <c r="D23" s="2" t="s">
        <v>30</v>
      </c>
      <c r="E23" s="2">
        <v>74</v>
      </c>
      <c r="F23" s="2">
        <v>1389.799</v>
      </c>
    </row>
    <row r="24" spans="3:6" x14ac:dyDescent="0.25">
      <c r="C24" s="2" t="s">
        <v>31</v>
      </c>
      <c r="D24" s="2" t="s">
        <v>30</v>
      </c>
      <c r="E24" s="2">
        <v>156</v>
      </c>
      <c r="F24" s="2">
        <v>3088.95</v>
      </c>
    </row>
    <row r="25" spans="3:6" x14ac:dyDescent="0.25">
      <c r="C25" s="2" t="s">
        <v>32</v>
      </c>
      <c r="D25" s="2" t="s">
        <v>30</v>
      </c>
      <c r="E25" s="2">
        <v>102</v>
      </c>
      <c r="F25" s="2">
        <v>2110.04</v>
      </c>
    </row>
    <row r="26" spans="3:6" x14ac:dyDescent="0.25">
      <c r="C26" s="2" t="s">
        <v>33</v>
      </c>
      <c r="D26" s="2" t="s">
        <v>30</v>
      </c>
      <c r="E26" s="2">
        <v>102</v>
      </c>
      <c r="F26" s="2">
        <v>2052.669</v>
      </c>
    </row>
    <row r="27" spans="3:6" x14ac:dyDescent="0.25">
      <c r="C27" s="2" t="s">
        <v>34</v>
      </c>
      <c r="D27" s="2" t="s">
        <v>30</v>
      </c>
      <c r="E27" s="2">
        <v>102</v>
      </c>
      <c r="F27" s="2">
        <v>2011.4</v>
      </c>
    </row>
    <row r="28" spans="3:6" x14ac:dyDescent="0.25">
      <c r="C28" s="2" t="s">
        <v>35</v>
      </c>
      <c r="D28" s="2" t="s">
        <v>36</v>
      </c>
      <c r="E28" s="2">
        <v>45</v>
      </c>
      <c r="F28" s="2">
        <v>872.13</v>
      </c>
    </row>
    <row r="29" spans="3:6" x14ac:dyDescent="0.25">
      <c r="C29" s="2" t="s">
        <v>37</v>
      </c>
      <c r="D29" s="2" t="s">
        <v>36</v>
      </c>
      <c r="E29" s="2">
        <v>60</v>
      </c>
      <c r="F29" s="2">
        <v>1151.16</v>
      </c>
    </row>
    <row r="30" spans="3:6" x14ac:dyDescent="0.25">
      <c r="C30" s="2" t="s">
        <v>38</v>
      </c>
      <c r="D30" s="2" t="s">
        <v>36</v>
      </c>
      <c r="E30" s="2">
        <v>80</v>
      </c>
      <c r="F30" s="2">
        <v>1598.46</v>
      </c>
    </row>
    <row r="31" spans="3:6" x14ac:dyDescent="0.25">
      <c r="C31" s="2" t="s">
        <v>39</v>
      </c>
      <c r="D31" s="2" t="s">
        <v>36</v>
      </c>
      <c r="E31" s="2">
        <v>12</v>
      </c>
      <c r="F31" s="2">
        <v>239.99</v>
      </c>
    </row>
    <row r="32" spans="3:6" x14ac:dyDescent="0.25">
      <c r="C32" s="2" t="s">
        <v>40</v>
      </c>
      <c r="D32" s="2" t="s">
        <v>36</v>
      </c>
      <c r="E32" s="2">
        <v>13</v>
      </c>
      <c r="F32" s="2">
        <v>287</v>
      </c>
    </row>
    <row r="33" spans="3:6" x14ac:dyDescent="0.25">
      <c r="C33" s="2" t="s">
        <v>41</v>
      </c>
      <c r="D33" s="2" t="s">
        <v>42</v>
      </c>
      <c r="E33" s="2">
        <v>25</v>
      </c>
      <c r="F33" s="2">
        <v>491.52</v>
      </c>
    </row>
    <row r="34" spans="3:6" x14ac:dyDescent="0.25">
      <c r="C34" s="2" t="s">
        <v>43</v>
      </c>
      <c r="D34" s="2" t="s">
        <v>42</v>
      </c>
      <c r="E34" s="2">
        <v>100</v>
      </c>
      <c r="F34" s="2">
        <v>1955.9</v>
      </c>
    </row>
    <row r="35" spans="3:6" x14ac:dyDescent="0.25">
      <c r="C35" s="2" t="s">
        <v>44</v>
      </c>
      <c r="D35" s="2" t="s">
        <v>42</v>
      </c>
      <c r="E35" s="2">
        <v>31</v>
      </c>
      <c r="F35" s="2">
        <v>569.13</v>
      </c>
    </row>
    <row r="36" spans="3:6" x14ac:dyDescent="0.25">
      <c r="C36" s="2" t="s">
        <v>45</v>
      </c>
      <c r="D36" s="2" t="s">
        <v>42</v>
      </c>
      <c r="E36" s="2">
        <v>79</v>
      </c>
      <c r="F36" s="2">
        <v>1454.9</v>
      </c>
    </row>
    <row r="37" spans="3:6" x14ac:dyDescent="0.25">
      <c r="C37" s="2" t="s">
        <v>46</v>
      </c>
      <c r="D37" s="2" t="s">
        <v>42</v>
      </c>
      <c r="E37" s="2">
        <v>77</v>
      </c>
      <c r="F37" s="2">
        <v>1447.099</v>
      </c>
    </row>
    <row r="38" spans="3:6" x14ac:dyDescent="0.25">
      <c r="C38" s="2" t="s">
        <v>47</v>
      </c>
      <c r="D38" s="2" t="s">
        <v>15</v>
      </c>
      <c r="E38" s="2">
        <v>156</v>
      </c>
      <c r="F38" s="2">
        <v>3076.209</v>
      </c>
    </row>
    <row r="40" spans="2:7" x14ac:dyDescent="0.25">
      <c r="B40" s="2" t="s">
        <v>48</v>
      </c>
      <c r="C40" s="2" t="s">
        <v>49</v>
      </c>
      <c r="D40" s="2" t="s">
        <v>15</v>
      </c>
      <c r="E40" s="2">
        <v>148</v>
      </c>
      <c r="F40" s="2">
        <v>2776.56</v>
      </c>
      <c r="G40" s="1">
        <v>46235</v>
      </c>
    </row>
    <row r="41" spans="3:6" x14ac:dyDescent="0.25">
      <c r="C41" s="2" t="s">
        <v>50</v>
      </c>
      <c r="D41" s="2" t="s">
        <v>30</v>
      </c>
      <c r="E41" s="2">
        <v>105</v>
      </c>
      <c r="F41" s="2">
        <v>1848.46</v>
      </c>
    </row>
    <row r="42" spans="3:6" x14ac:dyDescent="0.25">
      <c r="C42" s="2" t="s">
        <v>51</v>
      </c>
      <c r="D42" s="2" t="s">
        <v>30</v>
      </c>
      <c r="E42" s="2">
        <v>105</v>
      </c>
      <c r="F42" s="2">
        <v>1946.74</v>
      </c>
    </row>
    <row r="43" spans="3:6" x14ac:dyDescent="0.25">
      <c r="C43" s="2" t="s">
        <v>52</v>
      </c>
      <c r="D43" s="2" t="s">
        <v>53</v>
      </c>
      <c r="E43" s="2">
        <v>100</v>
      </c>
      <c r="F43" s="2">
        <v>1944</v>
      </c>
    </row>
    <row r="44" spans="3:6" x14ac:dyDescent="0.25">
      <c r="C44" s="2" t="s">
        <v>54</v>
      </c>
      <c r="D44" s="2" t="s">
        <v>53</v>
      </c>
      <c r="E44" s="2">
        <v>56</v>
      </c>
      <c r="F44" s="2">
        <v>1056.22</v>
      </c>
    </row>
    <row r="45" spans="3:6" x14ac:dyDescent="0.25">
      <c r="C45" s="2" t="s">
        <v>55</v>
      </c>
      <c r="D45" s="2" t="s">
        <v>30</v>
      </c>
      <c r="E45" s="2">
        <v>131</v>
      </c>
      <c r="F45" s="2">
        <v>2496.22</v>
      </c>
    </row>
    <row r="46" spans="3:6" x14ac:dyDescent="0.25">
      <c r="C46" s="2" t="s">
        <v>56</v>
      </c>
      <c r="D46" s="2" t="s">
        <v>30</v>
      </c>
      <c r="E46" s="2">
        <v>31</v>
      </c>
      <c r="F46" s="2">
        <v>260.06</v>
      </c>
    </row>
    <row r="48" spans="1:7" x14ac:dyDescent="0.25">
      <c r="A48" s="1">
        <v>46235</v>
      </c>
      <c r="B48" s="2" t="s">
        <v>57</v>
      </c>
      <c r="C48" s="2" t="s">
        <v>58</v>
      </c>
      <c r="D48" s="2" t="s">
        <v>59</v>
      </c>
      <c r="E48" s="2">
        <v>261</v>
      </c>
      <c r="F48" s="2">
        <v>5344.4</v>
      </c>
      <c r="G48" s="1">
        <v>46235</v>
      </c>
    </row>
    <row r="49" spans="3:6" x14ac:dyDescent="0.25">
      <c r="C49" s="2" t="s">
        <v>60</v>
      </c>
      <c r="D49" s="2" t="s">
        <v>59</v>
      </c>
      <c r="E49" s="2">
        <v>156</v>
      </c>
      <c r="F49" s="2">
        <v>3004.04</v>
      </c>
    </row>
    <row r="50" spans="3:6" x14ac:dyDescent="0.25">
      <c r="C50" s="2" t="s">
        <v>61</v>
      </c>
      <c r="D50" s="2" t="s">
        <v>59</v>
      </c>
      <c r="E50" s="2">
        <v>156</v>
      </c>
      <c r="F50" s="2">
        <v>2920.069</v>
      </c>
    </row>
    <row r="51" spans="3:6" x14ac:dyDescent="0.25">
      <c r="C51" s="2" t="s">
        <v>62</v>
      </c>
      <c r="D51" s="2" t="s">
        <v>59</v>
      </c>
      <c r="E51" s="2">
        <v>156</v>
      </c>
      <c r="F51" s="2">
        <v>3089.13</v>
      </c>
    </row>
    <row r="52" spans="3:6" x14ac:dyDescent="0.25">
      <c r="C52" s="2" t="s">
        <v>63</v>
      </c>
      <c r="D52" s="2" t="s">
        <v>59</v>
      </c>
      <c r="E52" s="2">
        <v>105</v>
      </c>
      <c r="F52" s="2">
        <v>2000.858</v>
      </c>
    </row>
    <row r="53" spans="3:6" x14ac:dyDescent="0.25">
      <c r="C53" s="2" t="s">
        <v>64</v>
      </c>
      <c r="D53" s="2" t="s">
        <v>59</v>
      </c>
      <c r="E53" s="2">
        <v>156</v>
      </c>
      <c r="F53" s="2">
        <v>3080.079</v>
      </c>
    </row>
    <row r="54" spans="3:6" x14ac:dyDescent="0.25">
      <c r="C54" s="2" t="s">
        <v>65</v>
      </c>
      <c r="D54" s="2" t="s">
        <v>59</v>
      </c>
      <c r="E54" s="2">
        <v>156</v>
      </c>
      <c r="F54" s="2">
        <v>2972.869</v>
      </c>
    </row>
    <row r="55" spans="3:6" x14ac:dyDescent="0.25">
      <c r="C55" s="2" t="s">
        <v>66</v>
      </c>
      <c r="D55" s="2" t="s">
        <v>59</v>
      </c>
      <c r="E55" s="2">
        <v>208</v>
      </c>
      <c r="F55" s="2">
        <v>4080.979</v>
      </c>
    </row>
    <row r="56" spans="3:6" x14ac:dyDescent="0.25">
      <c r="C56" s="2" t="s">
        <v>67</v>
      </c>
      <c r="D56" s="2" t="s">
        <v>59</v>
      </c>
      <c r="E56" s="2">
        <v>98</v>
      </c>
      <c r="F56" s="2">
        <v>1984.77</v>
      </c>
    </row>
    <row r="58" spans="1:7" x14ac:dyDescent="0.25">
      <c r="A58" s="1">
        <v>46235</v>
      </c>
      <c r="B58" s="2" t="s">
        <v>68</v>
      </c>
      <c r="C58" s="2" t="s">
        <v>69</v>
      </c>
      <c r="D58" s="2" t="s">
        <v>70</v>
      </c>
      <c r="E58" s="2">
        <v>133</v>
      </c>
      <c r="F58" s="2">
        <v>259341</v>
      </c>
      <c r="G58" s="1">
        <v>46235</v>
      </c>
    </row>
    <row r="60" spans="1:7" x14ac:dyDescent="0.25">
      <c r="A60" s="1">
        <v>46236</v>
      </c>
      <c r="B60" s="2" t="s">
        <v>71</v>
      </c>
      <c r="C60" s="2" t="s">
        <v>72</v>
      </c>
      <c r="D60" s="2" t="s">
        <v>73</v>
      </c>
      <c r="E60" s="2">
        <v>48</v>
      </c>
      <c r="F60" s="2">
        <v>815.6</v>
      </c>
      <c r="G60" s="1">
        <v>46235</v>
      </c>
    </row>
    <row r="61" spans="3:6" x14ac:dyDescent="0.25">
      <c r="C61" s="2" t="s">
        <v>74</v>
      </c>
      <c r="D61" s="2" t="s">
        <v>73</v>
      </c>
      <c r="E61" s="2">
        <v>53</v>
      </c>
      <c r="F61" s="2">
        <v>981.33</v>
      </c>
    </row>
    <row r="62" spans="3:6" x14ac:dyDescent="0.25">
      <c r="C62" s="2" t="s">
        <v>75</v>
      </c>
      <c r="D62" s="2" t="s">
        <v>73</v>
      </c>
      <c r="E62" s="2">
        <v>65</v>
      </c>
      <c r="F62" s="2">
        <v>1304.719</v>
      </c>
    </row>
    <row r="63" spans="3:6" x14ac:dyDescent="0.25">
      <c r="C63" s="2" t="s">
        <v>76</v>
      </c>
      <c r="D63" s="2" t="s">
        <v>73</v>
      </c>
      <c r="E63" s="2">
        <v>10</v>
      </c>
      <c r="F63" s="2">
        <v>187.55</v>
      </c>
    </row>
    <row r="64" spans="3:6" x14ac:dyDescent="0.25">
      <c r="C64" s="2" t="s">
        <v>77</v>
      </c>
      <c r="D64" s="2" t="s">
        <v>73</v>
      </c>
      <c r="E64" s="2">
        <v>81</v>
      </c>
      <c r="F64" s="2">
        <v>1680.179</v>
      </c>
    </row>
    <row r="65" spans="3:6" x14ac:dyDescent="0.25">
      <c r="C65" s="2" t="s">
        <v>78</v>
      </c>
      <c r="D65" s="2" t="s">
        <v>73</v>
      </c>
      <c r="E65" s="2">
        <v>101</v>
      </c>
      <c r="F65" s="2">
        <v>1969.21</v>
      </c>
    </row>
    <row r="66" spans="3:6" x14ac:dyDescent="0.25">
      <c r="C66" s="2" t="s">
        <v>79</v>
      </c>
      <c r="D66" s="2" t="s">
        <v>73</v>
      </c>
      <c r="E66" s="2">
        <v>15</v>
      </c>
      <c r="F66" s="2">
        <v>367.15</v>
      </c>
    </row>
    <row r="68" spans="1:7" x14ac:dyDescent="0.25">
      <c r="A68" s="1">
        <v>46236</v>
      </c>
      <c r="B68" s="2" t="s">
        <v>80</v>
      </c>
      <c r="C68" s="2" t="s">
        <v>81</v>
      </c>
      <c r="D68" s="2" t="s">
        <v>82</v>
      </c>
      <c r="E68" s="2">
        <v>141</v>
      </c>
      <c r="F68" s="2">
        <v>2718.75</v>
      </c>
      <c r="G68" s="1">
        <v>46235</v>
      </c>
    </row>
    <row r="69" spans="3:6" x14ac:dyDescent="0.25">
      <c r="C69" s="2" t="s">
        <v>83</v>
      </c>
      <c r="D69" s="2" t="s">
        <v>82</v>
      </c>
      <c r="E69" s="2">
        <v>13</v>
      </c>
      <c r="F69" s="2">
        <v>271.51</v>
      </c>
    </row>
    <row r="70" spans="3:6" x14ac:dyDescent="0.25">
      <c r="C70" s="2" t="s">
        <v>84</v>
      </c>
      <c r="D70" s="2" t="s">
        <v>82</v>
      </c>
      <c r="E70" s="2">
        <v>26</v>
      </c>
      <c r="F70" s="2">
        <v>403.022</v>
      </c>
    </row>
    <row r="71" spans="3:6" x14ac:dyDescent="0.25">
      <c r="C71" s="2" t="s">
        <v>85</v>
      </c>
      <c r="D71" s="2" t="s">
        <v>82</v>
      </c>
      <c r="E71" s="2">
        <v>56</v>
      </c>
      <c r="F71" s="2">
        <v>1259.693</v>
      </c>
    </row>
    <row r="72" spans="3:6" x14ac:dyDescent="0.25">
      <c r="C72" s="2" t="s">
        <v>86</v>
      </c>
      <c r="D72" s="2" t="s">
        <v>82</v>
      </c>
      <c r="E72" s="2">
        <v>38</v>
      </c>
      <c r="F72" s="2">
        <v>745.81</v>
      </c>
    </row>
    <row r="73" spans="3:6" x14ac:dyDescent="0.25">
      <c r="C73" s="2" t="s">
        <v>87</v>
      </c>
      <c r="D73" s="2" t="s">
        <v>82</v>
      </c>
      <c r="E73" s="2">
        <v>64</v>
      </c>
      <c r="F73" s="2">
        <v>1637.637</v>
      </c>
    </row>
    <row r="74" spans="3:6" x14ac:dyDescent="0.25">
      <c r="C74" s="2" t="s">
        <v>88</v>
      </c>
      <c r="D74" s="2" t="s">
        <v>82</v>
      </c>
      <c r="E74" s="2">
        <v>75</v>
      </c>
      <c r="F74" s="2">
        <v>331.23</v>
      </c>
    </row>
    <row r="75" spans="3:6" x14ac:dyDescent="0.25">
      <c r="C75" s="2" t="s">
        <v>89</v>
      </c>
      <c r="D75" s="2" t="s">
        <v>82</v>
      </c>
      <c r="E75" s="2">
        <v>81</v>
      </c>
      <c r="F75" s="2">
        <v>1666.1</v>
      </c>
    </row>
    <row r="76" spans="3:6" x14ac:dyDescent="0.25">
      <c r="C76" s="2" t="s">
        <v>90</v>
      </c>
      <c r="D76" s="2" t="s">
        <v>82</v>
      </c>
      <c r="E76" s="2">
        <v>60</v>
      </c>
      <c r="F76" s="2">
        <v>1160.28</v>
      </c>
    </row>
    <row r="77" spans="3:6" x14ac:dyDescent="0.25">
      <c r="C77" s="2" t="s">
        <v>91</v>
      </c>
      <c r="D77" s="2" t="s">
        <v>82</v>
      </c>
      <c r="E77" s="2">
        <v>51</v>
      </c>
      <c r="F77" s="2">
        <v>1058.1</v>
      </c>
    </row>
    <row r="78" spans="3:6" x14ac:dyDescent="0.25">
      <c r="C78" s="2" t="s">
        <v>92</v>
      </c>
      <c r="D78" s="2" t="s">
        <v>82</v>
      </c>
      <c r="E78" s="2">
        <v>90</v>
      </c>
      <c r="F78" s="2">
        <v>1696.94</v>
      </c>
    </row>
    <row r="79" spans="3:6" x14ac:dyDescent="0.25">
      <c r="C79" s="2" t="s">
        <v>93</v>
      </c>
      <c r="D79" s="2" t="s">
        <v>82</v>
      </c>
      <c r="E79" s="2">
        <v>141</v>
      </c>
      <c r="F79" s="2">
        <v>2875.56</v>
      </c>
    </row>
    <row r="80" spans="3:6" x14ac:dyDescent="0.25">
      <c r="C80" s="2" t="s">
        <v>94</v>
      </c>
      <c r="D80" s="2" t="s">
        <v>82</v>
      </c>
      <c r="E80" s="2">
        <v>141</v>
      </c>
      <c r="F80" s="2">
        <v>2919.427</v>
      </c>
    </row>
    <row r="81" spans="3:6" x14ac:dyDescent="0.25">
      <c r="C81" s="2" t="s">
        <v>95</v>
      </c>
      <c r="D81" s="2" t="s">
        <v>82</v>
      </c>
      <c r="E81" s="2">
        <v>141</v>
      </c>
      <c r="F81" s="2">
        <v>2905.8</v>
      </c>
    </row>
    <row r="82" spans="3:6" x14ac:dyDescent="0.25">
      <c r="C82" s="2" t="s">
        <v>96</v>
      </c>
      <c r="D82" s="2" t="s">
        <v>82</v>
      </c>
      <c r="E82" s="2">
        <v>141</v>
      </c>
      <c r="F82" s="2">
        <v>2784.359</v>
      </c>
    </row>
    <row r="83" spans="3:6" x14ac:dyDescent="0.25">
      <c r="C83" s="2" t="s">
        <v>97</v>
      </c>
      <c r="D83" s="2" t="s">
        <v>82</v>
      </c>
      <c r="E83" s="2">
        <v>75</v>
      </c>
      <c r="F83" s="2">
        <v>330.89</v>
      </c>
    </row>
    <row r="84" spans="3:6" x14ac:dyDescent="0.25">
      <c r="C84" s="2" t="s">
        <v>98</v>
      </c>
      <c r="D84" s="2" t="s">
        <v>82</v>
      </c>
      <c r="E84" s="2">
        <v>141</v>
      </c>
      <c r="F84" s="2">
        <v>2855.769</v>
      </c>
    </row>
    <row r="85" spans="3:6" x14ac:dyDescent="0.25">
      <c r="C85" s="2" t="s">
        <v>99</v>
      </c>
      <c r="D85" s="2" t="s">
        <v>82</v>
      </c>
      <c r="E85" s="2">
        <v>121</v>
      </c>
      <c r="F85" s="2">
        <v>2481.959</v>
      </c>
    </row>
    <row r="86" spans="3:6" x14ac:dyDescent="0.25">
      <c r="C86" s="2" t="s">
        <v>100</v>
      </c>
      <c r="D86" s="2" t="s">
        <v>82</v>
      </c>
      <c r="E86" s="2">
        <v>102</v>
      </c>
      <c r="F86" s="2">
        <v>2115.15</v>
      </c>
    </row>
    <row r="87" spans="3:6" x14ac:dyDescent="0.25">
      <c r="C87" s="2" t="s">
        <v>101</v>
      </c>
      <c r="D87" s="2" t="s">
        <v>82</v>
      </c>
      <c r="E87" s="2">
        <v>141</v>
      </c>
      <c r="F87" s="2">
        <v>3011.41</v>
      </c>
    </row>
    <row r="88" spans="3:6" x14ac:dyDescent="0.25">
      <c r="C88" s="2" t="s">
        <v>102</v>
      </c>
      <c r="D88" s="2" t="s">
        <v>82</v>
      </c>
      <c r="E88" s="2">
        <v>141</v>
      </c>
      <c r="F88" s="2">
        <v>2913.889</v>
      </c>
    </row>
    <row r="89" spans="3:6" x14ac:dyDescent="0.25">
      <c r="C89" s="2" t="s">
        <v>103</v>
      </c>
      <c r="D89" s="2" t="s">
        <v>82</v>
      </c>
      <c r="E89" s="2">
        <v>121</v>
      </c>
      <c r="F89" s="2">
        <v>2525.05</v>
      </c>
    </row>
    <row r="90" spans="3:6" x14ac:dyDescent="0.25">
      <c r="C90" s="2" t="s">
        <v>104</v>
      </c>
      <c r="D90" s="2" t="s">
        <v>82</v>
      </c>
      <c r="E90" s="2">
        <v>13</v>
      </c>
      <c r="F90" s="2">
        <v>247.59</v>
      </c>
    </row>
    <row r="91" spans="3:6" x14ac:dyDescent="0.25">
      <c r="C91" s="2" t="s">
        <v>105</v>
      </c>
      <c r="D91" s="2" t="s">
        <v>82</v>
      </c>
      <c r="E91" s="2">
        <v>62</v>
      </c>
      <c r="F91" s="2">
        <v>1200.53</v>
      </c>
    </row>
    <row r="92" spans="3:6" x14ac:dyDescent="0.25">
      <c r="C92" s="2" t="s">
        <v>106</v>
      </c>
      <c r="D92" s="2" t="s">
        <v>82</v>
      </c>
      <c r="E92" s="2">
        <v>10</v>
      </c>
      <c r="F92" s="2">
        <v>202.25</v>
      </c>
    </row>
    <row r="93" spans="3:6" x14ac:dyDescent="0.25">
      <c r="C93" s="2" t="s">
        <v>107</v>
      </c>
      <c r="D93" s="2" t="s">
        <v>82</v>
      </c>
      <c r="E93" s="2">
        <v>26</v>
      </c>
      <c r="F93" s="2">
        <v>480.35</v>
      </c>
    </row>
    <row r="94" spans="3:6" x14ac:dyDescent="0.25">
      <c r="C94" s="2" t="s">
        <v>108</v>
      </c>
      <c r="D94" s="2" t="s">
        <v>82</v>
      </c>
      <c r="E94" s="2">
        <v>66</v>
      </c>
      <c r="F94" s="2">
        <v>1264.7</v>
      </c>
    </row>
    <row r="95" spans="3:6" x14ac:dyDescent="0.25">
      <c r="C95" s="2" t="s">
        <v>109</v>
      </c>
      <c r="D95" s="2" t="s">
        <v>82</v>
      </c>
      <c r="E95" s="2">
        <v>79</v>
      </c>
      <c r="F95" s="2">
        <v>1605.07</v>
      </c>
    </row>
    <row r="96" spans="3:6" x14ac:dyDescent="0.25">
      <c r="C96" s="2" t="s">
        <v>110</v>
      </c>
      <c r="D96" s="2" t="s">
        <v>82</v>
      </c>
      <c r="E96" s="2">
        <v>55</v>
      </c>
      <c r="F96" s="2">
        <v>1079.89</v>
      </c>
    </row>
    <row r="97" spans="3:6" x14ac:dyDescent="0.25">
      <c r="C97" s="2" t="s">
        <v>111</v>
      </c>
      <c r="D97" s="2" t="s">
        <v>82</v>
      </c>
      <c r="E97" s="2">
        <v>52</v>
      </c>
      <c r="F97" s="2">
        <v>1042.25</v>
      </c>
    </row>
    <row r="98" spans="3:6" x14ac:dyDescent="0.25">
      <c r="C98" s="2" t="s">
        <v>112</v>
      </c>
      <c r="D98" s="2" t="s">
        <v>82</v>
      </c>
      <c r="E98" s="2">
        <v>50</v>
      </c>
      <c r="F98" s="2">
        <v>994.29</v>
      </c>
    </row>
    <row r="99" spans="3:6" x14ac:dyDescent="0.25">
      <c r="C99" s="2" t="s">
        <v>113</v>
      </c>
      <c r="D99" s="2" t="s">
        <v>82</v>
      </c>
      <c r="E99" s="2">
        <v>85</v>
      </c>
      <c r="F99" s="2">
        <v>1631.789</v>
      </c>
    </row>
    <row r="100" spans="3:6" x14ac:dyDescent="0.25">
      <c r="C100" s="2" t="s">
        <v>114</v>
      </c>
      <c r="D100" s="2" t="s">
        <v>82</v>
      </c>
      <c r="E100" s="2">
        <v>8</v>
      </c>
      <c r="F100" s="2">
        <v>133.93</v>
      </c>
    </row>
    <row r="101" spans="3:6" x14ac:dyDescent="0.25">
      <c r="C101" s="2" t="s">
        <v>115</v>
      </c>
      <c r="D101" s="2" t="s">
        <v>82</v>
      </c>
      <c r="E101" s="2">
        <v>28</v>
      </c>
      <c r="F101" s="2">
        <v>530.62</v>
      </c>
    </row>
    <row r="102" spans="3:6" x14ac:dyDescent="0.25">
      <c r="C102" s="2" t="s">
        <v>116</v>
      </c>
      <c r="D102" s="2" t="s">
        <v>82</v>
      </c>
      <c r="E102" s="2">
        <v>102</v>
      </c>
      <c r="F102" s="2">
        <v>2172.95</v>
      </c>
    </row>
    <row r="103" spans="3:6" x14ac:dyDescent="0.25">
      <c r="C103" s="2" t="s">
        <v>117</v>
      </c>
      <c r="D103" s="2" t="s">
        <v>82</v>
      </c>
      <c r="E103" s="2">
        <v>102</v>
      </c>
      <c r="F103" s="2">
        <v>1986.38</v>
      </c>
    </row>
    <row r="104" spans="3:6" x14ac:dyDescent="0.25">
      <c r="C104" s="2" t="s">
        <v>118</v>
      </c>
      <c r="D104" s="2" t="s">
        <v>82</v>
      </c>
      <c r="E104" s="2">
        <v>71</v>
      </c>
      <c r="F104" s="2">
        <v>1335.07</v>
      </c>
    </row>
    <row r="105" spans="3:6" x14ac:dyDescent="0.25">
      <c r="C105" s="2" t="s">
        <v>119</v>
      </c>
      <c r="D105" s="2" t="s">
        <v>82</v>
      </c>
      <c r="E105" s="2">
        <v>39</v>
      </c>
      <c r="F105" s="2">
        <v>749.549</v>
      </c>
    </row>
    <row r="106" spans="3:5" x14ac:dyDescent="0.25">
      <c r="C106" s="2" t="s">
        <v>120</v>
      </c>
      <c r="D106" s="2" t="s">
        <v>82</v>
      </c>
      <c r="E106" s="2">
        <v>7</v>
      </c>
    </row>
    <row r="107" spans="3:5" x14ac:dyDescent="0.25">
      <c r="C107" s="2" t="s">
        <v>121</v>
      </c>
      <c r="D107" s="2" t="s">
        <v>82</v>
      </c>
      <c r="E107" s="2">
        <v>4</v>
      </c>
    </row>
    <row r="109" spans="1:7" x14ac:dyDescent="0.25">
      <c r="A109" s="1">
        <v>46236</v>
      </c>
      <c r="B109" s="2" t="s">
        <v>122</v>
      </c>
      <c r="C109" s="2" t="s">
        <v>123</v>
      </c>
      <c r="D109" s="2" t="s">
        <v>9</v>
      </c>
      <c r="E109" s="2">
        <v>150</v>
      </c>
      <c r="F109" s="2">
        <f>1035.05+2015.44</f>
        <v>3050.49</v>
      </c>
      <c r="G109" s="1">
        <v>46237</v>
      </c>
    </row>
    <row r="110" spans="3:6" x14ac:dyDescent="0.25">
      <c r="C110" s="2" t="s">
        <v>124</v>
      </c>
      <c r="D110" s="2" t="s">
        <v>9</v>
      </c>
      <c r="E110" s="2">
        <v>150</v>
      </c>
      <c r="F110" s="2">
        <f>1044.84+1833.859</f>
        <v>2878.6989999999996</v>
      </c>
    </row>
    <row r="111" spans="3:6" x14ac:dyDescent="0.25">
      <c r="C111" s="2" t="s">
        <v>125</v>
      </c>
      <c r="D111" s="2" t="s">
        <v>9</v>
      </c>
      <c r="E111" s="2">
        <v>99</v>
      </c>
      <c r="F111" s="2">
        <v>1896.04</v>
      </c>
    </row>
    <row r="113" spans="1:7" x14ac:dyDescent="0.25">
      <c r="A113" s="1">
        <v>46236</v>
      </c>
      <c r="B113" s="2" t="s">
        <v>7</v>
      </c>
      <c r="C113" s="2" t="s">
        <v>126</v>
      </c>
      <c r="D113" s="2" t="s">
        <v>9</v>
      </c>
      <c r="E113" s="2">
        <v>99</v>
      </c>
      <c r="F113" s="2">
        <v>1868.24</v>
      </c>
      <c r="G113" s="1">
        <v>46237</v>
      </c>
    </row>
    <row r="114" spans="3:6" x14ac:dyDescent="0.25">
      <c r="C114" s="2" t="s">
        <v>127</v>
      </c>
      <c r="D114" s="2" t="s">
        <v>9</v>
      </c>
      <c r="E114" s="2">
        <v>90</v>
      </c>
      <c r="F114" s="2">
        <v>1818.66</v>
      </c>
    </row>
    <row r="116" spans="1:7" x14ac:dyDescent="0.25">
      <c r="A116" s="1">
        <v>46237</v>
      </c>
      <c r="B116" s="2" t="s">
        <v>128</v>
      </c>
      <c r="C116" s="2" t="s">
        <v>129</v>
      </c>
      <c r="D116" s="2" t="s">
        <v>30</v>
      </c>
      <c r="E116" s="2">
        <v>134</v>
      </c>
      <c r="F116" s="2">
        <v>2667.89</v>
      </c>
      <c r="G116" s="1">
        <v>46237</v>
      </c>
    </row>
    <row r="117" spans="3:6" x14ac:dyDescent="0.25">
      <c r="C117" s="2" t="s">
        <v>130</v>
      </c>
      <c r="D117" s="2" t="s">
        <v>26</v>
      </c>
      <c r="E117" s="2">
        <v>156</v>
      </c>
      <c r="F117" s="2">
        <v>3212.668</v>
      </c>
    </row>
    <row r="118" spans="3:6" x14ac:dyDescent="0.25">
      <c r="C118" s="2" t="s">
        <v>131</v>
      </c>
      <c r="D118" s="2" t="s">
        <v>26</v>
      </c>
      <c r="E118" s="2">
        <v>156</v>
      </c>
      <c r="F118" s="2">
        <v>2578.559</v>
      </c>
    </row>
    <row r="119" spans="3:6" x14ac:dyDescent="0.25">
      <c r="C119" s="2" t="s">
        <v>132</v>
      </c>
      <c r="D119" s="2" t="s">
        <v>30</v>
      </c>
      <c r="E119" s="2">
        <v>134</v>
      </c>
      <c r="F119" s="2">
        <v>2787.74</v>
      </c>
    </row>
    <row r="120" spans="3:6" x14ac:dyDescent="0.25">
      <c r="C120" s="2" t="s">
        <v>133</v>
      </c>
      <c r="D120" s="2" t="s">
        <v>30</v>
      </c>
      <c r="E120" s="2">
        <v>134</v>
      </c>
      <c r="F120" s="2">
        <v>2695.67</v>
      </c>
    </row>
    <row r="121" spans="3:6" x14ac:dyDescent="0.25">
      <c r="C121" s="2" t="s">
        <v>134</v>
      </c>
      <c r="D121" s="2" t="s">
        <v>15</v>
      </c>
      <c r="E121" s="2">
        <v>70</v>
      </c>
      <c r="F121" s="2">
        <v>1030.716</v>
      </c>
    </row>
    <row r="122" spans="3:6" x14ac:dyDescent="0.25">
      <c r="C122" s="2" t="s">
        <v>135</v>
      </c>
      <c r="D122" s="2" t="s">
        <v>136</v>
      </c>
      <c r="E122" s="2">
        <v>11</v>
      </c>
      <c r="F122" s="2">
        <v>186.33</v>
      </c>
    </row>
    <row r="123" spans="3:6" x14ac:dyDescent="0.25">
      <c r="C123" s="2" t="s">
        <v>137</v>
      </c>
      <c r="D123" s="2" t="s">
        <v>136</v>
      </c>
      <c r="E123" s="2">
        <v>24</v>
      </c>
      <c r="F123" s="2">
        <v>416.55</v>
      </c>
    </row>
    <row r="124" spans="3:6" x14ac:dyDescent="0.25">
      <c r="C124" s="2" t="s">
        <v>138</v>
      </c>
      <c r="D124" s="2" t="s">
        <v>15</v>
      </c>
      <c r="E124" s="2">
        <v>76</v>
      </c>
      <c r="F124" s="2">
        <v>1345.725</v>
      </c>
    </row>
    <row r="125" spans="3:6" x14ac:dyDescent="0.25">
      <c r="C125" s="2" t="s">
        <v>139</v>
      </c>
      <c r="D125" s="2" t="s">
        <v>15</v>
      </c>
      <c r="E125" s="2">
        <v>96</v>
      </c>
      <c r="F125" s="2">
        <v>2142.12</v>
      </c>
    </row>
    <row r="126" spans="3:6" x14ac:dyDescent="0.25">
      <c r="C126" s="2" t="s">
        <v>140</v>
      </c>
      <c r="D126" s="2" t="s">
        <v>15</v>
      </c>
      <c r="E126" s="2">
        <v>13</v>
      </c>
      <c r="F126" s="2">
        <v>270.13</v>
      </c>
    </row>
    <row r="127" spans="3:6" x14ac:dyDescent="0.25">
      <c r="C127" s="2" t="s">
        <v>141</v>
      </c>
      <c r="D127" s="2" t="s">
        <v>15</v>
      </c>
      <c r="E127" s="2">
        <v>74</v>
      </c>
      <c r="F127" s="2">
        <v>374.591</v>
      </c>
    </row>
    <row r="128" spans="3:6" x14ac:dyDescent="0.25">
      <c r="C128" s="2" t="s">
        <v>142</v>
      </c>
      <c r="D128" s="2" t="s">
        <v>26</v>
      </c>
      <c r="E128" s="2">
        <v>56</v>
      </c>
      <c r="F128" s="2">
        <v>1087.5</v>
      </c>
    </row>
    <row r="129" spans="3:6" x14ac:dyDescent="0.25">
      <c r="C129" s="2" t="s">
        <v>143</v>
      </c>
      <c r="D129" s="2" t="s">
        <v>26</v>
      </c>
      <c r="E129" s="2">
        <v>100</v>
      </c>
      <c r="F129" s="2">
        <v>2057.98</v>
      </c>
    </row>
    <row r="130" spans="3:6" x14ac:dyDescent="0.25">
      <c r="C130" s="2" t="s">
        <v>144</v>
      </c>
      <c r="D130" s="2" t="s">
        <v>42</v>
      </c>
      <c r="E130" s="2">
        <v>100</v>
      </c>
      <c r="F130" s="2">
        <v>1860.889</v>
      </c>
    </row>
    <row r="131" spans="3:6" x14ac:dyDescent="0.25">
      <c r="C131" s="2" t="s">
        <v>145</v>
      </c>
      <c r="D131" s="2" t="s">
        <v>42</v>
      </c>
      <c r="E131" s="2">
        <v>56</v>
      </c>
      <c r="F131" s="2">
        <v>1022.45</v>
      </c>
    </row>
    <row r="132" spans="3:6" x14ac:dyDescent="0.25">
      <c r="C132" s="2" t="s">
        <v>146</v>
      </c>
      <c r="D132" s="2" t="s">
        <v>15</v>
      </c>
      <c r="E132" s="2">
        <v>128</v>
      </c>
      <c r="F132" s="2">
        <v>2557.89</v>
      </c>
    </row>
    <row r="133" spans="3:6" x14ac:dyDescent="0.25">
      <c r="C133" s="2" t="s">
        <v>147</v>
      </c>
      <c r="D133" s="2" t="s">
        <v>15</v>
      </c>
      <c r="E133" s="2">
        <v>163</v>
      </c>
      <c r="F133" s="2">
        <v>3103.279</v>
      </c>
    </row>
    <row r="134" spans="3:6" x14ac:dyDescent="0.25">
      <c r="C134" s="2" t="s">
        <v>148</v>
      </c>
      <c r="D134" s="2" t="s">
        <v>15</v>
      </c>
      <c r="E134" s="2">
        <v>163</v>
      </c>
      <c r="F134" s="2">
        <v>3211.29</v>
      </c>
    </row>
    <row r="135" spans="3:6" x14ac:dyDescent="0.25">
      <c r="C135" s="2" t="s">
        <v>149</v>
      </c>
      <c r="D135" s="2" t="s">
        <v>36</v>
      </c>
      <c r="E135" s="2">
        <v>45</v>
      </c>
      <c r="F135" s="2">
        <v>839.21</v>
      </c>
    </row>
    <row r="136" spans="3:6" x14ac:dyDescent="0.25">
      <c r="C136" s="2" t="s">
        <v>150</v>
      </c>
      <c r="D136" s="2" t="s">
        <v>36</v>
      </c>
      <c r="E136" s="2">
        <v>25</v>
      </c>
      <c r="F136" s="2">
        <v>495.959</v>
      </c>
    </row>
    <row r="137" spans="3:6" x14ac:dyDescent="0.25">
      <c r="C137" s="2" t="s">
        <v>151</v>
      </c>
      <c r="D137" s="2" t="s">
        <v>36</v>
      </c>
      <c r="E137" s="2">
        <v>60</v>
      </c>
      <c r="F137" s="2">
        <v>1000.799</v>
      </c>
    </row>
    <row r="138" spans="3:6" x14ac:dyDescent="0.25">
      <c r="C138" s="2" t="s">
        <v>152</v>
      </c>
      <c r="D138" s="2" t="s">
        <v>36</v>
      </c>
      <c r="E138" s="2">
        <v>80</v>
      </c>
      <c r="F138" s="2">
        <v>1530.88</v>
      </c>
    </row>
    <row r="139" spans="3:6" x14ac:dyDescent="0.25">
      <c r="C139" s="2" t="s">
        <v>153</v>
      </c>
      <c r="D139" s="2" t="s">
        <v>15</v>
      </c>
      <c r="E139" s="2">
        <v>53</v>
      </c>
      <c r="F139" s="2">
        <v>1088.67</v>
      </c>
    </row>
    <row r="140" spans="3:6" x14ac:dyDescent="0.25">
      <c r="C140" s="2" t="s">
        <v>154</v>
      </c>
      <c r="D140" s="2" t="s">
        <v>15</v>
      </c>
      <c r="E140" s="2">
        <v>52</v>
      </c>
      <c r="F140" s="2">
        <v>1038.02</v>
      </c>
    </row>
    <row r="141" spans="3:6" x14ac:dyDescent="0.25">
      <c r="C141" s="2" t="s">
        <v>155</v>
      </c>
      <c r="D141" s="2" t="s">
        <v>30</v>
      </c>
      <c r="E141" s="2">
        <v>134</v>
      </c>
      <c r="F141" s="2">
        <v>2558.98</v>
      </c>
    </row>
    <row r="142" spans="3:6" x14ac:dyDescent="0.25">
      <c r="C142" s="2" t="s">
        <v>156</v>
      </c>
      <c r="D142" s="2" t="s">
        <v>30</v>
      </c>
      <c r="E142" s="2">
        <v>134</v>
      </c>
      <c r="F142" s="2">
        <v>2704.71</v>
      </c>
    </row>
    <row r="143" spans="3:6" x14ac:dyDescent="0.25">
      <c r="C143" s="2" t="s">
        <v>33</v>
      </c>
      <c r="D143" s="2" t="s">
        <v>30</v>
      </c>
      <c r="E143" s="2">
        <v>102</v>
      </c>
      <c r="F143" s="2">
        <v>2052.669</v>
      </c>
    </row>
    <row r="144" spans="3:6" x14ac:dyDescent="0.25">
      <c r="C144" s="2" t="s">
        <v>21</v>
      </c>
      <c r="D144" s="2" t="s">
        <v>15</v>
      </c>
      <c r="E144" s="2">
        <v>134</v>
      </c>
      <c r="F144" s="2">
        <v>2797.18</v>
      </c>
    </row>
    <row r="145" spans="3:6" x14ac:dyDescent="0.25">
      <c r="C145" s="2" t="s">
        <v>157</v>
      </c>
      <c r="D145" s="2" t="s">
        <v>15</v>
      </c>
      <c r="E145" s="2">
        <v>20</v>
      </c>
      <c r="F145" s="2">
        <v>358</v>
      </c>
    </row>
    <row r="147" spans="3:7" x14ac:dyDescent="0.25">
      <c r="C147" s="2" t="s">
        <v>158</v>
      </c>
      <c r="D147" s="2" t="s">
        <v>136</v>
      </c>
      <c r="E147" s="2">
        <v>139</v>
      </c>
      <c r="F147" s="2">
        <v>2688.53</v>
      </c>
      <c r="G147" s="1">
        <v>46237</v>
      </c>
    </row>
    <row r="148" spans="3:6" x14ac:dyDescent="0.25">
      <c r="C148" s="2" t="s">
        <v>159</v>
      </c>
      <c r="D148" s="2" t="s">
        <v>136</v>
      </c>
      <c r="E148" s="2">
        <v>17</v>
      </c>
      <c r="F148" s="2">
        <v>302.269</v>
      </c>
    </row>
    <row r="149" spans="3:6" x14ac:dyDescent="0.25">
      <c r="C149" s="2" t="s">
        <v>160</v>
      </c>
      <c r="D149" s="2" t="s">
        <v>136</v>
      </c>
      <c r="E149" s="2">
        <v>156</v>
      </c>
      <c r="F149" s="2">
        <v>3196.36</v>
      </c>
    </row>
    <row r="151" spans="2:7" x14ac:dyDescent="0.25">
      <c r="B151" s="2" t="s">
        <v>48</v>
      </c>
      <c r="C151" s="2" t="s">
        <v>161</v>
      </c>
      <c r="D151" s="2" t="s">
        <v>30</v>
      </c>
      <c r="E151" s="2">
        <v>100</v>
      </c>
      <c r="F151" s="2">
        <v>1903.27</v>
      </c>
      <c r="G151" s="1">
        <v>46237</v>
      </c>
    </row>
    <row r="152" spans="3:6" x14ac:dyDescent="0.25">
      <c r="C152" s="2" t="s">
        <v>162</v>
      </c>
      <c r="D152" s="2" t="s">
        <v>30</v>
      </c>
      <c r="E152" s="2">
        <v>56</v>
      </c>
      <c r="F152" s="2">
        <v>1048.14</v>
      </c>
    </row>
    <row r="153" spans="3:6" x14ac:dyDescent="0.25">
      <c r="C153" s="2" t="s">
        <v>163</v>
      </c>
      <c r="D153" s="2" t="s">
        <v>30</v>
      </c>
      <c r="E153" s="2">
        <v>105</v>
      </c>
      <c r="F153" s="2">
        <v>2011.6</v>
      </c>
    </row>
    <row r="154" spans="3:6" x14ac:dyDescent="0.25">
      <c r="C154" s="2" t="s">
        <v>164</v>
      </c>
      <c r="D154" s="2" t="s">
        <v>53</v>
      </c>
      <c r="E154" s="2">
        <v>100</v>
      </c>
      <c r="F154" s="2">
        <v>1836.58</v>
      </c>
    </row>
    <row r="155" spans="3:6" x14ac:dyDescent="0.25">
      <c r="C155" s="2" t="s">
        <v>165</v>
      </c>
      <c r="D155" s="2" t="s">
        <v>53</v>
      </c>
      <c r="E155" s="2">
        <v>53</v>
      </c>
      <c r="F155" s="2">
        <v>1008.56</v>
      </c>
    </row>
    <row r="156" spans="3:6" x14ac:dyDescent="0.25">
      <c r="C156" s="2" t="s">
        <v>166</v>
      </c>
      <c r="D156" s="2" t="s">
        <v>53</v>
      </c>
      <c r="E156" s="2">
        <v>3</v>
      </c>
      <c r="F156" s="2">
        <v>47.16</v>
      </c>
    </row>
    <row r="158" spans="1:7" x14ac:dyDescent="0.25">
      <c r="A158" s="1">
        <v>46236</v>
      </c>
      <c r="B158" s="2" t="s">
        <v>57</v>
      </c>
      <c r="C158" s="2" t="s">
        <v>167</v>
      </c>
      <c r="D158" s="2" t="s">
        <v>59</v>
      </c>
      <c r="E158" s="2">
        <v>80</v>
      </c>
      <c r="F158" s="2">
        <v>1700.72</v>
      </c>
      <c r="G158" s="1">
        <v>46235</v>
      </c>
    </row>
    <row r="159" spans="3:6" x14ac:dyDescent="0.25">
      <c r="C159" s="2" t="s">
        <v>168</v>
      </c>
      <c r="D159" s="2" t="s">
        <v>59</v>
      </c>
      <c r="E159" s="2">
        <v>154</v>
      </c>
      <c r="F159" s="2">
        <v>3145.81</v>
      </c>
    </row>
    <row r="160" spans="3:6" x14ac:dyDescent="0.25">
      <c r="C160" s="2" t="s">
        <v>169</v>
      </c>
      <c r="D160" s="2" t="s">
        <v>59</v>
      </c>
      <c r="E160" s="2">
        <v>105</v>
      </c>
      <c r="F160" s="2">
        <v>1993.079</v>
      </c>
    </row>
    <row r="161" spans="3:6" x14ac:dyDescent="0.25">
      <c r="C161" s="2" t="s">
        <v>170</v>
      </c>
      <c r="D161" s="2" t="s">
        <v>59</v>
      </c>
      <c r="E161" s="2">
        <v>156</v>
      </c>
      <c r="F161" s="2">
        <v>3076.879</v>
      </c>
    </row>
    <row r="162" spans="3:6" x14ac:dyDescent="0.25">
      <c r="C162" s="2" t="s">
        <v>171</v>
      </c>
      <c r="D162" s="2" t="s">
        <v>59</v>
      </c>
      <c r="E162" s="2">
        <v>93</v>
      </c>
      <c r="F162" s="2">
        <v>1805.21</v>
      </c>
    </row>
    <row r="163" spans="3:6" x14ac:dyDescent="0.25">
      <c r="C163" s="2" t="s">
        <v>172</v>
      </c>
      <c r="D163" s="2" t="s">
        <v>59</v>
      </c>
      <c r="E163" s="2">
        <v>156</v>
      </c>
      <c r="F163" s="2">
        <v>3009.699</v>
      </c>
    </row>
    <row r="164" spans="3:6" x14ac:dyDescent="0.25">
      <c r="C164" s="2" t="s">
        <v>173</v>
      </c>
      <c r="D164" s="2" t="s">
        <v>59</v>
      </c>
      <c r="E164" s="2">
        <v>156</v>
      </c>
      <c r="F164" s="2">
        <v>3065.029</v>
      </c>
    </row>
    <row r="165" spans="3:6" x14ac:dyDescent="0.25">
      <c r="C165" s="2" t="s">
        <v>174</v>
      </c>
      <c r="D165" s="2" t="s">
        <v>59</v>
      </c>
      <c r="E165" s="2">
        <v>156</v>
      </c>
      <c r="F165" s="2">
        <v>3032.53</v>
      </c>
    </row>
    <row r="166" spans="3:6" x14ac:dyDescent="0.25">
      <c r="C166" s="2" t="s">
        <v>175</v>
      </c>
      <c r="D166" s="2" t="s">
        <v>59</v>
      </c>
      <c r="E166" s="2">
        <v>105</v>
      </c>
      <c r="F166" s="2">
        <v>2007.359</v>
      </c>
    </row>
    <row r="168" spans="1:7" x14ac:dyDescent="0.25">
      <c r="A168" s="1">
        <v>46237</v>
      </c>
      <c r="B168" s="2" t="s">
        <v>176</v>
      </c>
      <c r="C168" s="2" t="s">
        <v>177</v>
      </c>
      <c r="D168" s="2" t="s">
        <v>178</v>
      </c>
      <c r="E168" s="2">
        <v>146</v>
      </c>
      <c r="F168" s="2">
        <v>2795.78</v>
      </c>
      <c r="G168" s="1">
        <v>46237</v>
      </c>
    </row>
    <row r="169" spans="3:6" x14ac:dyDescent="0.25">
      <c r="C169" s="2" t="s">
        <v>179</v>
      </c>
      <c r="D169" s="2" t="s">
        <v>178</v>
      </c>
      <c r="E169" s="2">
        <v>141</v>
      </c>
      <c r="F169" s="2">
        <v>2794.51</v>
      </c>
    </row>
    <row r="170" spans="3:6" x14ac:dyDescent="0.25">
      <c r="C170" s="2" t="s">
        <v>180</v>
      </c>
      <c r="D170" s="2" t="s">
        <v>178</v>
      </c>
      <c r="E170" s="2">
        <v>145</v>
      </c>
      <c r="F170" s="2">
        <v>636.587</v>
      </c>
    </row>
    <row r="171" spans="3:6" x14ac:dyDescent="0.25">
      <c r="C171" s="2" t="s">
        <v>181</v>
      </c>
      <c r="D171" s="2" t="s">
        <v>178</v>
      </c>
      <c r="E171" s="2">
        <v>102</v>
      </c>
      <c r="F171" s="2">
        <v>2031.859</v>
      </c>
    </row>
    <row r="172" spans="3:6" x14ac:dyDescent="0.25">
      <c r="C172" s="2" t="s">
        <v>182</v>
      </c>
      <c r="D172" s="2" t="s">
        <v>178</v>
      </c>
      <c r="E172" s="2">
        <v>123</v>
      </c>
      <c r="F172" s="2">
        <v>2545.929</v>
      </c>
    </row>
    <row r="173" spans="3:6" x14ac:dyDescent="0.25">
      <c r="C173" s="2" t="s">
        <v>183</v>
      </c>
      <c r="D173" s="2" t="s">
        <v>178</v>
      </c>
      <c r="E173" s="2">
        <v>115</v>
      </c>
      <c r="F173" s="2">
        <v>2280.46</v>
      </c>
    </row>
    <row r="174" spans="3:6" x14ac:dyDescent="0.25">
      <c r="C174" s="2" t="s">
        <v>184</v>
      </c>
      <c r="D174" s="2" t="s">
        <v>178</v>
      </c>
      <c r="E174" s="2">
        <v>125</v>
      </c>
      <c r="F174" s="2">
        <v>2457.539</v>
      </c>
    </row>
    <row r="175" spans="3:6" x14ac:dyDescent="0.25">
      <c r="C175" s="2" t="s">
        <v>185</v>
      </c>
      <c r="D175" s="2" t="s">
        <v>178</v>
      </c>
      <c r="E175" s="2">
        <v>141</v>
      </c>
      <c r="F175" s="2">
        <v>2822.899</v>
      </c>
    </row>
    <row r="176" spans="3:6" x14ac:dyDescent="0.25">
      <c r="C176" s="2" t="s">
        <v>186</v>
      </c>
      <c r="D176" s="2" t="s">
        <v>178</v>
      </c>
      <c r="E176" s="2">
        <v>141</v>
      </c>
      <c r="F176" s="2">
        <v>2929.459</v>
      </c>
    </row>
    <row r="177" spans="3:6" x14ac:dyDescent="0.25">
      <c r="C177" s="2" t="s">
        <v>187</v>
      </c>
      <c r="D177" s="2" t="s">
        <v>178</v>
      </c>
      <c r="E177" s="2">
        <v>141</v>
      </c>
      <c r="F177" s="2">
        <v>2881.118</v>
      </c>
    </row>
    <row r="178" spans="3:6" x14ac:dyDescent="0.25">
      <c r="C178" s="2" t="s">
        <v>188</v>
      </c>
      <c r="D178" s="2" t="s">
        <v>178</v>
      </c>
      <c r="E178" s="2">
        <v>44</v>
      </c>
      <c r="F178" s="2">
        <v>764.672</v>
      </c>
    </row>
    <row r="179" spans="3:6" x14ac:dyDescent="0.25">
      <c r="C179" s="2" t="s">
        <v>189</v>
      </c>
      <c r="D179" s="2" t="s">
        <v>178</v>
      </c>
      <c r="E179" s="2">
        <v>48</v>
      </c>
      <c r="F179" s="2">
        <v>887.514</v>
      </c>
    </row>
    <row r="180" spans="3:6" x14ac:dyDescent="0.25">
      <c r="C180" s="2" t="s">
        <v>190</v>
      </c>
      <c r="D180" s="2" t="s">
        <v>178</v>
      </c>
      <c r="E180" s="2">
        <v>123</v>
      </c>
      <c r="F180" s="2">
        <v>2374.78</v>
      </c>
    </row>
    <row r="181" spans="3:6" x14ac:dyDescent="0.25">
      <c r="C181" s="2" t="s">
        <v>191</v>
      </c>
      <c r="D181" s="2" t="s">
        <v>178</v>
      </c>
      <c r="E181" s="2">
        <v>123</v>
      </c>
      <c r="F181" s="2">
        <v>2431.749</v>
      </c>
    </row>
    <row r="182" spans="3:6" x14ac:dyDescent="0.25">
      <c r="C182" s="2" t="s">
        <v>192</v>
      </c>
      <c r="D182" s="2" t="s">
        <v>178</v>
      </c>
      <c r="E182" s="2">
        <v>141</v>
      </c>
      <c r="F182" s="2">
        <v>2759.528</v>
      </c>
    </row>
    <row r="183" spans="3:6" x14ac:dyDescent="0.25">
      <c r="C183" s="2" t="s">
        <v>193</v>
      </c>
      <c r="D183" s="2" t="s">
        <v>178</v>
      </c>
      <c r="E183" s="2">
        <v>141</v>
      </c>
      <c r="F183" s="2">
        <v>2868.44</v>
      </c>
    </row>
    <row r="184" spans="3:6" x14ac:dyDescent="0.25">
      <c r="C184" s="2" t="s">
        <v>194</v>
      </c>
      <c r="D184" s="2" t="s">
        <v>178</v>
      </c>
      <c r="E184" s="2">
        <v>141</v>
      </c>
      <c r="F184" s="2">
        <v>2755.66</v>
      </c>
    </row>
    <row r="185" spans="3:6" x14ac:dyDescent="0.25">
      <c r="C185" s="2" t="s">
        <v>195</v>
      </c>
      <c r="D185" s="2" t="s">
        <v>178</v>
      </c>
      <c r="E185" s="2">
        <v>141</v>
      </c>
      <c r="F185" s="2">
        <v>2890.5</v>
      </c>
    </row>
    <row r="186" spans="3:6" x14ac:dyDescent="0.25">
      <c r="C186" s="2" t="s">
        <v>196</v>
      </c>
      <c r="D186" s="2" t="s">
        <v>178</v>
      </c>
      <c r="E186" s="2">
        <v>141</v>
      </c>
      <c r="F186" s="2">
        <v>2830.91</v>
      </c>
    </row>
    <row r="187" spans="3:6" x14ac:dyDescent="0.25">
      <c r="C187" s="2" t="s">
        <v>197</v>
      </c>
      <c r="D187" s="2" t="s">
        <v>178</v>
      </c>
      <c r="E187" s="2">
        <v>47</v>
      </c>
      <c r="F187" s="2">
        <v>844.175</v>
      </c>
    </row>
    <row r="188" spans="3:6" x14ac:dyDescent="0.25">
      <c r="C188" s="2" t="s">
        <v>198</v>
      </c>
      <c r="D188" s="2" t="s">
        <v>178</v>
      </c>
      <c r="E188" s="2">
        <v>44</v>
      </c>
      <c r="F188" s="2">
        <v>861.592</v>
      </c>
    </row>
    <row r="189" spans="3:6" x14ac:dyDescent="0.25">
      <c r="C189" s="2" t="s">
        <v>199</v>
      </c>
      <c r="D189" s="2" t="s">
        <v>178</v>
      </c>
      <c r="E189" s="2">
        <v>3</v>
      </c>
      <c r="F189" s="2">
        <v>67.65</v>
      </c>
    </row>
    <row r="190" spans="3:6" x14ac:dyDescent="0.25">
      <c r="C190" s="2" t="s">
        <v>200</v>
      </c>
      <c r="D190" s="2" t="s">
        <v>178</v>
      </c>
      <c r="E190" s="2">
        <v>5</v>
      </c>
      <c r="F190" s="2">
        <v>104.64</v>
      </c>
    </row>
    <row r="191" spans="3:6" x14ac:dyDescent="0.25">
      <c r="C191" s="2" t="s">
        <v>201</v>
      </c>
      <c r="D191" s="2" t="s">
        <v>178</v>
      </c>
      <c r="E191" s="2">
        <v>9</v>
      </c>
      <c r="F191" s="2">
        <v>182</v>
      </c>
    </row>
    <row r="192" spans="3:6" x14ac:dyDescent="0.25">
      <c r="C192" s="2" t="s">
        <v>202</v>
      </c>
      <c r="D192" s="2" t="s">
        <v>178</v>
      </c>
      <c r="E192" s="2">
        <v>7</v>
      </c>
      <c r="F192" s="2">
        <v>67</v>
      </c>
    </row>
    <row r="193" spans="3:6" x14ac:dyDescent="0.25">
      <c r="C193" s="2" t="s">
        <v>203</v>
      </c>
      <c r="D193" s="2" t="s">
        <v>178</v>
      </c>
      <c r="E193" s="2">
        <v>33</v>
      </c>
      <c r="F193" s="2">
        <v>663.92</v>
      </c>
    </row>
    <row r="194" spans="3:6" x14ac:dyDescent="0.25">
      <c r="C194" s="2" t="s">
        <v>204</v>
      </c>
      <c r="D194" s="2" t="s">
        <v>178</v>
      </c>
      <c r="E194" s="2">
        <v>18</v>
      </c>
      <c r="F194" s="2">
        <v>313.357</v>
      </c>
    </row>
    <row r="195" spans="3:6" x14ac:dyDescent="0.25">
      <c r="C195" s="2" t="s">
        <v>205</v>
      </c>
      <c r="D195" s="2" t="s">
        <v>178</v>
      </c>
      <c r="E195" s="2">
        <v>142</v>
      </c>
      <c r="F195" s="2">
        <v>2476.398</v>
      </c>
    </row>
    <row r="196" spans="3:6" x14ac:dyDescent="0.25">
      <c r="C196" s="2" t="s">
        <v>206</v>
      </c>
      <c r="D196" s="2" t="s">
        <v>178</v>
      </c>
      <c r="E196" s="2">
        <v>100</v>
      </c>
      <c r="F196" s="2">
        <v>1992.619</v>
      </c>
    </row>
    <row r="197" spans="3:6" x14ac:dyDescent="0.25">
      <c r="C197" s="2" t="s">
        <v>207</v>
      </c>
      <c r="D197" s="2" t="s">
        <v>178</v>
      </c>
      <c r="E197" s="2">
        <v>41</v>
      </c>
      <c r="F197" s="2">
        <v>821.35</v>
      </c>
    </row>
    <row r="198" spans="3:6" x14ac:dyDescent="0.25">
      <c r="C198" s="2" t="s">
        <v>208</v>
      </c>
      <c r="D198" s="2" t="s">
        <v>178</v>
      </c>
      <c r="E198" s="2">
        <v>51</v>
      </c>
      <c r="F198" s="2">
        <v>960.359</v>
      </c>
    </row>
    <row r="199" spans="3:6" x14ac:dyDescent="0.25">
      <c r="C199" s="2" t="s">
        <v>209</v>
      </c>
      <c r="D199" s="2" t="s">
        <v>178</v>
      </c>
      <c r="E199" s="2">
        <v>51</v>
      </c>
      <c r="F199" s="2">
        <v>932.779</v>
      </c>
    </row>
    <row r="200" spans="3:6" x14ac:dyDescent="0.25">
      <c r="C200" s="2" t="s">
        <v>210</v>
      </c>
      <c r="D200" s="2" t="s">
        <v>178</v>
      </c>
      <c r="E200" s="2">
        <v>141</v>
      </c>
      <c r="F200" s="2">
        <v>2784.719</v>
      </c>
    </row>
    <row r="201" spans="3:6" x14ac:dyDescent="0.25">
      <c r="C201" s="2" t="s">
        <v>211</v>
      </c>
      <c r="D201" s="2" t="s">
        <v>178</v>
      </c>
      <c r="E201" s="2">
        <v>102</v>
      </c>
      <c r="F201" s="2">
        <v>1777.069</v>
      </c>
    </row>
    <row r="202" spans="3:6" x14ac:dyDescent="0.25">
      <c r="C202" s="2" t="s">
        <v>212</v>
      </c>
      <c r="D202" s="2" t="s">
        <v>178</v>
      </c>
      <c r="E202" s="2">
        <v>82</v>
      </c>
      <c r="F202" s="2">
        <v>1466.89</v>
      </c>
    </row>
    <row r="203" spans="3:6" x14ac:dyDescent="0.25">
      <c r="C203" s="2" t="s">
        <v>213</v>
      </c>
      <c r="D203" s="2" t="s">
        <v>178</v>
      </c>
      <c r="E203" s="2">
        <v>20</v>
      </c>
      <c r="F203" s="2">
        <v>396.86</v>
      </c>
    </row>
    <row r="204" spans="3:6" x14ac:dyDescent="0.25">
      <c r="C204" s="2" t="s">
        <v>214</v>
      </c>
      <c r="D204" s="2" t="s">
        <v>178</v>
      </c>
      <c r="E204" s="2">
        <v>22</v>
      </c>
      <c r="F204" s="2">
        <v>429.369</v>
      </c>
    </row>
    <row r="205" spans="3:6" x14ac:dyDescent="0.25">
      <c r="C205" s="2" t="s">
        <v>215</v>
      </c>
      <c r="D205" s="2" t="s">
        <v>178</v>
      </c>
      <c r="E205" s="2">
        <v>13</v>
      </c>
      <c r="F205" s="2">
        <v>259.495</v>
      </c>
    </row>
    <row r="206" spans="3:6" x14ac:dyDescent="0.25">
      <c r="C206" s="2" t="s">
        <v>216</v>
      </c>
      <c r="D206" s="2" t="s">
        <v>178</v>
      </c>
      <c r="E206" s="2">
        <v>67</v>
      </c>
      <c r="F206" s="2">
        <v>1294.808</v>
      </c>
    </row>
    <row r="207" spans="3:6" x14ac:dyDescent="0.25">
      <c r="C207" s="2" t="s">
        <v>217</v>
      </c>
      <c r="D207" s="2" t="s">
        <v>178</v>
      </c>
      <c r="E207" s="2">
        <v>110</v>
      </c>
      <c r="F207" s="2">
        <v>2004.08</v>
      </c>
    </row>
    <row r="208" spans="3:6" x14ac:dyDescent="0.25">
      <c r="C208" s="2" t="s">
        <v>218</v>
      </c>
      <c r="D208" s="2" t="s">
        <v>178</v>
      </c>
      <c r="E208" s="2">
        <v>7</v>
      </c>
      <c r="F208" s="2">
        <v>151.45</v>
      </c>
    </row>
    <row r="209" spans="3:6" x14ac:dyDescent="0.25">
      <c r="C209" s="2" t="s">
        <v>219</v>
      </c>
      <c r="D209" s="2" t="s">
        <v>178</v>
      </c>
      <c r="E209" s="2">
        <v>14</v>
      </c>
      <c r="F209" s="2">
        <v>272.34</v>
      </c>
    </row>
    <row r="210" spans="3:6" x14ac:dyDescent="0.25">
      <c r="C210" s="2" t="s">
        <v>220</v>
      </c>
      <c r="D210" s="2" t="s">
        <v>178</v>
      </c>
      <c r="E210" s="2">
        <v>10</v>
      </c>
      <c r="F210" s="2">
        <v>209.75</v>
      </c>
    </row>
    <row r="211" spans="3:6" x14ac:dyDescent="0.25">
      <c r="C211" s="2" t="s">
        <v>221</v>
      </c>
      <c r="D211" s="2" t="s">
        <v>178</v>
      </c>
      <c r="E211" s="2">
        <v>34</v>
      </c>
      <c r="F211" s="2">
        <v>641.88</v>
      </c>
    </row>
    <row r="212" spans="3:6" x14ac:dyDescent="0.25">
      <c r="C212" s="2" t="s">
        <v>222</v>
      </c>
      <c r="D212" s="2" t="s">
        <v>178</v>
      </c>
      <c r="E212" s="2">
        <v>33</v>
      </c>
      <c r="F212" s="2">
        <v>616.88</v>
      </c>
    </row>
    <row r="213" spans="3:6" x14ac:dyDescent="0.25">
      <c r="C213" s="2" t="s">
        <v>223</v>
      </c>
      <c r="D213" s="2" t="s">
        <v>178</v>
      </c>
      <c r="E213" s="2">
        <v>31</v>
      </c>
      <c r="F213" s="2">
        <v>617.15</v>
      </c>
    </row>
    <row r="214" spans="3:6" x14ac:dyDescent="0.25">
      <c r="C214" s="2" t="s">
        <v>224</v>
      </c>
      <c r="D214" s="2" t="s">
        <v>178</v>
      </c>
      <c r="E214" s="2">
        <v>43</v>
      </c>
      <c r="F214" s="2">
        <v>905.78</v>
      </c>
    </row>
    <row r="215" spans="3:6" x14ac:dyDescent="0.25">
      <c r="C215" s="2" t="s">
        <v>225</v>
      </c>
      <c r="D215" s="2" t="s">
        <v>178</v>
      </c>
      <c r="E215" s="2">
        <v>141</v>
      </c>
      <c r="F215" s="2">
        <v>2439.078</v>
      </c>
    </row>
    <row r="216" spans="3:6" x14ac:dyDescent="0.25">
      <c r="C216" s="2" t="s">
        <v>226</v>
      </c>
      <c r="D216" s="2" t="s">
        <v>178</v>
      </c>
      <c r="E216" s="2">
        <v>36</v>
      </c>
      <c r="F216" s="2">
        <v>726.26</v>
      </c>
    </row>
    <row r="217" spans="3:6" x14ac:dyDescent="0.25">
      <c r="C217" s="2" t="s">
        <v>227</v>
      </c>
      <c r="D217" s="2" t="s">
        <v>178</v>
      </c>
      <c r="E217" s="2">
        <v>44</v>
      </c>
      <c r="F217" s="2">
        <v>908.14</v>
      </c>
    </row>
    <row r="218" spans="3:6" x14ac:dyDescent="0.25">
      <c r="C218" s="2" t="s">
        <v>228</v>
      </c>
      <c r="D218" s="2" t="s">
        <v>178</v>
      </c>
      <c r="E218" s="2">
        <v>61</v>
      </c>
      <c r="F218" s="2">
        <v>1190.2</v>
      </c>
    </row>
    <row r="220" spans="1:7" x14ac:dyDescent="0.25">
      <c r="A220" s="1">
        <v>46237</v>
      </c>
      <c r="B220" s="2" t="s">
        <v>229</v>
      </c>
      <c r="C220" s="2" t="s">
        <v>230</v>
      </c>
      <c r="D220" s="2" t="s">
        <v>82</v>
      </c>
      <c r="E220" s="2">
        <v>141</v>
      </c>
      <c r="F220" s="2">
        <v>2754.63</v>
      </c>
      <c r="G220" s="1">
        <v>46237</v>
      </c>
    </row>
    <row r="221" spans="3:6" x14ac:dyDescent="0.25">
      <c r="C221" s="2" t="s">
        <v>231</v>
      </c>
      <c r="D221" s="2" t="s">
        <v>82</v>
      </c>
      <c r="E221" s="2">
        <v>141</v>
      </c>
      <c r="F221" s="2">
        <v>2686.828</v>
      </c>
    </row>
    <row r="222" spans="3:6" x14ac:dyDescent="0.25">
      <c r="C222" s="2" t="s">
        <v>232</v>
      </c>
      <c r="D222" s="2" t="s">
        <v>82</v>
      </c>
      <c r="E222" s="2">
        <v>141</v>
      </c>
      <c r="F222" s="2">
        <v>2835.739</v>
      </c>
    </row>
    <row r="223" spans="3:6" x14ac:dyDescent="0.25">
      <c r="C223" s="2" t="s">
        <v>233</v>
      </c>
      <c r="D223" s="2" t="s">
        <v>82</v>
      </c>
      <c r="E223" s="2">
        <v>71</v>
      </c>
      <c r="F223" s="2">
        <v>1450.91</v>
      </c>
    </row>
    <row r="224" spans="3:6" x14ac:dyDescent="0.25">
      <c r="C224" s="2" t="s">
        <v>234</v>
      </c>
      <c r="D224" s="2" t="s">
        <v>82</v>
      </c>
      <c r="E224" s="2">
        <v>70</v>
      </c>
      <c r="F224" s="2">
        <v>1406.14</v>
      </c>
    </row>
    <row r="225" spans="3:6" x14ac:dyDescent="0.25">
      <c r="C225" s="2" t="s">
        <v>235</v>
      </c>
      <c r="D225" s="2" t="s">
        <v>82</v>
      </c>
      <c r="E225" s="2">
        <v>101</v>
      </c>
      <c r="F225" s="2">
        <v>1883.969</v>
      </c>
    </row>
    <row r="226" spans="3:6" x14ac:dyDescent="0.25">
      <c r="C226" s="2" t="s">
        <v>236</v>
      </c>
      <c r="D226" s="2" t="s">
        <v>82</v>
      </c>
      <c r="E226" s="2">
        <v>40</v>
      </c>
      <c r="F226" s="2">
        <v>789.81</v>
      </c>
    </row>
    <row r="227" spans="3:6" x14ac:dyDescent="0.25">
      <c r="C227" s="2" t="s">
        <v>237</v>
      </c>
      <c r="D227" s="2" t="s">
        <v>82</v>
      </c>
      <c r="E227" s="2">
        <v>51</v>
      </c>
      <c r="F227" s="2">
        <v>974.52</v>
      </c>
    </row>
    <row r="228" spans="3:6" x14ac:dyDescent="0.25">
      <c r="C228" s="2" t="s">
        <v>238</v>
      </c>
      <c r="D228" s="2" t="s">
        <v>82</v>
      </c>
      <c r="E228" s="2">
        <v>51</v>
      </c>
      <c r="F228" s="2">
        <v>997.83</v>
      </c>
    </row>
    <row r="229" spans="3:6" x14ac:dyDescent="0.25">
      <c r="C229" s="2" t="s">
        <v>239</v>
      </c>
      <c r="D229" s="2" t="s">
        <v>82</v>
      </c>
      <c r="E229" s="2">
        <v>102</v>
      </c>
      <c r="F229" s="2">
        <v>1984.92</v>
      </c>
    </row>
    <row r="230" spans="3:6" x14ac:dyDescent="0.25">
      <c r="C230" s="2" t="s">
        <v>240</v>
      </c>
      <c r="D230" s="2" t="s">
        <v>82</v>
      </c>
      <c r="E230" s="2">
        <v>71</v>
      </c>
      <c r="F230" s="2">
        <v>1459.2</v>
      </c>
    </row>
    <row r="231" spans="3:6" x14ac:dyDescent="0.25">
      <c r="C231" s="2" t="s">
        <v>241</v>
      </c>
      <c r="D231" s="2" t="s">
        <v>82</v>
      </c>
      <c r="E231" s="2">
        <v>11</v>
      </c>
      <c r="F231" s="2">
        <v>243</v>
      </c>
    </row>
    <row r="232" spans="3:6" x14ac:dyDescent="0.25">
      <c r="C232" s="2" t="s">
        <v>242</v>
      </c>
      <c r="D232" s="2" t="s">
        <v>82</v>
      </c>
      <c r="E232" s="2">
        <v>9</v>
      </c>
      <c r="F232" s="2">
        <v>180.45</v>
      </c>
    </row>
    <row r="233" spans="3:6" x14ac:dyDescent="0.25">
      <c r="C233" s="2" t="s">
        <v>243</v>
      </c>
      <c r="D233" s="2" t="s">
        <v>82</v>
      </c>
      <c r="E233" s="2">
        <v>6</v>
      </c>
      <c r="F233" s="2">
        <v>104</v>
      </c>
    </row>
    <row r="234" spans="3:6" x14ac:dyDescent="0.25">
      <c r="C234" s="2" t="s">
        <v>244</v>
      </c>
      <c r="D234" s="2" t="s">
        <v>82</v>
      </c>
      <c r="E234" s="2">
        <v>4</v>
      </c>
      <c r="F234" s="2">
        <v>62.75</v>
      </c>
    </row>
    <row r="235" spans="3:6" x14ac:dyDescent="0.25">
      <c r="C235" s="2" t="s">
        <v>245</v>
      </c>
      <c r="D235" s="2" t="s">
        <v>82</v>
      </c>
      <c r="E235" s="2">
        <v>3</v>
      </c>
      <c r="F235" s="2">
        <v>7.65</v>
      </c>
    </row>
    <row r="236" spans="3:5" x14ac:dyDescent="0.25">
      <c r="C236" s="2" t="s">
        <v>246</v>
      </c>
      <c r="D236" s="2" t="s">
        <v>82</v>
      </c>
      <c r="E236" s="2">
        <v>6</v>
      </c>
    </row>
    <row r="237" spans="3:6" x14ac:dyDescent="0.25">
      <c r="C237" s="2" t="s">
        <v>247</v>
      </c>
      <c r="D237" s="2" t="s">
        <v>82</v>
      </c>
      <c r="E237" s="2">
        <v>31</v>
      </c>
      <c r="F237" s="2">
        <v>609.81</v>
      </c>
    </row>
    <row r="238" spans="3:6" x14ac:dyDescent="0.25">
      <c r="C238" s="2" t="s">
        <v>248</v>
      </c>
      <c r="D238" s="2" t="s">
        <v>82</v>
      </c>
      <c r="E238" s="2">
        <v>38</v>
      </c>
      <c r="F238" s="2">
        <v>764.82</v>
      </c>
    </row>
    <row r="239" spans="3:6" x14ac:dyDescent="0.25">
      <c r="C239" s="2" t="s">
        <v>249</v>
      </c>
      <c r="D239" s="2" t="s">
        <v>82</v>
      </c>
      <c r="E239" s="2">
        <v>30</v>
      </c>
      <c r="F239" s="2">
        <v>139.79</v>
      </c>
    </row>
    <row r="240" spans="3:6" x14ac:dyDescent="0.25">
      <c r="C240" s="2" t="s">
        <v>250</v>
      </c>
      <c r="D240" s="2" t="s">
        <v>82</v>
      </c>
      <c r="E240" s="2">
        <v>65</v>
      </c>
      <c r="F240" s="2">
        <v>279.059</v>
      </c>
    </row>
    <row r="241" spans="3:6" x14ac:dyDescent="0.25">
      <c r="C241" s="2" t="s">
        <v>251</v>
      </c>
      <c r="D241" s="2" t="s">
        <v>82</v>
      </c>
      <c r="E241" s="2">
        <v>22</v>
      </c>
      <c r="F241" s="2">
        <v>102.06</v>
      </c>
    </row>
    <row r="242" spans="3:6" x14ac:dyDescent="0.25">
      <c r="C242" s="2" t="s">
        <v>252</v>
      </c>
      <c r="D242" s="2" t="s">
        <v>82</v>
      </c>
      <c r="E242" s="2">
        <v>4</v>
      </c>
      <c r="F242" s="2">
        <v>35.5</v>
      </c>
    </row>
    <row r="243" spans="3:6" x14ac:dyDescent="0.25">
      <c r="C243" s="2" t="s">
        <v>253</v>
      </c>
      <c r="D243" s="2" t="s">
        <v>82</v>
      </c>
      <c r="E243" s="2">
        <v>3</v>
      </c>
      <c r="F243" s="2">
        <v>36.7</v>
      </c>
    </row>
    <row r="244" spans="3:6" x14ac:dyDescent="0.25">
      <c r="C244" s="2" t="s">
        <v>254</v>
      </c>
      <c r="D244" s="2" t="s">
        <v>82</v>
      </c>
      <c r="E244" s="2">
        <v>48</v>
      </c>
      <c r="F244" s="2">
        <v>974.4</v>
      </c>
    </row>
    <row r="245" spans="3:6" x14ac:dyDescent="0.25">
      <c r="C245" s="2" t="s">
        <v>255</v>
      </c>
      <c r="D245" s="2" t="s">
        <v>82</v>
      </c>
      <c r="E245" s="2">
        <v>29</v>
      </c>
      <c r="F245" s="2">
        <v>556.87</v>
      </c>
    </row>
    <row r="246" spans="3:6" x14ac:dyDescent="0.25">
      <c r="C246" s="2" t="s">
        <v>256</v>
      </c>
      <c r="D246" s="2" t="s">
        <v>82</v>
      </c>
      <c r="E246" s="2">
        <v>13</v>
      </c>
      <c r="F246" s="2">
        <v>143.294</v>
      </c>
    </row>
    <row r="247" spans="3:6" x14ac:dyDescent="0.25">
      <c r="C247" s="2" t="s">
        <v>257</v>
      </c>
      <c r="D247" s="2" t="s">
        <v>82</v>
      </c>
      <c r="E247" s="2">
        <v>67</v>
      </c>
      <c r="F247" s="2">
        <v>1311.94</v>
      </c>
    </row>
    <row r="248" spans="3:6" x14ac:dyDescent="0.25">
      <c r="C248" s="2" t="s">
        <v>258</v>
      </c>
      <c r="D248" s="2" t="s">
        <v>82</v>
      </c>
      <c r="E248" s="2">
        <v>67</v>
      </c>
      <c r="F248" s="2">
        <v>1258.939</v>
      </c>
    </row>
    <row r="249" spans="3:6" x14ac:dyDescent="0.25">
      <c r="C249" s="2" t="s">
        <v>259</v>
      </c>
      <c r="D249" s="2" t="s">
        <v>82</v>
      </c>
      <c r="E249" s="2">
        <v>51</v>
      </c>
      <c r="F249" s="2">
        <v>1005.71</v>
      </c>
    </row>
    <row r="250" spans="3:6" x14ac:dyDescent="0.25">
      <c r="C250" s="2" t="s">
        <v>260</v>
      </c>
      <c r="D250" s="2" t="s">
        <v>82</v>
      </c>
      <c r="E250" s="2">
        <v>51</v>
      </c>
      <c r="F250" s="2">
        <v>1002.929</v>
      </c>
    </row>
    <row r="251" spans="3:6" x14ac:dyDescent="0.25">
      <c r="C251" s="2" t="s">
        <v>261</v>
      </c>
      <c r="D251" s="2" t="s">
        <v>82</v>
      </c>
      <c r="E251" s="2">
        <v>25</v>
      </c>
      <c r="F251" s="2">
        <v>107.939</v>
      </c>
    </row>
    <row r="252" spans="3:5" x14ac:dyDescent="0.25">
      <c r="C252" s="2" t="s">
        <v>262</v>
      </c>
      <c r="D252" s="2" t="s">
        <v>82</v>
      </c>
      <c r="E252" s="2">
        <v>28</v>
      </c>
    </row>
    <row r="253" spans="3:6" x14ac:dyDescent="0.25">
      <c r="C253" s="2" t="s">
        <v>263</v>
      </c>
      <c r="D253" s="2" t="s">
        <v>82</v>
      </c>
      <c r="E253" s="2">
        <v>121</v>
      </c>
      <c r="F253" s="2">
        <v>2474.45</v>
      </c>
    </row>
    <row r="254" spans="3:6" x14ac:dyDescent="0.25">
      <c r="C254" s="2" t="s">
        <v>264</v>
      </c>
      <c r="D254" s="2" t="s">
        <v>82</v>
      </c>
      <c r="E254" s="2">
        <v>121</v>
      </c>
      <c r="F254" s="2">
        <v>2466.16</v>
      </c>
    </row>
    <row r="255" spans="3:6" x14ac:dyDescent="0.25">
      <c r="C255" s="2" t="s">
        <v>265</v>
      </c>
      <c r="D255" s="2" t="s">
        <v>82</v>
      </c>
      <c r="E255" s="2">
        <v>90</v>
      </c>
      <c r="F255" s="2">
        <v>1756.63</v>
      </c>
    </row>
    <row r="256" spans="3:6" x14ac:dyDescent="0.25">
      <c r="C256" s="2" t="s">
        <v>266</v>
      </c>
      <c r="D256" s="2" t="s">
        <v>82</v>
      </c>
      <c r="E256" s="2">
        <v>31</v>
      </c>
      <c r="F256" s="2">
        <v>594.99</v>
      </c>
    </row>
    <row r="257" spans="3:6" x14ac:dyDescent="0.25">
      <c r="C257" s="2" t="s">
        <v>267</v>
      </c>
      <c r="D257" s="2" t="s">
        <v>82</v>
      </c>
      <c r="E257" s="2">
        <v>53</v>
      </c>
      <c r="F257" s="2">
        <v>1035.52</v>
      </c>
    </row>
    <row r="258" spans="3:6" x14ac:dyDescent="0.25">
      <c r="C258" s="2" t="s">
        <v>268</v>
      </c>
      <c r="D258" s="2" t="s">
        <v>82</v>
      </c>
      <c r="E258" s="2">
        <v>30</v>
      </c>
      <c r="F258" s="2">
        <v>576.71</v>
      </c>
    </row>
    <row r="259" spans="3:6" x14ac:dyDescent="0.25">
      <c r="C259" s="2" t="s">
        <v>269</v>
      </c>
      <c r="D259" s="2" t="s">
        <v>82</v>
      </c>
      <c r="E259" s="2">
        <v>30</v>
      </c>
      <c r="F259" s="2">
        <v>613.53</v>
      </c>
    </row>
    <row r="260" spans="3:6" x14ac:dyDescent="0.25">
      <c r="C260" s="2" t="s">
        <v>270</v>
      </c>
      <c r="D260" s="2" t="s">
        <v>82</v>
      </c>
      <c r="E260" s="2">
        <v>8</v>
      </c>
      <c r="F260" s="2">
        <v>152.68</v>
      </c>
    </row>
    <row r="261" spans="3:6" x14ac:dyDescent="0.25">
      <c r="C261" s="2" t="s">
        <v>271</v>
      </c>
      <c r="D261" s="2" t="s">
        <v>82</v>
      </c>
      <c r="E261" s="2">
        <v>124</v>
      </c>
      <c r="F261" s="2">
        <v>2557.89</v>
      </c>
    </row>
    <row r="262" spans="3:6" x14ac:dyDescent="0.25">
      <c r="C262" s="2" t="s">
        <v>272</v>
      </c>
      <c r="D262" s="2" t="s">
        <v>82</v>
      </c>
      <c r="E262" s="2">
        <v>17</v>
      </c>
      <c r="F262" s="2">
        <v>362.54</v>
      </c>
    </row>
    <row r="263" spans="3:6" x14ac:dyDescent="0.25">
      <c r="C263" s="2" t="s">
        <v>273</v>
      </c>
      <c r="D263" s="2" t="s">
        <v>82</v>
      </c>
      <c r="E263" s="2">
        <v>105</v>
      </c>
      <c r="F263" s="2">
        <v>2070.31</v>
      </c>
    </row>
    <row r="264" spans="3:6" x14ac:dyDescent="0.25">
      <c r="C264" s="2" t="s">
        <v>274</v>
      </c>
      <c r="D264" s="2" t="s">
        <v>82</v>
      </c>
      <c r="E264" s="2">
        <v>36</v>
      </c>
      <c r="F264" s="2">
        <v>698.44</v>
      </c>
    </row>
    <row r="265" spans="3:6" x14ac:dyDescent="0.25">
      <c r="C265" s="2" t="s">
        <v>275</v>
      </c>
      <c r="D265" s="2" t="s">
        <v>82</v>
      </c>
      <c r="E265" s="2">
        <v>92</v>
      </c>
      <c r="F265" s="2">
        <v>1806.67</v>
      </c>
    </row>
    <row r="266" spans="3:6" x14ac:dyDescent="0.25">
      <c r="C266" s="2" t="s">
        <v>276</v>
      </c>
      <c r="D266" s="2" t="s">
        <v>82</v>
      </c>
      <c r="E266" s="2">
        <v>49</v>
      </c>
      <c r="F266" s="2">
        <v>999.89</v>
      </c>
    </row>
    <row r="267" spans="3:6" x14ac:dyDescent="0.25">
      <c r="C267" s="2" t="s">
        <v>277</v>
      </c>
      <c r="D267" s="2" t="s">
        <v>82</v>
      </c>
      <c r="E267" s="2">
        <v>94</v>
      </c>
      <c r="F267" s="2">
        <v>1964.73</v>
      </c>
    </row>
    <row r="268" spans="3:6" x14ac:dyDescent="0.25">
      <c r="C268" s="2" t="s">
        <v>278</v>
      </c>
      <c r="D268" s="2" t="s">
        <v>82</v>
      </c>
      <c r="E268" s="2">
        <v>47</v>
      </c>
      <c r="F268" s="2">
        <v>918.67</v>
      </c>
    </row>
    <row r="269" spans="3:6" x14ac:dyDescent="0.25">
      <c r="C269" s="2" t="s">
        <v>279</v>
      </c>
      <c r="D269" s="2" t="s">
        <v>82</v>
      </c>
      <c r="E269" s="2">
        <v>30</v>
      </c>
      <c r="F269" s="2">
        <v>132.31</v>
      </c>
    </row>
    <row r="270" spans="3:6" x14ac:dyDescent="0.25">
      <c r="C270" s="2" t="s">
        <v>280</v>
      </c>
      <c r="D270" s="2" t="s">
        <v>82</v>
      </c>
      <c r="E270" s="2">
        <v>32</v>
      </c>
      <c r="F270" s="2">
        <v>669.41</v>
      </c>
    </row>
    <row r="271" spans="3:6" x14ac:dyDescent="0.25">
      <c r="C271" s="2" t="s">
        <v>281</v>
      </c>
      <c r="D271" s="2" t="s">
        <v>82</v>
      </c>
      <c r="E271" s="2">
        <v>43</v>
      </c>
      <c r="F271" s="2">
        <v>834.72</v>
      </c>
    </row>
    <row r="272" spans="3:6" x14ac:dyDescent="0.25">
      <c r="C272" s="2" t="s">
        <v>282</v>
      </c>
      <c r="D272" s="2" t="s">
        <v>82</v>
      </c>
      <c r="E272" s="2">
        <v>40</v>
      </c>
      <c r="F272" s="2">
        <v>815.66</v>
      </c>
    </row>
    <row r="273" spans="3:6" x14ac:dyDescent="0.25">
      <c r="C273" s="2" t="s">
        <v>283</v>
      </c>
      <c r="D273" s="2" t="s">
        <v>82</v>
      </c>
      <c r="E273" s="2">
        <v>26</v>
      </c>
      <c r="F273" s="2">
        <v>463.26</v>
      </c>
    </row>
    <row r="274" spans="3:6" x14ac:dyDescent="0.25">
      <c r="C274" s="2" t="s">
        <v>284</v>
      </c>
      <c r="D274" s="2" t="s">
        <v>82</v>
      </c>
      <c r="E274" s="2">
        <v>39</v>
      </c>
      <c r="F274" s="2">
        <v>777.66</v>
      </c>
    </row>
    <row r="275" spans="3:6" x14ac:dyDescent="0.25">
      <c r="C275" s="2" t="s">
        <v>285</v>
      </c>
      <c r="D275" s="2" t="s">
        <v>82</v>
      </c>
      <c r="E275" s="2">
        <v>31</v>
      </c>
      <c r="F275" s="2">
        <v>631.27</v>
      </c>
    </row>
    <row r="276" spans="3:6" x14ac:dyDescent="0.25">
      <c r="C276" s="2" t="s">
        <v>286</v>
      </c>
      <c r="D276" s="2" t="s">
        <v>82</v>
      </c>
      <c r="E276" s="2">
        <v>24</v>
      </c>
      <c r="F276" s="2">
        <v>441.31</v>
      </c>
    </row>
    <row r="277" spans="3:6" x14ac:dyDescent="0.25">
      <c r="C277" s="2" t="s">
        <v>287</v>
      </c>
      <c r="D277" s="2" t="s">
        <v>82</v>
      </c>
      <c r="E277" s="2">
        <v>25</v>
      </c>
      <c r="F277" s="2">
        <v>458.26</v>
      </c>
    </row>
    <row r="278" spans="3:6" x14ac:dyDescent="0.25">
      <c r="C278" s="2" t="s">
        <v>288</v>
      </c>
      <c r="D278" s="2" t="s">
        <v>82</v>
      </c>
      <c r="E278" s="2">
        <v>22</v>
      </c>
      <c r="F278" s="2">
        <v>395.64</v>
      </c>
    </row>
    <row r="279" spans="3:6" x14ac:dyDescent="0.25">
      <c r="C279" s="2" t="s">
        <v>289</v>
      </c>
      <c r="D279" s="2" t="s">
        <v>82</v>
      </c>
      <c r="E279" s="2">
        <v>93</v>
      </c>
      <c r="F279" s="2">
        <v>2095.644</v>
      </c>
    </row>
    <row r="281" spans="1:7" x14ac:dyDescent="0.25">
      <c r="A281" s="1">
        <v>46237</v>
      </c>
      <c r="B281" s="2" t="s">
        <v>290</v>
      </c>
      <c r="C281" s="2" t="s">
        <v>291</v>
      </c>
      <c r="D281" s="2" t="s">
        <v>292</v>
      </c>
      <c r="E281" s="2">
        <v>115</v>
      </c>
      <c r="F281" s="2">
        <v>2094.28</v>
      </c>
      <c r="G281" s="1">
        <v>46237</v>
      </c>
    </row>
    <row r="282" spans="3:6" x14ac:dyDescent="0.25">
      <c r="C282" s="2" t="s">
        <v>293</v>
      </c>
      <c r="D282" s="2" t="s">
        <v>292</v>
      </c>
      <c r="E282" s="2">
        <v>123</v>
      </c>
      <c r="F282" s="2">
        <v>2364.649</v>
      </c>
    </row>
    <row r="283" spans="3:6" x14ac:dyDescent="0.25">
      <c r="C283" s="2" t="s">
        <v>294</v>
      </c>
      <c r="D283" s="2" t="s">
        <v>292</v>
      </c>
      <c r="E283" s="2">
        <v>123</v>
      </c>
      <c r="F283" s="2">
        <v>2307.159</v>
      </c>
    </row>
    <row r="284" spans="3:6" x14ac:dyDescent="0.25">
      <c r="C284" s="2" t="s">
        <v>295</v>
      </c>
      <c r="D284" s="2" t="s">
        <v>292</v>
      </c>
      <c r="E284" s="2">
        <v>141</v>
      </c>
      <c r="F284" s="2">
        <v>2729.78</v>
      </c>
    </row>
    <row r="285" spans="3:6" x14ac:dyDescent="0.25">
      <c r="C285" s="2" t="s">
        <v>296</v>
      </c>
      <c r="D285" s="2" t="s">
        <v>292</v>
      </c>
      <c r="E285" s="2">
        <v>141</v>
      </c>
      <c r="F285" s="2">
        <v>2996.91</v>
      </c>
    </row>
    <row r="286" spans="3:6" x14ac:dyDescent="0.25">
      <c r="C286" s="2" t="s">
        <v>297</v>
      </c>
      <c r="D286" s="2" t="s">
        <v>292</v>
      </c>
      <c r="E286" s="2">
        <v>141</v>
      </c>
      <c r="F286" s="2">
        <v>2824.829</v>
      </c>
    </row>
    <row r="287" spans="3:6" x14ac:dyDescent="0.25">
      <c r="C287" s="2" t="s">
        <v>298</v>
      </c>
      <c r="D287" s="2" t="s">
        <v>292</v>
      </c>
      <c r="E287" s="2">
        <v>141</v>
      </c>
      <c r="F287" s="2">
        <v>3064.54</v>
      </c>
    </row>
    <row r="288" spans="3:6" x14ac:dyDescent="0.25">
      <c r="C288" s="2" t="s">
        <v>299</v>
      </c>
      <c r="D288" s="2" t="s">
        <v>292</v>
      </c>
      <c r="E288" s="2">
        <v>50</v>
      </c>
      <c r="F288" s="2">
        <v>242.03</v>
      </c>
    </row>
    <row r="289" spans="3:6" x14ac:dyDescent="0.25">
      <c r="C289" s="2" t="s">
        <v>300</v>
      </c>
      <c r="D289" s="2" t="s">
        <v>292</v>
      </c>
      <c r="E289" s="2">
        <v>141</v>
      </c>
      <c r="F289" s="2">
        <v>2870.49</v>
      </c>
    </row>
    <row r="290" spans="3:6" x14ac:dyDescent="0.25">
      <c r="C290" s="2" t="s">
        <v>301</v>
      </c>
      <c r="D290" s="2" t="s">
        <v>292</v>
      </c>
      <c r="E290" s="2">
        <v>134</v>
      </c>
      <c r="F290" s="2">
        <v>2893.02</v>
      </c>
    </row>
    <row r="291" spans="3:6" x14ac:dyDescent="0.25">
      <c r="C291" s="2" t="s">
        <v>302</v>
      </c>
      <c r="D291" s="2" t="s">
        <v>292</v>
      </c>
      <c r="E291" s="2">
        <v>123</v>
      </c>
      <c r="F291" s="2">
        <v>2364.31</v>
      </c>
    </row>
    <row r="292" spans="3:6" x14ac:dyDescent="0.25">
      <c r="C292" s="2" t="s">
        <v>303</v>
      </c>
      <c r="D292" s="2" t="s">
        <v>292</v>
      </c>
      <c r="E292" s="2">
        <v>100</v>
      </c>
      <c r="F292" s="2">
        <v>1949.84</v>
      </c>
    </row>
    <row r="293" spans="3:6" x14ac:dyDescent="0.25">
      <c r="C293" s="2" t="s">
        <v>304</v>
      </c>
      <c r="D293" s="2" t="s">
        <v>292</v>
      </c>
      <c r="E293" s="2">
        <v>45</v>
      </c>
      <c r="F293" s="2">
        <v>222.86</v>
      </c>
    </row>
    <row r="294" spans="3:6" x14ac:dyDescent="0.25">
      <c r="C294" s="2" t="s">
        <v>305</v>
      </c>
      <c r="D294" s="2" t="s">
        <v>292</v>
      </c>
      <c r="E294" s="2">
        <v>45</v>
      </c>
      <c r="F294" s="2">
        <v>222.78</v>
      </c>
    </row>
    <row r="295" spans="3:6" x14ac:dyDescent="0.25">
      <c r="C295" s="2" t="s">
        <v>306</v>
      </c>
      <c r="D295" s="2" t="s">
        <v>292</v>
      </c>
      <c r="E295" s="2">
        <v>141</v>
      </c>
      <c r="F295" s="2">
        <v>2762.169</v>
      </c>
    </row>
    <row r="296" spans="3:6" x14ac:dyDescent="0.25">
      <c r="C296" s="2" t="s">
        <v>307</v>
      </c>
      <c r="D296" s="2" t="s">
        <v>292</v>
      </c>
      <c r="E296" s="2">
        <v>40</v>
      </c>
      <c r="F296" s="2">
        <v>783.14</v>
      </c>
    </row>
    <row r="297" spans="3:6" x14ac:dyDescent="0.25">
      <c r="C297" s="2" t="s">
        <v>308</v>
      </c>
      <c r="D297" s="2" t="s">
        <v>292</v>
      </c>
      <c r="E297" s="2">
        <v>31</v>
      </c>
      <c r="F297" s="2">
        <v>555.5</v>
      </c>
    </row>
    <row r="298" spans="3:6" x14ac:dyDescent="0.25">
      <c r="C298" s="2" t="s">
        <v>309</v>
      </c>
      <c r="D298" s="2" t="s">
        <v>292</v>
      </c>
      <c r="E298" s="2">
        <v>69</v>
      </c>
      <c r="F298" s="2">
        <v>1282.09</v>
      </c>
    </row>
    <row r="299" spans="3:6" x14ac:dyDescent="0.25">
      <c r="C299" s="2" t="s">
        <v>310</v>
      </c>
      <c r="D299" s="2" t="s">
        <v>292</v>
      </c>
      <c r="E299" s="2">
        <v>71</v>
      </c>
      <c r="F299" s="2">
        <v>1320.54</v>
      </c>
    </row>
    <row r="300" spans="3:6" x14ac:dyDescent="0.25">
      <c r="C300" s="2" t="s">
        <v>311</v>
      </c>
      <c r="D300" s="2" t="s">
        <v>292</v>
      </c>
      <c r="E300" s="2">
        <v>29</v>
      </c>
      <c r="F300" s="2">
        <v>602.86</v>
      </c>
    </row>
    <row r="301" spans="3:6" x14ac:dyDescent="0.25">
      <c r="C301" s="2" t="s">
        <v>312</v>
      </c>
      <c r="D301" s="2" t="s">
        <v>292</v>
      </c>
      <c r="E301" s="2">
        <v>60</v>
      </c>
      <c r="F301" s="2">
        <v>312.94</v>
      </c>
    </row>
    <row r="302" spans="3:6" x14ac:dyDescent="0.25">
      <c r="C302" s="2" t="s">
        <v>313</v>
      </c>
      <c r="D302" s="2" t="s">
        <v>292</v>
      </c>
      <c r="E302" s="2">
        <v>141</v>
      </c>
      <c r="F302" s="2">
        <v>2702.97</v>
      </c>
    </row>
    <row r="303" spans="3:6" x14ac:dyDescent="0.25">
      <c r="C303" s="2" t="s">
        <v>314</v>
      </c>
      <c r="D303" s="2" t="s">
        <v>292</v>
      </c>
      <c r="E303" s="2">
        <v>65</v>
      </c>
      <c r="F303" s="2">
        <v>1321.44</v>
      </c>
    </row>
    <row r="304" spans="3:6" x14ac:dyDescent="0.25">
      <c r="C304" s="2" t="s">
        <v>315</v>
      </c>
      <c r="D304" s="2" t="s">
        <v>292</v>
      </c>
      <c r="E304" s="2">
        <v>10</v>
      </c>
      <c r="F304" s="2">
        <v>201.5</v>
      </c>
    </row>
    <row r="305" spans="3:6" x14ac:dyDescent="0.25">
      <c r="C305" s="2" t="s">
        <v>316</v>
      </c>
      <c r="D305" s="2" t="s">
        <v>292</v>
      </c>
      <c r="E305" s="2">
        <v>37</v>
      </c>
      <c r="F305" s="2">
        <v>696.339</v>
      </c>
    </row>
    <row r="306" spans="3:6" x14ac:dyDescent="0.25">
      <c r="C306" s="2" t="s">
        <v>317</v>
      </c>
      <c r="D306" s="2" t="s">
        <v>292</v>
      </c>
      <c r="E306" s="2">
        <v>101</v>
      </c>
      <c r="F306" s="2">
        <v>1924.189</v>
      </c>
    </row>
    <row r="307" spans="3:6" x14ac:dyDescent="0.25">
      <c r="C307" s="2" t="s">
        <v>318</v>
      </c>
      <c r="D307" s="2" t="s">
        <v>292</v>
      </c>
      <c r="E307" s="2">
        <v>57</v>
      </c>
      <c r="F307" s="2">
        <v>1280.4</v>
      </c>
    </row>
    <row r="308" spans="3:6" x14ac:dyDescent="0.25">
      <c r="C308" s="2" t="s">
        <v>319</v>
      </c>
      <c r="D308" s="2" t="s">
        <v>292</v>
      </c>
      <c r="E308" s="2">
        <v>71</v>
      </c>
      <c r="F308" s="2">
        <v>1430.84</v>
      </c>
    </row>
    <row r="309" spans="3:6" x14ac:dyDescent="0.25">
      <c r="C309" s="2" t="s">
        <v>320</v>
      </c>
      <c r="D309" s="2" t="s">
        <v>292</v>
      </c>
      <c r="E309" s="2">
        <v>103</v>
      </c>
      <c r="F309" s="2">
        <v>2159.61</v>
      </c>
    </row>
    <row r="310" spans="3:6" x14ac:dyDescent="0.25">
      <c r="C310" s="2" t="s">
        <v>321</v>
      </c>
      <c r="D310" s="2" t="s">
        <v>292</v>
      </c>
      <c r="E310" s="2">
        <v>84</v>
      </c>
      <c r="F310" s="2">
        <v>1605.059</v>
      </c>
    </row>
    <row r="311" spans="3:6" x14ac:dyDescent="0.25">
      <c r="C311" s="2" t="s">
        <v>322</v>
      </c>
      <c r="D311" s="2" t="s">
        <v>292</v>
      </c>
      <c r="E311" s="2">
        <v>37</v>
      </c>
      <c r="F311" s="2">
        <v>702.13</v>
      </c>
    </row>
    <row r="312" spans="3:6" x14ac:dyDescent="0.25">
      <c r="C312" s="2" t="s">
        <v>323</v>
      </c>
      <c r="D312" s="2" t="s">
        <v>292</v>
      </c>
      <c r="E312" s="2">
        <v>77</v>
      </c>
      <c r="F312" s="2">
        <v>1552.2</v>
      </c>
    </row>
    <row r="313" spans="3:6" x14ac:dyDescent="0.25">
      <c r="C313" s="2" t="s">
        <v>324</v>
      </c>
      <c r="D313" s="2" t="s">
        <v>292</v>
      </c>
      <c r="E313" s="2">
        <v>45</v>
      </c>
      <c r="F313" s="2">
        <v>889.979</v>
      </c>
    </row>
    <row r="314" spans="3:6" x14ac:dyDescent="0.25">
      <c r="C314" s="2" t="s">
        <v>325</v>
      </c>
      <c r="D314" s="2" t="s">
        <v>292</v>
      </c>
      <c r="E314" s="2">
        <v>25</v>
      </c>
      <c r="F314" s="2">
        <v>542.91</v>
      </c>
    </row>
    <row r="315" spans="3:6" x14ac:dyDescent="0.25">
      <c r="C315" s="2" t="s">
        <v>326</v>
      </c>
      <c r="D315" s="2" t="s">
        <v>292</v>
      </c>
      <c r="E315" s="2">
        <v>109</v>
      </c>
      <c r="F315" s="2">
        <v>2229.43</v>
      </c>
    </row>
    <row r="316" spans="3:6" x14ac:dyDescent="0.25">
      <c r="C316" s="2" t="s">
        <v>327</v>
      </c>
      <c r="D316" s="2" t="s">
        <v>292</v>
      </c>
      <c r="E316" s="2">
        <v>27</v>
      </c>
      <c r="F316" s="2">
        <v>547.49</v>
      </c>
    </row>
    <row r="317" spans="3:6" x14ac:dyDescent="0.25">
      <c r="C317" s="2" t="s">
        <v>328</v>
      </c>
      <c r="D317" s="2" t="s">
        <v>292</v>
      </c>
      <c r="E317" s="2">
        <v>14</v>
      </c>
      <c r="F317" s="2">
        <v>200.58</v>
      </c>
    </row>
    <row r="318" spans="3:6" x14ac:dyDescent="0.25">
      <c r="C318" s="2" t="s">
        <v>329</v>
      </c>
      <c r="D318" s="2" t="s">
        <v>292</v>
      </c>
      <c r="E318" s="2">
        <v>19</v>
      </c>
      <c r="F318" s="2">
        <v>329.47</v>
      </c>
    </row>
    <row r="319" spans="3:6" x14ac:dyDescent="0.25">
      <c r="C319" s="2" t="s">
        <v>330</v>
      </c>
      <c r="D319" s="2" t="s">
        <v>292</v>
      </c>
      <c r="E319" s="2">
        <v>24</v>
      </c>
      <c r="F319" s="2">
        <v>468.45</v>
      </c>
    </row>
    <row r="320" spans="3:6" x14ac:dyDescent="0.25">
      <c r="C320" s="2" t="s">
        <v>331</v>
      </c>
      <c r="D320" s="2" t="s">
        <v>292</v>
      </c>
      <c r="E320" s="2">
        <v>26</v>
      </c>
      <c r="F320" s="2">
        <v>562.75</v>
      </c>
    </row>
    <row r="321" spans="3:6" x14ac:dyDescent="0.25">
      <c r="C321" s="2" t="s">
        <v>332</v>
      </c>
      <c r="D321" s="2" t="s">
        <v>292</v>
      </c>
      <c r="E321" s="2">
        <v>33</v>
      </c>
      <c r="F321" s="2">
        <v>679.11</v>
      </c>
    </row>
    <row r="322" spans="3:6" x14ac:dyDescent="0.25">
      <c r="C322" s="2" t="s">
        <v>333</v>
      </c>
      <c r="D322" s="2" t="s">
        <v>292</v>
      </c>
      <c r="E322" s="2">
        <v>31</v>
      </c>
      <c r="F322" s="2">
        <v>695.72</v>
      </c>
    </row>
    <row r="323" spans="3:6" x14ac:dyDescent="0.25">
      <c r="C323" s="2" t="s">
        <v>334</v>
      </c>
      <c r="D323" s="2" t="s">
        <v>292</v>
      </c>
      <c r="E323" s="2">
        <v>27</v>
      </c>
      <c r="F323" s="2">
        <v>519.5</v>
      </c>
    </row>
    <row r="324" spans="3:6" x14ac:dyDescent="0.25">
      <c r="C324" s="2" t="s">
        <v>335</v>
      </c>
      <c r="D324" s="2" t="s">
        <v>292</v>
      </c>
      <c r="E324" s="2">
        <v>16</v>
      </c>
      <c r="F324" s="2">
        <v>283.04</v>
      </c>
    </row>
    <row r="325" spans="3:6" x14ac:dyDescent="0.25">
      <c r="C325" s="2" t="s">
        <v>336</v>
      </c>
      <c r="D325" s="2" t="s">
        <v>292</v>
      </c>
      <c r="E325" s="2">
        <v>12</v>
      </c>
      <c r="F325" s="2">
        <v>240.91</v>
      </c>
    </row>
    <row r="326" spans="3:6" x14ac:dyDescent="0.25">
      <c r="C326" s="2" t="s">
        <v>337</v>
      </c>
      <c r="D326" s="2" t="s">
        <v>292</v>
      </c>
      <c r="E326" s="2">
        <v>26</v>
      </c>
      <c r="F326" s="2">
        <v>526.22</v>
      </c>
    </row>
    <row r="327" spans="3:6" x14ac:dyDescent="0.25">
      <c r="C327" s="2" t="s">
        <v>338</v>
      </c>
      <c r="D327" s="2" t="s">
        <v>292</v>
      </c>
      <c r="E327" s="2">
        <v>35</v>
      </c>
      <c r="F327" s="2">
        <v>673.03</v>
      </c>
    </row>
    <row r="328" spans="3:6" x14ac:dyDescent="0.25">
      <c r="C328" s="2" t="s">
        <v>339</v>
      </c>
      <c r="D328" s="2" t="s">
        <v>292</v>
      </c>
      <c r="E328" s="2">
        <v>57</v>
      </c>
      <c r="F328" s="2">
        <v>1041.54</v>
      </c>
    </row>
    <row r="329" spans="3:6" x14ac:dyDescent="0.25">
      <c r="C329" s="2" t="s">
        <v>340</v>
      </c>
      <c r="D329" s="2" t="s">
        <v>292</v>
      </c>
      <c r="E329" s="2">
        <v>85</v>
      </c>
      <c r="F329" s="2">
        <v>1616.249</v>
      </c>
    </row>
    <row r="330" spans="3:6" x14ac:dyDescent="0.25">
      <c r="C330" s="2" t="s">
        <v>341</v>
      </c>
      <c r="D330" s="2" t="s">
        <v>292</v>
      </c>
      <c r="E330" s="2">
        <v>44</v>
      </c>
      <c r="F330" s="2">
        <v>796.01</v>
      </c>
    </row>
    <row r="331" spans="3:6" x14ac:dyDescent="0.25">
      <c r="C331" s="2" t="s">
        <v>342</v>
      </c>
      <c r="D331" s="2" t="s">
        <v>292</v>
      </c>
      <c r="E331" s="2">
        <v>22</v>
      </c>
      <c r="F331" s="2">
        <v>410.51</v>
      </c>
    </row>
    <row r="332" spans="3:6" x14ac:dyDescent="0.25">
      <c r="C332" s="2" t="s">
        <v>343</v>
      </c>
      <c r="D332" s="2" t="s">
        <v>292</v>
      </c>
      <c r="E332" s="2">
        <v>7</v>
      </c>
      <c r="F332" s="2">
        <v>112.25</v>
      </c>
    </row>
    <row r="333" spans="3:6" x14ac:dyDescent="0.25">
      <c r="C333" s="2" t="s">
        <v>344</v>
      </c>
      <c r="D333" s="2" t="s">
        <v>292</v>
      </c>
      <c r="E333" s="2">
        <v>64</v>
      </c>
      <c r="F333" s="2">
        <v>1194.47</v>
      </c>
    </row>
    <row r="334" spans="3:6" x14ac:dyDescent="0.25">
      <c r="C334" s="2" t="s">
        <v>345</v>
      </c>
      <c r="D334" s="2" t="s">
        <v>292</v>
      </c>
      <c r="E334" s="2">
        <v>17</v>
      </c>
      <c r="F334" s="2">
        <v>318.18</v>
      </c>
    </row>
    <row r="335" spans="3:6" x14ac:dyDescent="0.25">
      <c r="C335" s="2" t="s">
        <v>346</v>
      </c>
      <c r="D335" s="2" t="s">
        <v>292</v>
      </c>
      <c r="E335" s="2">
        <v>19</v>
      </c>
      <c r="F335" s="2">
        <v>365.71</v>
      </c>
    </row>
    <row r="337" spans="1:7" x14ac:dyDescent="0.25">
      <c r="A337" s="1">
        <v>46237</v>
      </c>
      <c r="B337" s="2" t="s">
        <v>7</v>
      </c>
      <c r="C337" s="2" t="s">
        <v>11</v>
      </c>
      <c r="D337" s="2" t="s">
        <v>9</v>
      </c>
      <c r="E337" s="2">
        <v>92</v>
      </c>
      <c r="F337" s="2">
        <v>1871.799</v>
      </c>
      <c r="G337" s="1">
        <v>46237</v>
      </c>
    </row>
    <row r="338" spans="3:6" x14ac:dyDescent="0.25">
      <c r="C338" s="2" t="s">
        <v>13</v>
      </c>
      <c r="D338" s="2" t="s">
        <v>9</v>
      </c>
      <c r="E338" s="2">
        <v>89</v>
      </c>
      <c r="F338" s="2">
        <v>1810.34</v>
      </c>
    </row>
    <row r="340" spans="1:7" x14ac:dyDescent="0.25">
      <c r="A340" s="1">
        <v>46237</v>
      </c>
      <c r="B340" s="2" t="s">
        <v>347</v>
      </c>
      <c r="C340" s="2" t="s">
        <v>348</v>
      </c>
      <c r="D340" s="2" t="s">
        <v>59</v>
      </c>
      <c r="E340" s="2">
        <v>102</v>
      </c>
      <c r="F340" s="2">
        <v>2028.72</v>
      </c>
      <c r="G340" s="1">
        <v>46237</v>
      </c>
    </row>
    <row r="341" spans="3:6" x14ac:dyDescent="0.25">
      <c r="C341" s="2" t="s">
        <v>349</v>
      </c>
      <c r="D341" s="2" t="s">
        <v>59</v>
      </c>
      <c r="E341" s="2">
        <v>102</v>
      </c>
      <c r="F341" s="2">
        <v>1941.2</v>
      </c>
    </row>
    <row r="342" spans="3:6" x14ac:dyDescent="0.25">
      <c r="C342" s="2" t="s">
        <v>350</v>
      </c>
      <c r="D342" s="2" t="s">
        <v>59</v>
      </c>
      <c r="E342" s="2">
        <v>142</v>
      </c>
      <c r="F342" s="2">
        <v>2755.759</v>
      </c>
    </row>
    <row r="343" spans="3:6" x14ac:dyDescent="0.25">
      <c r="C343" s="2" t="s">
        <v>351</v>
      </c>
      <c r="D343" s="2" t="s">
        <v>59</v>
      </c>
      <c r="E343" s="2">
        <v>142</v>
      </c>
      <c r="F343" s="2">
        <v>2760.258</v>
      </c>
    </row>
    <row r="344" spans="3:6" x14ac:dyDescent="0.25">
      <c r="C344" s="2" t="s">
        <v>352</v>
      </c>
      <c r="D344" s="2" t="s">
        <v>59</v>
      </c>
      <c r="E344" s="2">
        <v>338</v>
      </c>
      <c r="F344" s="2">
        <v>6612.758</v>
      </c>
    </row>
    <row r="345" spans="3:6" x14ac:dyDescent="0.25">
      <c r="C345" s="2" t="s">
        <v>353</v>
      </c>
      <c r="D345" s="2" t="s">
        <v>59</v>
      </c>
      <c r="E345" s="2">
        <v>142</v>
      </c>
      <c r="F345" s="2">
        <v>2740.81</v>
      </c>
    </row>
    <row r="346" spans="3:6" x14ac:dyDescent="0.25">
      <c r="C346" s="2" t="s">
        <v>354</v>
      </c>
      <c r="D346" s="2" t="s">
        <v>59</v>
      </c>
      <c r="E346" s="2">
        <v>283</v>
      </c>
      <c r="F346" s="2">
        <v>5449.399</v>
      </c>
    </row>
    <row r="347" spans="3:6" x14ac:dyDescent="0.25">
      <c r="C347" s="2" t="s">
        <v>355</v>
      </c>
      <c r="D347" s="2" t="s">
        <v>59</v>
      </c>
      <c r="E347" s="2">
        <v>89</v>
      </c>
      <c r="F347" s="2">
        <v>1666.02</v>
      </c>
    </row>
    <row r="349" spans="1:7" x14ac:dyDescent="0.25">
      <c r="A349" s="1">
        <v>46238</v>
      </c>
      <c r="B349" s="2" t="s">
        <v>7</v>
      </c>
      <c r="C349" s="2" t="s">
        <v>356</v>
      </c>
      <c r="D349" s="2" t="s">
        <v>9</v>
      </c>
      <c r="E349" s="2">
        <v>90</v>
      </c>
      <c r="F349" s="2">
        <v>1865.53</v>
      </c>
      <c r="G349" s="1">
        <v>46237</v>
      </c>
    </row>
    <row r="350" spans="3:6" x14ac:dyDescent="0.25">
      <c r="C350" s="2" t="s">
        <v>357</v>
      </c>
      <c r="D350" s="2" t="s">
        <v>9</v>
      </c>
      <c r="E350" s="2">
        <v>90</v>
      </c>
      <c r="F350" s="2">
        <v>1823.399</v>
      </c>
    </row>
    <row r="352" spans="1:7" x14ac:dyDescent="0.25">
      <c r="A352" s="1">
        <v>46238</v>
      </c>
      <c r="B352" s="2" t="s">
        <v>358</v>
      </c>
      <c r="C352" s="2" t="s">
        <v>359</v>
      </c>
      <c r="D352" s="2" t="s">
        <v>136</v>
      </c>
      <c r="E352" s="2">
        <v>11</v>
      </c>
      <c r="F352" s="2">
        <v>189.499</v>
      </c>
      <c r="G352" s="1">
        <v>46237</v>
      </c>
    </row>
    <row r="353" spans="3:6" x14ac:dyDescent="0.25">
      <c r="C353" s="2" t="s">
        <v>360</v>
      </c>
      <c r="D353" s="2" t="s">
        <v>136</v>
      </c>
      <c r="E353" s="2">
        <v>123</v>
      </c>
      <c r="F353" s="2">
        <v>2482.39</v>
      </c>
    </row>
    <row r="355" spans="1:7" x14ac:dyDescent="0.25">
      <c r="A355" s="1">
        <v>46238</v>
      </c>
      <c r="B355" s="2" t="s">
        <v>361</v>
      </c>
      <c r="C355" s="2" t="s">
        <v>362</v>
      </c>
      <c r="D355" s="2" t="s">
        <v>70</v>
      </c>
      <c r="E355" s="2">
        <v>154</v>
      </c>
      <c r="F355" s="2">
        <v>2971.789</v>
      </c>
      <c r="G355" s="1">
        <v>46237</v>
      </c>
    </row>
    <row r="357" spans="1:7" x14ac:dyDescent="0.25">
      <c r="A357" s="1">
        <v>46239</v>
      </c>
      <c r="B357" s="2" t="s">
        <v>363</v>
      </c>
      <c r="C357" s="2" t="s">
        <v>364</v>
      </c>
      <c r="D357" s="2" t="s">
        <v>73</v>
      </c>
      <c r="E357" s="2">
        <v>90</v>
      </c>
      <c r="F357" s="2">
        <v>1773.41</v>
      </c>
      <c r="G357" s="1">
        <v>46237</v>
      </c>
    </row>
    <row r="358" spans="3:6" x14ac:dyDescent="0.25">
      <c r="C358" s="2" t="s">
        <v>365</v>
      </c>
      <c r="D358" s="2" t="s">
        <v>73</v>
      </c>
      <c r="E358" s="2">
        <v>75</v>
      </c>
      <c r="F358" s="2">
        <v>1529.21</v>
      </c>
    </row>
    <row r="359" spans="3:6" x14ac:dyDescent="0.25">
      <c r="C359" s="2" t="s">
        <v>366</v>
      </c>
      <c r="D359" s="2" t="s">
        <v>73</v>
      </c>
      <c r="E359" s="2">
        <v>83</v>
      </c>
      <c r="F359" s="2">
        <v>1703.03</v>
      </c>
    </row>
    <row r="360" spans="3:6" x14ac:dyDescent="0.25">
      <c r="C360" s="2" t="s">
        <v>367</v>
      </c>
      <c r="D360" s="2" t="s">
        <v>73</v>
      </c>
      <c r="E360" s="2">
        <v>11</v>
      </c>
      <c r="F360" s="2">
        <v>201.88</v>
      </c>
    </row>
    <row r="361" spans="3:6" x14ac:dyDescent="0.25">
      <c r="C361" s="2" t="s">
        <v>368</v>
      </c>
      <c r="D361" s="2" t="s">
        <v>73</v>
      </c>
      <c r="E361" s="2">
        <v>6</v>
      </c>
      <c r="F361" s="2">
        <v>133.8</v>
      </c>
    </row>
    <row r="362" spans="3:6" x14ac:dyDescent="0.25">
      <c r="C362" s="2" t="s">
        <v>369</v>
      </c>
      <c r="D362" s="2" t="s">
        <v>73</v>
      </c>
      <c r="E362" s="2">
        <v>27</v>
      </c>
      <c r="F362" s="2">
        <v>506.12</v>
      </c>
    </row>
    <row r="363" spans="3:6" x14ac:dyDescent="0.25">
      <c r="C363" s="2" t="s">
        <v>370</v>
      </c>
      <c r="D363" s="2" t="s">
        <v>73</v>
      </c>
      <c r="E363" s="2">
        <v>63</v>
      </c>
      <c r="F363" s="2">
        <v>1161.539</v>
      </c>
    </row>
    <row r="365" spans="1:7" x14ac:dyDescent="0.25">
      <c r="A365" s="1">
        <v>46239</v>
      </c>
      <c r="B365" s="2" t="s">
        <v>7</v>
      </c>
      <c r="C365" s="2" t="s">
        <v>371</v>
      </c>
      <c r="D365" s="2" t="s">
        <v>9</v>
      </c>
      <c r="E365" s="2">
        <v>88</v>
      </c>
      <c r="F365" s="2">
        <v>1804.01</v>
      </c>
      <c r="G365" s="1">
        <v>46239</v>
      </c>
    </row>
    <row r="366" spans="3:6" x14ac:dyDescent="0.25">
      <c r="C366" s="2" t="s">
        <v>372</v>
      </c>
      <c r="D366" s="2" t="s">
        <v>9</v>
      </c>
      <c r="E366" s="2">
        <v>85</v>
      </c>
      <c r="F366" s="2">
        <v>1783.51</v>
      </c>
    </row>
    <row r="368" spans="1:7" x14ac:dyDescent="0.25">
      <c r="A368" s="1">
        <v>46239</v>
      </c>
      <c r="B368" s="2" t="s">
        <v>373</v>
      </c>
      <c r="C368" s="2" t="s">
        <v>374</v>
      </c>
      <c r="D368" s="2" t="s">
        <v>292</v>
      </c>
      <c r="E368" s="2">
        <v>50</v>
      </c>
      <c r="F368" s="2">
        <v>947.79</v>
      </c>
      <c r="G368" s="1">
        <v>46239</v>
      </c>
    </row>
    <row r="369" spans="3:6" x14ac:dyDescent="0.25">
      <c r="C369" s="2" t="s">
        <v>375</v>
      </c>
      <c r="D369" s="2" t="s">
        <v>292</v>
      </c>
      <c r="E369" s="2">
        <v>53</v>
      </c>
      <c r="F369" s="2">
        <v>1048.04</v>
      </c>
    </row>
    <row r="370" spans="3:6" x14ac:dyDescent="0.25">
      <c r="C370" s="2" t="s">
        <v>376</v>
      </c>
      <c r="D370" s="2" t="s">
        <v>292</v>
      </c>
      <c r="E370" s="2">
        <v>44</v>
      </c>
      <c r="F370" s="2">
        <v>875.72</v>
      </c>
    </row>
    <row r="371" spans="3:6" x14ac:dyDescent="0.25">
      <c r="C371" s="2" t="s">
        <v>377</v>
      </c>
      <c r="D371" s="2" t="s">
        <v>292</v>
      </c>
      <c r="E371" s="2">
        <v>108</v>
      </c>
      <c r="F371" s="2">
        <v>1996.029</v>
      </c>
    </row>
    <row r="373" spans="1:7" x14ac:dyDescent="0.25">
      <c r="A373" s="1">
        <v>46239</v>
      </c>
      <c r="B373" s="2" t="s">
        <v>378</v>
      </c>
      <c r="C373" s="2" t="s">
        <v>379</v>
      </c>
      <c r="D373" s="2" t="s">
        <v>15</v>
      </c>
      <c r="E373" s="2">
        <v>156</v>
      </c>
      <c r="F373" s="2">
        <v>2828.22</v>
      </c>
      <c r="G373" s="1">
        <v>46239</v>
      </c>
    </row>
    <row r="374" spans="3:6" x14ac:dyDescent="0.25">
      <c r="C374" s="2" t="s">
        <v>380</v>
      </c>
      <c r="D374" s="2" t="s">
        <v>15</v>
      </c>
      <c r="E374" s="2">
        <v>163</v>
      </c>
      <c r="F374" s="2">
        <v>3179.35</v>
      </c>
    </row>
    <row r="375" spans="3:6" x14ac:dyDescent="0.25">
      <c r="C375" s="2" t="s">
        <v>381</v>
      </c>
      <c r="D375" s="2" t="s">
        <v>15</v>
      </c>
      <c r="E375" s="2">
        <v>163</v>
      </c>
      <c r="F375" s="2">
        <v>3197.54</v>
      </c>
    </row>
    <row r="376" spans="3:6" x14ac:dyDescent="0.25">
      <c r="C376" s="2" t="s">
        <v>138</v>
      </c>
      <c r="D376" s="2" t="s">
        <v>15</v>
      </c>
      <c r="E376" s="2">
        <v>76</v>
      </c>
      <c r="F376" s="2">
        <v>1345.725</v>
      </c>
    </row>
    <row r="377" spans="3:6" x14ac:dyDescent="0.25">
      <c r="C377" s="2" t="s">
        <v>134</v>
      </c>
      <c r="D377" s="2" t="s">
        <v>15</v>
      </c>
      <c r="E377" s="2">
        <v>70</v>
      </c>
      <c r="F377" s="2">
        <v>1030.716</v>
      </c>
    </row>
    <row r="378" spans="3:6" x14ac:dyDescent="0.25">
      <c r="C378" s="2" t="s">
        <v>382</v>
      </c>
      <c r="D378" s="2" t="s">
        <v>15</v>
      </c>
      <c r="E378" s="2">
        <v>163</v>
      </c>
      <c r="F378" s="2">
        <v>2996.839</v>
      </c>
    </row>
    <row r="379" spans="3:6" x14ac:dyDescent="0.25">
      <c r="C379" s="2" t="s">
        <v>383</v>
      </c>
      <c r="D379" s="2" t="s">
        <v>15</v>
      </c>
      <c r="E379" s="2">
        <v>163</v>
      </c>
      <c r="F379" s="2">
        <v>3210.58</v>
      </c>
    </row>
    <row r="380" spans="3:6" x14ac:dyDescent="0.25">
      <c r="C380" s="2" t="s">
        <v>384</v>
      </c>
      <c r="D380" s="2" t="s">
        <v>15</v>
      </c>
      <c r="E380" s="2">
        <v>163</v>
      </c>
      <c r="F380" s="2">
        <v>3151.7</v>
      </c>
    </row>
    <row r="381" spans="3:6" x14ac:dyDescent="0.25">
      <c r="C381" s="2" t="s">
        <v>385</v>
      </c>
      <c r="D381" s="2" t="s">
        <v>15</v>
      </c>
      <c r="E381" s="2">
        <v>163</v>
      </c>
      <c r="F381" s="2">
        <v>3140.33</v>
      </c>
    </row>
    <row r="382" spans="3:6" x14ac:dyDescent="0.25">
      <c r="C382" s="2" t="s">
        <v>386</v>
      </c>
      <c r="D382" s="2" t="s">
        <v>15</v>
      </c>
      <c r="E382" s="2">
        <v>163</v>
      </c>
      <c r="F382" s="2">
        <v>2939.49</v>
      </c>
    </row>
    <row r="383" spans="3:6" x14ac:dyDescent="0.25">
      <c r="C383" s="2" t="s">
        <v>387</v>
      </c>
      <c r="D383" s="2" t="s">
        <v>15</v>
      </c>
      <c r="E383" s="2">
        <v>163</v>
      </c>
      <c r="F383" s="2">
        <v>3251.259</v>
      </c>
    </row>
    <row r="384" spans="3:6" x14ac:dyDescent="0.25">
      <c r="C384" s="2" t="s">
        <v>388</v>
      </c>
      <c r="D384" s="2" t="s">
        <v>15</v>
      </c>
      <c r="E384" s="2">
        <v>163</v>
      </c>
      <c r="F384" s="2">
        <v>3215.82</v>
      </c>
    </row>
    <row r="385" spans="3:6" x14ac:dyDescent="0.25">
      <c r="C385" s="2" t="s">
        <v>389</v>
      </c>
      <c r="D385" s="2" t="s">
        <v>15</v>
      </c>
      <c r="E385" s="2">
        <v>163</v>
      </c>
      <c r="F385" s="2">
        <v>3276.987</v>
      </c>
    </row>
    <row r="386" spans="3:6" x14ac:dyDescent="0.25">
      <c r="C386" s="2" t="s">
        <v>390</v>
      </c>
      <c r="D386" s="2" t="s">
        <v>15</v>
      </c>
      <c r="E386" s="2">
        <v>105</v>
      </c>
      <c r="F386" s="2">
        <v>2108</v>
      </c>
    </row>
    <row r="387" spans="3:6" x14ac:dyDescent="0.25">
      <c r="C387" s="2" t="s">
        <v>391</v>
      </c>
      <c r="D387" s="2" t="s">
        <v>15</v>
      </c>
      <c r="E387" s="2">
        <v>85</v>
      </c>
      <c r="F387" s="2">
        <v>1550.999</v>
      </c>
    </row>
    <row r="388" spans="3:6" x14ac:dyDescent="0.25">
      <c r="C388" s="2" t="s">
        <v>392</v>
      </c>
      <c r="D388" s="2" t="s">
        <v>15</v>
      </c>
      <c r="E388" s="2">
        <v>78</v>
      </c>
      <c r="F388" s="2">
        <v>1555.24</v>
      </c>
    </row>
    <row r="389" spans="3:5" x14ac:dyDescent="0.25">
      <c r="C389" s="2" t="s">
        <v>393</v>
      </c>
      <c r="D389" s="2" t="s">
        <v>15</v>
      </c>
      <c r="E389" s="2">
        <v>78</v>
      </c>
    </row>
    <row r="390" spans="3:6" x14ac:dyDescent="0.25">
      <c r="C390" s="2" t="s">
        <v>394</v>
      </c>
      <c r="D390" s="2" t="s">
        <v>15</v>
      </c>
      <c r="E390" s="2">
        <v>27</v>
      </c>
      <c r="F390" s="2">
        <v>507.88</v>
      </c>
    </row>
    <row r="391" spans="3:6" x14ac:dyDescent="0.25">
      <c r="C391" s="2" t="s">
        <v>395</v>
      </c>
      <c r="D391" s="2" t="s">
        <v>30</v>
      </c>
      <c r="E391" s="2">
        <v>134</v>
      </c>
      <c r="F391" s="2">
        <v>2741.329</v>
      </c>
    </row>
    <row r="392" spans="3:6" x14ac:dyDescent="0.25">
      <c r="C392" s="2" t="s">
        <v>396</v>
      </c>
      <c r="D392" s="2" t="s">
        <v>30</v>
      </c>
      <c r="E392" s="2">
        <v>134</v>
      </c>
      <c r="F392" s="2">
        <v>2698.89</v>
      </c>
    </row>
    <row r="393" spans="3:6" x14ac:dyDescent="0.25">
      <c r="C393" s="2" t="s">
        <v>397</v>
      </c>
      <c r="D393" s="2" t="s">
        <v>30</v>
      </c>
      <c r="E393" s="2">
        <v>134</v>
      </c>
      <c r="F393" s="2">
        <v>2679.74</v>
      </c>
    </row>
    <row r="394" spans="3:6" x14ac:dyDescent="0.25">
      <c r="C394" s="2" t="s">
        <v>398</v>
      </c>
      <c r="D394" s="2" t="s">
        <v>30</v>
      </c>
      <c r="E394" s="2">
        <v>134</v>
      </c>
      <c r="F394" s="2">
        <v>2549.939</v>
      </c>
    </row>
    <row r="395" spans="3:6" x14ac:dyDescent="0.25">
      <c r="C395" s="2" t="s">
        <v>399</v>
      </c>
      <c r="D395" s="2" t="s">
        <v>30</v>
      </c>
      <c r="E395" s="2">
        <v>134</v>
      </c>
      <c r="F395" s="2">
        <v>2673.92</v>
      </c>
    </row>
    <row r="396" spans="3:6" x14ac:dyDescent="0.25">
      <c r="C396" s="2" t="s">
        <v>400</v>
      </c>
      <c r="D396" s="2" t="s">
        <v>30</v>
      </c>
      <c r="E396" s="2">
        <v>134</v>
      </c>
      <c r="F396" s="2">
        <v>2715.07</v>
      </c>
    </row>
    <row r="397" spans="3:6" x14ac:dyDescent="0.25">
      <c r="C397" s="2" t="s">
        <v>401</v>
      </c>
      <c r="D397" s="2" t="s">
        <v>26</v>
      </c>
      <c r="E397" s="2">
        <v>100</v>
      </c>
      <c r="F397" s="2">
        <v>1938.039</v>
      </c>
    </row>
    <row r="398" spans="3:6" x14ac:dyDescent="0.25">
      <c r="C398" s="2" t="s">
        <v>402</v>
      </c>
      <c r="D398" s="2" t="s">
        <v>26</v>
      </c>
      <c r="E398" s="2">
        <v>56</v>
      </c>
      <c r="F398" s="2">
        <v>1064.35</v>
      </c>
    </row>
    <row r="399" spans="3:6" x14ac:dyDescent="0.25">
      <c r="C399" s="2" t="s">
        <v>403</v>
      </c>
      <c r="D399" s="2" t="s">
        <v>26</v>
      </c>
      <c r="E399" s="2">
        <v>100</v>
      </c>
      <c r="F399" s="2">
        <v>1884.288</v>
      </c>
    </row>
    <row r="400" spans="3:6" x14ac:dyDescent="0.25">
      <c r="C400" s="2" t="s">
        <v>404</v>
      </c>
      <c r="D400" s="2" t="s">
        <v>26</v>
      </c>
      <c r="E400" s="2">
        <v>56</v>
      </c>
      <c r="F400" s="2">
        <v>1171.859</v>
      </c>
    </row>
    <row r="401" spans="3:6" x14ac:dyDescent="0.25">
      <c r="C401" s="2" t="s">
        <v>405</v>
      </c>
      <c r="D401" s="2" t="s">
        <v>26</v>
      </c>
      <c r="E401" s="2">
        <v>156</v>
      </c>
      <c r="F401" s="2">
        <v>3151.679</v>
      </c>
    </row>
    <row r="402" spans="3:6" x14ac:dyDescent="0.25">
      <c r="C402" s="2" t="s">
        <v>406</v>
      </c>
      <c r="D402" s="2" t="s">
        <v>26</v>
      </c>
      <c r="E402" s="2">
        <v>156</v>
      </c>
      <c r="F402" s="2">
        <v>3132.81</v>
      </c>
    </row>
    <row r="403" spans="3:6" x14ac:dyDescent="0.25">
      <c r="C403" s="2" t="s">
        <v>407</v>
      </c>
      <c r="D403" s="2" t="s">
        <v>36</v>
      </c>
      <c r="E403" s="2">
        <v>60</v>
      </c>
      <c r="F403" s="2">
        <v>1129.839</v>
      </c>
    </row>
    <row r="404" spans="3:6" x14ac:dyDescent="0.25">
      <c r="C404" s="2" t="s">
        <v>408</v>
      </c>
      <c r="D404" s="2" t="s">
        <v>36</v>
      </c>
      <c r="E404" s="2">
        <v>45</v>
      </c>
      <c r="F404" s="2">
        <v>820.54</v>
      </c>
    </row>
    <row r="405" spans="3:6" x14ac:dyDescent="0.25">
      <c r="C405" s="2" t="s">
        <v>409</v>
      </c>
      <c r="D405" s="2" t="s">
        <v>36</v>
      </c>
      <c r="E405" s="2">
        <v>45</v>
      </c>
      <c r="F405" s="2">
        <v>841.769</v>
      </c>
    </row>
    <row r="406" spans="3:6" x14ac:dyDescent="0.25">
      <c r="C406" s="2" t="s">
        <v>410</v>
      </c>
      <c r="D406" s="2" t="s">
        <v>36</v>
      </c>
      <c r="E406" s="2">
        <v>60</v>
      </c>
      <c r="F406" s="2">
        <v>1116.11</v>
      </c>
    </row>
    <row r="407" spans="3:5" x14ac:dyDescent="0.25">
      <c r="C407" s="2" t="s">
        <v>411</v>
      </c>
      <c r="D407" s="2" t="s">
        <v>36</v>
      </c>
      <c r="E407" s="2">
        <v>6</v>
      </c>
    </row>
    <row r="408" spans="3:6" x14ac:dyDescent="0.25">
      <c r="C408" s="2" t="s">
        <v>412</v>
      </c>
      <c r="D408" s="2" t="s">
        <v>36</v>
      </c>
      <c r="E408" s="2">
        <v>80</v>
      </c>
      <c r="F408" s="2">
        <v>1576.29</v>
      </c>
    </row>
    <row r="409" spans="3:6" x14ac:dyDescent="0.25">
      <c r="C409" s="2" t="s">
        <v>413</v>
      </c>
      <c r="D409" s="2" t="s">
        <v>36</v>
      </c>
      <c r="E409" s="2">
        <v>19</v>
      </c>
      <c r="F409" s="2">
        <v>402.61</v>
      </c>
    </row>
    <row r="410" spans="3:6" x14ac:dyDescent="0.25">
      <c r="C410" s="2" t="s">
        <v>414</v>
      </c>
      <c r="D410" s="2" t="s">
        <v>15</v>
      </c>
      <c r="E410" s="2">
        <v>163</v>
      </c>
      <c r="F410" s="2">
        <v>3123.04</v>
      </c>
    </row>
    <row r="412" spans="2:7" x14ac:dyDescent="0.25">
      <c r="B412" s="2" t="s">
        <v>48</v>
      </c>
      <c r="C412" s="2" t="s">
        <v>415</v>
      </c>
      <c r="D412" s="2" t="s">
        <v>30</v>
      </c>
      <c r="E412" s="2">
        <v>126</v>
      </c>
      <c r="F412" s="2">
        <v>2333</v>
      </c>
      <c r="G412" s="1">
        <v>46239</v>
      </c>
    </row>
    <row r="413" spans="3:6" x14ac:dyDescent="0.25">
      <c r="C413" s="2" t="s">
        <v>416</v>
      </c>
      <c r="D413" s="2" t="s">
        <v>30</v>
      </c>
      <c r="E413" s="2">
        <v>30</v>
      </c>
      <c r="F413" s="2">
        <v>501</v>
      </c>
    </row>
    <row r="414" spans="3:6" x14ac:dyDescent="0.25">
      <c r="C414" s="2" t="s">
        <v>417</v>
      </c>
      <c r="D414" s="2" t="s">
        <v>30</v>
      </c>
      <c r="E414" s="2">
        <v>156</v>
      </c>
      <c r="F414" s="2">
        <v>2966</v>
      </c>
    </row>
    <row r="415" spans="3:6" x14ac:dyDescent="0.25">
      <c r="C415" s="2" t="s">
        <v>418</v>
      </c>
      <c r="D415" s="2" t="s">
        <v>53</v>
      </c>
      <c r="E415" s="2">
        <v>105</v>
      </c>
      <c r="F415" s="2">
        <v>1966</v>
      </c>
    </row>
    <row r="416" spans="3:6" x14ac:dyDescent="0.25">
      <c r="C416" s="2" t="s">
        <v>419</v>
      </c>
      <c r="D416" s="2" t="s">
        <v>30</v>
      </c>
      <c r="E416" s="2">
        <v>105</v>
      </c>
      <c r="F416" s="2">
        <v>1817</v>
      </c>
    </row>
    <row r="418" spans="1:7" x14ac:dyDescent="0.25">
      <c r="A418" s="1">
        <v>46239</v>
      </c>
      <c r="B418" s="2" t="s">
        <v>420</v>
      </c>
      <c r="C418" s="2" t="s">
        <v>421</v>
      </c>
      <c r="D418" s="2" t="s">
        <v>59</v>
      </c>
      <c r="E418" s="2">
        <v>309</v>
      </c>
      <c r="F418" s="2">
        <v>6192.229</v>
      </c>
      <c r="G418" s="1">
        <v>46239</v>
      </c>
    </row>
    <row r="419" spans="3:6" x14ac:dyDescent="0.25">
      <c r="C419" s="2" t="s">
        <v>422</v>
      </c>
      <c r="D419" s="2" t="s">
        <v>59</v>
      </c>
      <c r="E419" s="2">
        <v>156</v>
      </c>
      <c r="F419" s="2">
        <v>3032.42</v>
      </c>
    </row>
    <row r="420" spans="3:6" x14ac:dyDescent="0.25">
      <c r="C420" s="2" t="s">
        <v>423</v>
      </c>
      <c r="D420" s="2" t="s">
        <v>59</v>
      </c>
      <c r="E420" s="2">
        <v>261</v>
      </c>
      <c r="F420" s="2">
        <v>5110.27</v>
      </c>
    </row>
    <row r="421" spans="3:6" x14ac:dyDescent="0.25">
      <c r="C421" s="2" t="s">
        <v>424</v>
      </c>
      <c r="D421" s="2" t="s">
        <v>59</v>
      </c>
      <c r="E421" s="2">
        <v>156</v>
      </c>
      <c r="F421" s="2">
        <v>3061.91</v>
      </c>
    </row>
    <row r="422" spans="3:6" x14ac:dyDescent="0.25">
      <c r="C422" s="2" t="s">
        <v>425</v>
      </c>
      <c r="D422" s="2" t="s">
        <v>59</v>
      </c>
      <c r="E422" s="2">
        <v>156</v>
      </c>
      <c r="F422" s="2">
        <v>3002.63</v>
      </c>
    </row>
    <row r="423" spans="3:6" x14ac:dyDescent="0.25">
      <c r="C423" s="2" t="s">
        <v>426</v>
      </c>
      <c r="D423" s="2" t="s">
        <v>59</v>
      </c>
      <c r="E423" s="2">
        <v>156</v>
      </c>
      <c r="F423" s="2">
        <v>2986.9</v>
      </c>
    </row>
    <row r="425" spans="1:7" x14ac:dyDescent="0.25">
      <c r="A425" s="1">
        <v>46239</v>
      </c>
      <c r="B425" s="2" t="s">
        <v>427</v>
      </c>
      <c r="C425" s="2" t="s">
        <v>428</v>
      </c>
      <c r="D425" s="2" t="s">
        <v>59</v>
      </c>
      <c r="E425" s="2">
        <v>149</v>
      </c>
      <c r="F425" s="2">
        <v>2969.779</v>
      </c>
      <c r="G425" s="1">
        <v>46239</v>
      </c>
    </row>
    <row r="427" spans="1:7" x14ac:dyDescent="0.25">
      <c r="A427" s="1">
        <v>46239</v>
      </c>
      <c r="B427" s="2" t="s">
        <v>68</v>
      </c>
      <c r="C427" s="2" t="s">
        <v>429</v>
      </c>
      <c r="D427" s="2" t="s">
        <v>70</v>
      </c>
      <c r="E427" s="2">
        <v>133</v>
      </c>
      <c r="F427" s="2">
        <v>2477.798</v>
      </c>
      <c r="G427" s="1">
        <v>46239</v>
      </c>
    </row>
    <row r="429" spans="1:7" x14ac:dyDescent="0.25">
      <c r="A429" s="1">
        <v>46239</v>
      </c>
      <c r="B429" s="2" t="s">
        <v>430</v>
      </c>
      <c r="C429" s="2" t="s">
        <v>431</v>
      </c>
      <c r="D429" s="2" t="s">
        <v>15</v>
      </c>
      <c r="E429" s="2">
        <v>141</v>
      </c>
      <c r="F429" s="2">
        <v>2693.229</v>
      </c>
      <c r="G429" s="1">
        <v>46239</v>
      </c>
    </row>
    <row r="430" spans="3:6" x14ac:dyDescent="0.25">
      <c r="C430" s="2" t="s">
        <v>432</v>
      </c>
      <c r="D430" s="2" t="s">
        <v>15</v>
      </c>
      <c r="E430" s="2">
        <v>102</v>
      </c>
      <c r="F430" s="2">
        <v>1989.73</v>
      </c>
    </row>
    <row r="432" spans="1:7" x14ac:dyDescent="0.25">
      <c r="A432" s="1">
        <v>46240</v>
      </c>
      <c r="B432" s="2" t="s">
        <v>433</v>
      </c>
      <c r="C432" s="2" t="s">
        <v>434</v>
      </c>
      <c r="D432" s="2" t="s">
        <v>73</v>
      </c>
      <c r="E432" s="2">
        <v>45</v>
      </c>
      <c r="F432" s="2">
        <v>823.41</v>
      </c>
      <c r="G432" s="1">
        <v>46240</v>
      </c>
    </row>
    <row r="433" spans="3:6" x14ac:dyDescent="0.25">
      <c r="C433" s="2" t="s">
        <v>435</v>
      </c>
      <c r="D433" s="2" t="s">
        <v>73</v>
      </c>
      <c r="E433" s="2">
        <v>54</v>
      </c>
      <c r="F433" s="2">
        <v>889.989</v>
      </c>
    </row>
    <row r="434" spans="3:6" x14ac:dyDescent="0.25">
      <c r="C434" s="2" t="s">
        <v>436</v>
      </c>
      <c r="D434" s="2" t="s">
        <v>73</v>
      </c>
      <c r="E434" s="2">
        <v>81</v>
      </c>
      <c r="F434" s="2">
        <v>1673.82</v>
      </c>
    </row>
    <row r="435" spans="3:6" x14ac:dyDescent="0.25">
      <c r="C435" s="2" t="s">
        <v>437</v>
      </c>
      <c r="D435" s="2" t="s">
        <v>73</v>
      </c>
      <c r="E435" s="2">
        <v>94</v>
      </c>
      <c r="F435" s="2">
        <v>1781.82</v>
      </c>
    </row>
    <row r="436" spans="3:6" x14ac:dyDescent="0.25">
      <c r="C436" s="2" t="s">
        <v>438</v>
      </c>
      <c r="D436" s="2" t="s">
        <v>73</v>
      </c>
      <c r="E436" s="2">
        <v>18</v>
      </c>
      <c r="F436" s="2">
        <v>303.57</v>
      </c>
    </row>
    <row r="437" spans="3:6" x14ac:dyDescent="0.25">
      <c r="C437" s="2" t="s">
        <v>439</v>
      </c>
      <c r="D437" s="2" t="s">
        <v>73</v>
      </c>
      <c r="E437" s="2">
        <v>45</v>
      </c>
      <c r="F437" s="2">
        <v>974.06</v>
      </c>
    </row>
    <row r="438" spans="3:6" x14ac:dyDescent="0.25">
      <c r="C438" s="2" t="s">
        <v>440</v>
      </c>
      <c r="D438" s="2" t="s">
        <v>73</v>
      </c>
      <c r="E438" s="2">
        <v>9</v>
      </c>
      <c r="F438" s="2">
        <v>196.8</v>
      </c>
    </row>
    <row r="440" spans="1:7" x14ac:dyDescent="0.25">
      <c r="A440" s="1">
        <v>46240</v>
      </c>
      <c r="B440" s="2" t="s">
        <v>229</v>
      </c>
      <c r="C440" s="2" t="s">
        <v>441</v>
      </c>
      <c r="D440" s="2" t="s">
        <v>82</v>
      </c>
      <c r="E440" s="2">
        <v>40</v>
      </c>
      <c r="F440" s="2">
        <v>725.75</v>
      </c>
      <c r="G440" s="1">
        <v>46240</v>
      </c>
    </row>
    <row r="441" spans="3:6" x14ac:dyDescent="0.25">
      <c r="C441" s="2" t="s">
        <v>442</v>
      </c>
      <c r="D441" s="2" t="s">
        <v>82</v>
      </c>
      <c r="E441" s="2">
        <v>35</v>
      </c>
      <c r="F441" s="2">
        <v>697.87</v>
      </c>
    </row>
    <row r="442" spans="3:6" x14ac:dyDescent="0.25">
      <c r="C442" s="2" t="s">
        <v>443</v>
      </c>
      <c r="D442" s="2" t="s">
        <v>82</v>
      </c>
      <c r="E442" s="2">
        <v>70</v>
      </c>
      <c r="F442" s="2">
        <v>1376.24</v>
      </c>
    </row>
    <row r="443" spans="3:6" x14ac:dyDescent="0.25">
      <c r="C443" s="2" t="s">
        <v>444</v>
      </c>
      <c r="D443" s="2" t="s">
        <v>82</v>
      </c>
      <c r="E443" s="2">
        <v>71</v>
      </c>
      <c r="F443" s="2">
        <v>1469.82</v>
      </c>
    </row>
    <row r="444" spans="3:6" x14ac:dyDescent="0.25">
      <c r="C444" s="2" t="s">
        <v>445</v>
      </c>
      <c r="D444" s="2" t="s">
        <v>82</v>
      </c>
      <c r="E444" s="2">
        <v>34</v>
      </c>
      <c r="F444" s="2">
        <v>150.32</v>
      </c>
    </row>
    <row r="445" spans="3:6" x14ac:dyDescent="0.25">
      <c r="C445" s="2" t="s">
        <v>446</v>
      </c>
      <c r="D445" s="2" t="s">
        <v>82</v>
      </c>
      <c r="E445" s="2">
        <v>141</v>
      </c>
      <c r="F445" s="2">
        <v>2974.84</v>
      </c>
    </row>
    <row r="446" spans="3:6" x14ac:dyDescent="0.25">
      <c r="C446" s="2" t="s">
        <v>447</v>
      </c>
      <c r="D446" s="2" t="s">
        <v>82</v>
      </c>
      <c r="E446" s="2">
        <v>141</v>
      </c>
      <c r="F446" s="2">
        <v>2848.41</v>
      </c>
    </row>
    <row r="447" spans="3:6" x14ac:dyDescent="0.25">
      <c r="C447" s="2" t="s">
        <v>448</v>
      </c>
      <c r="D447" s="2" t="s">
        <v>82</v>
      </c>
      <c r="E447" s="2">
        <v>90</v>
      </c>
      <c r="F447" s="2">
        <v>1814.82</v>
      </c>
    </row>
    <row r="448" spans="3:6" x14ac:dyDescent="0.25">
      <c r="C448" s="2" t="s">
        <v>449</v>
      </c>
      <c r="D448" s="2" t="s">
        <v>82</v>
      </c>
      <c r="E448" s="2">
        <v>44</v>
      </c>
      <c r="F448" s="2">
        <v>851.759</v>
      </c>
    </row>
    <row r="449" spans="3:6" x14ac:dyDescent="0.25">
      <c r="C449" s="2" t="s">
        <v>450</v>
      </c>
      <c r="D449" s="2" t="s">
        <v>82</v>
      </c>
      <c r="E449" s="2">
        <v>141</v>
      </c>
      <c r="F449" s="2">
        <v>2776.24</v>
      </c>
    </row>
    <row r="450" spans="3:6" x14ac:dyDescent="0.25">
      <c r="C450" s="2" t="s">
        <v>451</v>
      </c>
      <c r="D450" s="2" t="s">
        <v>82</v>
      </c>
      <c r="E450" s="2">
        <v>95</v>
      </c>
      <c r="F450" s="2">
        <v>1807.87</v>
      </c>
    </row>
    <row r="451" spans="3:6" x14ac:dyDescent="0.25">
      <c r="C451" s="2" t="s">
        <v>452</v>
      </c>
      <c r="D451" s="2" t="s">
        <v>82</v>
      </c>
      <c r="E451" s="2">
        <v>46</v>
      </c>
      <c r="F451" s="2">
        <v>922.32</v>
      </c>
    </row>
    <row r="452" spans="3:6" x14ac:dyDescent="0.25">
      <c r="C452" s="2" t="s">
        <v>453</v>
      </c>
      <c r="D452" s="2" t="s">
        <v>82</v>
      </c>
      <c r="E452" s="2">
        <v>56</v>
      </c>
      <c r="F452" s="2">
        <v>245.178</v>
      </c>
    </row>
    <row r="453" spans="3:6" x14ac:dyDescent="0.25">
      <c r="C453" s="2" t="s">
        <v>454</v>
      </c>
      <c r="D453" s="2" t="s">
        <v>82</v>
      </c>
      <c r="E453" s="2">
        <v>60</v>
      </c>
      <c r="F453" s="2">
        <v>263.12</v>
      </c>
    </row>
    <row r="454" spans="3:6" x14ac:dyDescent="0.25">
      <c r="C454" s="2" t="s">
        <v>455</v>
      </c>
      <c r="D454" s="2" t="s">
        <v>82</v>
      </c>
      <c r="E454" s="2">
        <v>108</v>
      </c>
      <c r="F454" s="2">
        <v>1988.958</v>
      </c>
    </row>
    <row r="455" spans="3:6" x14ac:dyDescent="0.25">
      <c r="C455" s="2" t="s">
        <v>456</v>
      </c>
      <c r="D455" s="2" t="s">
        <v>82</v>
      </c>
      <c r="E455" s="2">
        <v>49</v>
      </c>
      <c r="F455" s="2">
        <v>820.229</v>
      </c>
    </row>
    <row r="456" spans="3:6" x14ac:dyDescent="0.25">
      <c r="C456" s="2" t="s">
        <v>457</v>
      </c>
      <c r="D456" s="2" t="s">
        <v>82</v>
      </c>
      <c r="E456" s="2">
        <v>48</v>
      </c>
      <c r="F456" s="2">
        <v>982.99</v>
      </c>
    </row>
    <row r="457" spans="3:6" x14ac:dyDescent="0.25">
      <c r="C457" s="2" t="s">
        <v>458</v>
      </c>
      <c r="D457" s="2" t="s">
        <v>82</v>
      </c>
      <c r="E457" s="2">
        <v>24</v>
      </c>
      <c r="F457" s="2">
        <v>477.799</v>
      </c>
    </row>
    <row r="458" spans="3:6" x14ac:dyDescent="0.25">
      <c r="C458" s="2" t="s">
        <v>459</v>
      </c>
      <c r="D458" s="2" t="s">
        <v>82</v>
      </c>
      <c r="E458" s="2">
        <v>32</v>
      </c>
      <c r="F458" s="2">
        <v>612.46</v>
      </c>
    </row>
    <row r="459" spans="3:6" x14ac:dyDescent="0.25">
      <c r="C459" s="2" t="s">
        <v>460</v>
      </c>
      <c r="D459" s="2" t="s">
        <v>82</v>
      </c>
      <c r="E459" s="2">
        <v>30</v>
      </c>
      <c r="F459" s="2">
        <v>591.49</v>
      </c>
    </row>
    <row r="460" spans="3:6" x14ac:dyDescent="0.25">
      <c r="C460" s="2" t="s">
        <v>461</v>
      </c>
      <c r="D460" s="2" t="s">
        <v>82</v>
      </c>
      <c r="E460" s="2">
        <v>30</v>
      </c>
      <c r="F460" s="2">
        <v>617.23</v>
      </c>
    </row>
    <row r="461" spans="3:6" x14ac:dyDescent="0.25">
      <c r="C461" s="2" t="s">
        <v>462</v>
      </c>
      <c r="D461" s="2" t="s">
        <v>82</v>
      </c>
      <c r="E461" s="2">
        <v>29</v>
      </c>
      <c r="F461" s="2">
        <v>560.56</v>
      </c>
    </row>
    <row r="462" spans="3:6" x14ac:dyDescent="0.25">
      <c r="C462" s="2" t="s">
        <v>463</v>
      </c>
      <c r="D462" s="2" t="s">
        <v>82</v>
      </c>
      <c r="E462" s="2">
        <v>62</v>
      </c>
      <c r="F462" s="2">
        <v>1164.78</v>
      </c>
    </row>
    <row r="463" spans="3:6" x14ac:dyDescent="0.25">
      <c r="C463" s="2" t="s">
        <v>464</v>
      </c>
      <c r="D463" s="2" t="s">
        <v>82</v>
      </c>
      <c r="E463" s="2">
        <v>59</v>
      </c>
      <c r="F463" s="2">
        <v>1227.3</v>
      </c>
    </row>
    <row r="464" spans="3:6" x14ac:dyDescent="0.25">
      <c r="C464" s="2" t="s">
        <v>465</v>
      </c>
      <c r="D464" s="2" t="s">
        <v>82</v>
      </c>
      <c r="E464" s="2">
        <v>129</v>
      </c>
      <c r="F464" s="2">
        <v>2632.759</v>
      </c>
    </row>
    <row r="465" spans="3:6" x14ac:dyDescent="0.25">
      <c r="C465" s="2" t="s">
        <v>466</v>
      </c>
      <c r="D465" s="2" t="s">
        <v>82</v>
      </c>
      <c r="E465" s="2">
        <v>12</v>
      </c>
      <c r="F465" s="2">
        <v>230.7</v>
      </c>
    </row>
    <row r="466" spans="3:6" x14ac:dyDescent="0.25">
      <c r="C466" s="2" t="s">
        <v>467</v>
      </c>
      <c r="D466" s="2" t="s">
        <v>82</v>
      </c>
      <c r="E466" s="2">
        <v>84</v>
      </c>
      <c r="F466" s="2">
        <v>1748.659</v>
      </c>
    </row>
    <row r="467" spans="3:6" x14ac:dyDescent="0.25">
      <c r="C467" s="2" t="s">
        <v>468</v>
      </c>
      <c r="D467" s="2" t="s">
        <v>82</v>
      </c>
      <c r="E467" s="2">
        <v>57</v>
      </c>
      <c r="F467" s="2">
        <v>1135.4</v>
      </c>
    </row>
    <row r="468" spans="3:6" x14ac:dyDescent="0.25">
      <c r="C468" s="2" t="s">
        <v>469</v>
      </c>
      <c r="D468" s="2" t="s">
        <v>82</v>
      </c>
      <c r="E468" s="2">
        <v>23</v>
      </c>
      <c r="F468" s="2">
        <v>453.81</v>
      </c>
    </row>
    <row r="469" spans="3:6" x14ac:dyDescent="0.25">
      <c r="C469" s="2" t="s">
        <v>470</v>
      </c>
      <c r="D469" s="2" t="s">
        <v>82</v>
      </c>
      <c r="E469" s="2">
        <v>25</v>
      </c>
      <c r="F469" s="2">
        <v>488.379</v>
      </c>
    </row>
    <row r="470" spans="3:6" x14ac:dyDescent="0.25">
      <c r="C470" s="2" t="s">
        <v>471</v>
      </c>
      <c r="D470" s="2" t="s">
        <v>82</v>
      </c>
      <c r="E470" s="2">
        <v>54</v>
      </c>
      <c r="F470" s="2">
        <v>1149.54</v>
      </c>
    </row>
    <row r="471" spans="3:6" x14ac:dyDescent="0.25">
      <c r="C471" s="2" t="s">
        <v>472</v>
      </c>
      <c r="D471" s="2" t="s">
        <v>82</v>
      </c>
      <c r="E471" s="2">
        <v>15</v>
      </c>
      <c r="F471" s="2">
        <v>322.9</v>
      </c>
    </row>
    <row r="472" spans="3:6" x14ac:dyDescent="0.25">
      <c r="C472" s="2" t="s">
        <v>473</v>
      </c>
      <c r="D472" s="2" t="s">
        <v>82</v>
      </c>
      <c r="E472" s="2">
        <v>87</v>
      </c>
      <c r="F472" s="2">
        <v>1838.7</v>
      </c>
    </row>
    <row r="473" spans="3:6" x14ac:dyDescent="0.25">
      <c r="C473" s="2" t="s">
        <v>474</v>
      </c>
      <c r="D473" s="2" t="s">
        <v>82</v>
      </c>
      <c r="E473" s="2">
        <v>6</v>
      </c>
      <c r="F473" s="2">
        <v>129.55</v>
      </c>
    </row>
    <row r="474" spans="3:6" x14ac:dyDescent="0.25">
      <c r="C474" s="2" t="s">
        <v>475</v>
      </c>
      <c r="D474" s="2" t="s">
        <v>82</v>
      </c>
      <c r="E474" s="2">
        <v>40</v>
      </c>
      <c r="F474" s="2">
        <v>789.849</v>
      </c>
    </row>
    <row r="475" spans="3:6" x14ac:dyDescent="0.25">
      <c r="C475" s="2" t="s">
        <v>476</v>
      </c>
      <c r="D475" s="2" t="s">
        <v>82</v>
      </c>
      <c r="E475" s="2">
        <v>30</v>
      </c>
      <c r="F475" s="2">
        <v>621.78</v>
      </c>
    </row>
    <row r="476" spans="3:6" x14ac:dyDescent="0.25">
      <c r="C476" s="2" t="s">
        <v>477</v>
      </c>
      <c r="D476" s="2" t="s">
        <v>82</v>
      </c>
      <c r="E476" s="2">
        <v>26</v>
      </c>
      <c r="F476" s="2">
        <v>545.79</v>
      </c>
    </row>
    <row r="477" spans="3:6" x14ac:dyDescent="0.25">
      <c r="C477" s="2" t="s">
        <v>478</v>
      </c>
      <c r="D477" s="2" t="s">
        <v>82</v>
      </c>
      <c r="E477" s="2">
        <v>141</v>
      </c>
      <c r="F477" s="2">
        <v>2898.28</v>
      </c>
    </row>
    <row r="478" spans="3:6" x14ac:dyDescent="0.25">
      <c r="C478" s="2" t="s">
        <v>479</v>
      </c>
      <c r="D478" s="2" t="s">
        <v>82</v>
      </c>
      <c r="E478" s="2">
        <v>141</v>
      </c>
      <c r="F478" s="2">
        <v>2896.76</v>
      </c>
    </row>
    <row r="479" spans="3:6" x14ac:dyDescent="0.25">
      <c r="C479" s="2" t="s">
        <v>480</v>
      </c>
      <c r="D479" s="2" t="s">
        <v>82</v>
      </c>
      <c r="E479" s="2">
        <v>48</v>
      </c>
      <c r="F479" s="2">
        <v>954.01</v>
      </c>
    </row>
    <row r="480" spans="3:6" x14ac:dyDescent="0.25">
      <c r="C480" s="2" t="s">
        <v>481</v>
      </c>
      <c r="D480" s="2" t="s">
        <v>82</v>
      </c>
      <c r="E480" s="2">
        <v>93</v>
      </c>
      <c r="F480" s="2">
        <v>1932.62</v>
      </c>
    </row>
    <row r="481" spans="3:6" x14ac:dyDescent="0.25">
      <c r="C481" s="2" t="s">
        <v>482</v>
      </c>
      <c r="D481" s="2" t="s">
        <v>82</v>
      </c>
      <c r="E481" s="2">
        <v>51</v>
      </c>
      <c r="F481" s="2">
        <v>959.739</v>
      </c>
    </row>
    <row r="482" spans="3:6" x14ac:dyDescent="0.25">
      <c r="C482" s="2" t="s">
        <v>483</v>
      </c>
      <c r="D482" s="2" t="s">
        <v>82</v>
      </c>
      <c r="E482" s="2">
        <v>51</v>
      </c>
      <c r="F482" s="2">
        <v>1021.739</v>
      </c>
    </row>
    <row r="483" spans="3:6" x14ac:dyDescent="0.25">
      <c r="C483" s="2" t="s">
        <v>484</v>
      </c>
      <c r="D483" s="2" t="s">
        <v>82</v>
      </c>
      <c r="E483" s="2">
        <v>42</v>
      </c>
      <c r="F483" s="2">
        <v>800.74</v>
      </c>
    </row>
    <row r="484" spans="3:6" x14ac:dyDescent="0.25">
      <c r="C484" s="2" t="s">
        <v>485</v>
      </c>
      <c r="D484" s="2" t="s">
        <v>82</v>
      </c>
      <c r="E484" s="2">
        <v>22</v>
      </c>
      <c r="F484" s="2">
        <v>228.848</v>
      </c>
    </row>
    <row r="485" spans="3:6" x14ac:dyDescent="0.25">
      <c r="C485" s="2" t="s">
        <v>486</v>
      </c>
      <c r="D485" s="2" t="s">
        <v>82</v>
      </c>
      <c r="E485" s="2">
        <v>6</v>
      </c>
      <c r="F485" s="2">
        <v>109.2</v>
      </c>
    </row>
    <row r="486" spans="3:6" x14ac:dyDescent="0.25">
      <c r="C486" s="2" t="s">
        <v>487</v>
      </c>
      <c r="D486" s="2" t="s">
        <v>82</v>
      </c>
      <c r="E486" s="2">
        <v>12</v>
      </c>
      <c r="F486" s="2">
        <v>258.32</v>
      </c>
    </row>
    <row r="487" spans="3:6" x14ac:dyDescent="0.25">
      <c r="C487" s="2" t="s">
        <v>488</v>
      </c>
      <c r="D487" s="2" t="s">
        <v>82</v>
      </c>
      <c r="E487" s="2">
        <v>10</v>
      </c>
      <c r="F487" s="2">
        <v>201.34</v>
      </c>
    </row>
    <row r="488" spans="3:6" x14ac:dyDescent="0.25">
      <c r="C488" s="2" t="s">
        <v>489</v>
      </c>
      <c r="D488" s="2" t="s">
        <v>82</v>
      </c>
      <c r="E488" s="2">
        <v>70</v>
      </c>
      <c r="F488" s="2">
        <v>1344.29</v>
      </c>
    </row>
    <row r="489" spans="3:6" x14ac:dyDescent="0.25">
      <c r="C489" s="2" t="s">
        <v>490</v>
      </c>
      <c r="D489" s="2" t="s">
        <v>82</v>
      </c>
      <c r="E489" s="2">
        <v>71</v>
      </c>
      <c r="F489" s="2">
        <v>1268.149</v>
      </c>
    </row>
    <row r="490" spans="3:6" x14ac:dyDescent="0.25">
      <c r="C490" s="2" t="s">
        <v>491</v>
      </c>
      <c r="D490" s="2" t="s">
        <v>82</v>
      </c>
      <c r="E490" s="2">
        <v>141</v>
      </c>
      <c r="F490" s="2">
        <v>2795.88</v>
      </c>
    </row>
    <row r="492" spans="1:7" x14ac:dyDescent="0.25">
      <c r="A492" s="1">
        <v>46240</v>
      </c>
      <c r="B492" s="2" t="s">
        <v>492</v>
      </c>
      <c r="C492" s="2" t="s">
        <v>493</v>
      </c>
      <c r="D492" s="2" t="s">
        <v>15</v>
      </c>
      <c r="E492" s="2">
        <v>70</v>
      </c>
      <c r="F492" s="2">
        <v>1426.79</v>
      </c>
      <c r="G492" s="1">
        <v>46240</v>
      </c>
    </row>
    <row r="493" spans="3:6" x14ac:dyDescent="0.25">
      <c r="C493" s="2" t="s">
        <v>494</v>
      </c>
      <c r="D493" s="2" t="s">
        <v>15</v>
      </c>
      <c r="E493" s="2">
        <v>70</v>
      </c>
      <c r="F493" s="2">
        <v>1484.46</v>
      </c>
    </row>
    <row r="494" spans="6:6" x14ac:dyDescent="0.25">
      <c r="F494" s="2"/>
    </row>
    <row r="495" spans="1:7" x14ac:dyDescent="0.25">
      <c r="A495" s="1">
        <v>46240</v>
      </c>
      <c r="B495" s="2" t="s">
        <v>495</v>
      </c>
      <c r="C495" s="2" t="s">
        <v>496</v>
      </c>
      <c r="D495" s="2" t="s">
        <v>82</v>
      </c>
      <c r="E495" s="2">
        <v>141</v>
      </c>
      <c r="F495" s="2">
        <v>2815.799</v>
      </c>
      <c r="G495" s="1">
        <v>46239</v>
      </c>
    </row>
    <row r="496" spans="3:6" x14ac:dyDescent="0.25">
      <c r="C496" s="2" t="s">
        <v>497</v>
      </c>
      <c r="D496" s="2" t="s">
        <v>82</v>
      </c>
      <c r="E496" s="2">
        <v>141</v>
      </c>
      <c r="F496" s="2">
        <v>2771.25</v>
      </c>
    </row>
    <row r="497" spans="3:6" x14ac:dyDescent="0.25">
      <c r="C497" s="2" t="s">
        <v>498</v>
      </c>
      <c r="D497" s="2" t="s">
        <v>82</v>
      </c>
      <c r="E497" s="2">
        <v>141</v>
      </c>
      <c r="F497" s="2">
        <v>2892.899</v>
      </c>
    </row>
    <row r="498" spans="3:6" x14ac:dyDescent="0.25">
      <c r="C498" s="2" t="s">
        <v>499</v>
      </c>
      <c r="D498" s="2" t="s">
        <v>82</v>
      </c>
      <c r="E498" s="2">
        <v>141</v>
      </c>
      <c r="F498" s="2">
        <v>2872.28</v>
      </c>
    </row>
    <row r="499" spans="3:6" x14ac:dyDescent="0.25">
      <c r="C499" s="2" t="s">
        <v>500</v>
      </c>
      <c r="D499" s="2" t="s">
        <v>82</v>
      </c>
      <c r="E499" s="2">
        <v>141</v>
      </c>
      <c r="F499" s="2">
        <v>2798.12</v>
      </c>
    </row>
    <row r="500" spans="3:6" x14ac:dyDescent="0.25">
      <c r="C500" s="2" t="s">
        <v>501</v>
      </c>
      <c r="D500" s="2" t="s">
        <v>82</v>
      </c>
      <c r="E500" s="2">
        <v>134</v>
      </c>
      <c r="F500" s="2">
        <v>2645.4</v>
      </c>
    </row>
    <row r="501" spans="3:6" x14ac:dyDescent="0.25">
      <c r="C501" s="2" t="s">
        <v>502</v>
      </c>
      <c r="D501" s="2" t="s">
        <v>82</v>
      </c>
      <c r="E501" s="2">
        <v>103</v>
      </c>
      <c r="F501" s="2">
        <v>1896.7</v>
      </c>
    </row>
    <row r="502" spans="3:6" x14ac:dyDescent="0.25">
      <c r="C502" s="2" t="s">
        <v>503</v>
      </c>
      <c r="D502" s="2" t="s">
        <v>82</v>
      </c>
      <c r="E502" s="2">
        <v>15</v>
      </c>
      <c r="F502" s="2">
        <v>301.41</v>
      </c>
    </row>
    <row r="503" spans="3:6" x14ac:dyDescent="0.25">
      <c r="C503" s="2" t="s">
        <v>504</v>
      </c>
      <c r="D503" s="2" t="s">
        <v>82</v>
      </c>
      <c r="E503" s="2">
        <v>60</v>
      </c>
      <c r="F503" s="2">
        <v>1589.422</v>
      </c>
    </row>
    <row r="504" spans="3:6" x14ac:dyDescent="0.25">
      <c r="C504" s="2" t="s">
        <v>505</v>
      </c>
      <c r="D504" s="2" t="s">
        <v>82</v>
      </c>
      <c r="E504" s="2">
        <v>23</v>
      </c>
      <c r="F504" s="2">
        <v>731.82</v>
      </c>
    </row>
    <row r="505" spans="3:6" x14ac:dyDescent="0.25">
      <c r="C505" s="2" t="s">
        <v>506</v>
      </c>
      <c r="D505" s="2" t="s">
        <v>82</v>
      </c>
      <c r="E505" s="2">
        <v>26</v>
      </c>
      <c r="F505" s="2">
        <v>376.415</v>
      </c>
    </row>
    <row r="506" spans="3:6" x14ac:dyDescent="0.25">
      <c r="C506" s="2" t="s">
        <v>507</v>
      </c>
      <c r="D506" s="2" t="s">
        <v>82</v>
      </c>
      <c r="E506" s="2">
        <v>13</v>
      </c>
      <c r="F506" s="2">
        <v>252.57</v>
      </c>
    </row>
    <row r="507" spans="3:6" x14ac:dyDescent="0.25">
      <c r="C507" s="2" t="s">
        <v>508</v>
      </c>
      <c r="D507" s="2" t="s">
        <v>82</v>
      </c>
      <c r="E507" s="2">
        <v>102</v>
      </c>
      <c r="F507" s="2">
        <v>2051.66</v>
      </c>
    </row>
    <row r="508" spans="3:6" x14ac:dyDescent="0.25">
      <c r="C508" s="2" t="s">
        <v>509</v>
      </c>
      <c r="D508" s="2" t="s">
        <v>82</v>
      </c>
      <c r="E508" s="2">
        <v>102</v>
      </c>
      <c r="F508" s="2">
        <v>2017.88</v>
      </c>
    </row>
    <row r="509" spans="3:6" x14ac:dyDescent="0.25">
      <c r="C509" s="2" t="s">
        <v>510</v>
      </c>
      <c r="D509" s="2" t="s">
        <v>82</v>
      </c>
      <c r="E509" s="2">
        <v>75</v>
      </c>
      <c r="F509" s="2">
        <v>1494.85</v>
      </c>
    </row>
    <row r="510" spans="3:6" x14ac:dyDescent="0.25">
      <c r="C510" s="2" t="s">
        <v>511</v>
      </c>
      <c r="D510" s="2" t="s">
        <v>82</v>
      </c>
      <c r="E510" s="2">
        <v>45</v>
      </c>
      <c r="F510" s="2">
        <v>208.18</v>
      </c>
    </row>
    <row r="511" spans="3:4" x14ac:dyDescent="0.25">
      <c r="C511" s="2" t="s">
        <v>249</v>
      </c>
      <c r="D511" s="2" t="s">
        <v>82</v>
      </c>
    </row>
    <row r="512" spans="3:6" x14ac:dyDescent="0.25">
      <c r="C512" s="2" t="s">
        <v>512</v>
      </c>
      <c r="D512" s="2" t="s">
        <v>82</v>
      </c>
      <c r="E512" s="2">
        <v>40</v>
      </c>
      <c r="F512" s="2">
        <v>175.17</v>
      </c>
    </row>
    <row r="513" spans="3:6" x14ac:dyDescent="0.25">
      <c r="C513" s="2" t="s">
        <v>513</v>
      </c>
      <c r="D513" s="2" t="s">
        <v>82</v>
      </c>
      <c r="E513" s="2">
        <v>60</v>
      </c>
      <c r="F513" s="2">
        <v>256.549</v>
      </c>
    </row>
    <row r="514" spans="3:6" x14ac:dyDescent="0.25">
      <c r="C514" s="2" t="s">
        <v>514</v>
      </c>
      <c r="D514" s="2" t="s">
        <v>82</v>
      </c>
      <c r="E514" s="2">
        <v>121</v>
      </c>
      <c r="F514" s="2">
        <v>2459.929</v>
      </c>
    </row>
    <row r="515" spans="3:6" x14ac:dyDescent="0.25">
      <c r="C515" s="2" t="s">
        <v>515</v>
      </c>
      <c r="D515" s="2" t="s">
        <v>82</v>
      </c>
      <c r="E515" s="2">
        <v>90</v>
      </c>
      <c r="F515" s="2">
        <v>1815.97</v>
      </c>
    </row>
    <row r="516" spans="3:6" x14ac:dyDescent="0.25">
      <c r="C516" s="2" t="s">
        <v>516</v>
      </c>
      <c r="D516" s="2" t="s">
        <v>82</v>
      </c>
      <c r="E516" s="2">
        <v>31</v>
      </c>
      <c r="F516" s="2">
        <v>599.28</v>
      </c>
    </row>
    <row r="517" spans="3:6" x14ac:dyDescent="0.25">
      <c r="C517" s="2" t="s">
        <v>517</v>
      </c>
      <c r="D517" s="2" t="s">
        <v>82</v>
      </c>
      <c r="E517" s="2">
        <v>93</v>
      </c>
      <c r="F517" s="2">
        <v>1686.988</v>
      </c>
    </row>
    <row r="518" spans="3:6" x14ac:dyDescent="0.25">
      <c r="C518" s="2" t="s">
        <v>518</v>
      </c>
      <c r="D518" s="2" t="s">
        <v>82</v>
      </c>
      <c r="E518" s="2">
        <v>29</v>
      </c>
      <c r="F518" s="2">
        <v>537.36</v>
      </c>
    </row>
    <row r="519" spans="3:6" x14ac:dyDescent="0.25">
      <c r="C519" s="2" t="s">
        <v>519</v>
      </c>
      <c r="D519" s="2" t="s">
        <v>82</v>
      </c>
      <c r="E519" s="2">
        <v>21</v>
      </c>
      <c r="F519" s="2">
        <v>412.17</v>
      </c>
    </row>
    <row r="520" spans="3:6" x14ac:dyDescent="0.25">
      <c r="C520" s="2" t="s">
        <v>520</v>
      </c>
      <c r="D520" s="2" t="s">
        <v>82</v>
      </c>
      <c r="E520" s="2">
        <v>24</v>
      </c>
      <c r="F520" s="2">
        <v>444.25</v>
      </c>
    </row>
    <row r="521" spans="3:6" x14ac:dyDescent="0.25">
      <c r="C521" s="2" t="s">
        <v>521</v>
      </c>
      <c r="D521" s="2" t="s">
        <v>82</v>
      </c>
      <c r="E521" s="2">
        <v>76</v>
      </c>
      <c r="F521" s="2">
        <v>1566.28</v>
      </c>
    </row>
    <row r="522" spans="3:6" x14ac:dyDescent="0.25">
      <c r="C522" s="2" t="s">
        <v>522</v>
      </c>
      <c r="D522" s="2" t="s">
        <v>82</v>
      </c>
      <c r="E522" s="2">
        <v>58</v>
      </c>
      <c r="F522" s="2">
        <v>1141.73</v>
      </c>
    </row>
    <row r="523" spans="3:6" x14ac:dyDescent="0.25">
      <c r="C523" s="2" t="s">
        <v>523</v>
      </c>
      <c r="D523" s="2" t="s">
        <v>82</v>
      </c>
      <c r="E523" s="2">
        <v>38</v>
      </c>
      <c r="F523" s="2">
        <v>739.41</v>
      </c>
    </row>
    <row r="524" spans="3:6" x14ac:dyDescent="0.25">
      <c r="C524" s="2" t="s">
        <v>524</v>
      </c>
      <c r="D524" s="2" t="s">
        <v>82</v>
      </c>
      <c r="E524" s="2">
        <v>29</v>
      </c>
      <c r="F524" s="2">
        <v>528.129</v>
      </c>
    </row>
    <row r="525" spans="3:6" x14ac:dyDescent="0.25">
      <c r="C525" s="2" t="s">
        <v>525</v>
      </c>
      <c r="D525" s="2" t="s">
        <v>82</v>
      </c>
      <c r="E525" s="2">
        <v>16</v>
      </c>
      <c r="F525" s="2">
        <v>320.04</v>
      </c>
    </row>
    <row r="526" spans="3:6" x14ac:dyDescent="0.25">
      <c r="C526" s="2" t="s">
        <v>526</v>
      </c>
      <c r="D526" s="2" t="s">
        <v>82</v>
      </c>
      <c r="E526" s="2">
        <v>12</v>
      </c>
      <c r="F526" s="2">
        <v>201.689</v>
      </c>
    </row>
    <row r="527" spans="3:6" x14ac:dyDescent="0.25">
      <c r="C527" s="2" t="s">
        <v>527</v>
      </c>
      <c r="D527" s="2" t="s">
        <v>82</v>
      </c>
      <c r="E527" s="2">
        <v>66</v>
      </c>
      <c r="F527" s="2">
        <v>2381.31</v>
      </c>
    </row>
    <row r="528" spans="3:6" x14ac:dyDescent="0.25">
      <c r="C528" s="2" t="s">
        <v>528</v>
      </c>
      <c r="D528" s="2" t="s">
        <v>82</v>
      </c>
      <c r="E528" s="2">
        <v>79</v>
      </c>
      <c r="F528" s="2">
        <v>1564.28</v>
      </c>
    </row>
    <row r="529" spans="3:6" x14ac:dyDescent="0.25">
      <c r="C529" s="2" t="s">
        <v>529</v>
      </c>
      <c r="D529" s="2" t="s">
        <v>82</v>
      </c>
      <c r="E529" s="2">
        <v>62</v>
      </c>
      <c r="F529" s="2">
        <v>1215.88</v>
      </c>
    </row>
    <row r="530" spans="3:6" x14ac:dyDescent="0.25">
      <c r="C530" s="2" t="s">
        <v>530</v>
      </c>
      <c r="D530" s="2" t="s">
        <v>82</v>
      </c>
      <c r="E530" s="2">
        <v>74</v>
      </c>
      <c r="F530" s="2">
        <v>1499.14</v>
      </c>
    </row>
    <row r="531" spans="3:6" x14ac:dyDescent="0.25">
      <c r="C531" s="2" t="s">
        <v>531</v>
      </c>
      <c r="D531" s="2" t="s">
        <v>82</v>
      </c>
      <c r="E531" s="2">
        <v>41</v>
      </c>
      <c r="F531" s="2">
        <v>793.759</v>
      </c>
    </row>
    <row r="532" spans="3:6" x14ac:dyDescent="0.25">
      <c r="C532" s="2" t="s">
        <v>532</v>
      </c>
      <c r="D532" s="2" t="s">
        <v>82</v>
      </c>
      <c r="E532" s="2">
        <v>20</v>
      </c>
      <c r="F532" s="2">
        <v>408.6</v>
      </c>
    </row>
    <row r="533" spans="3:6" x14ac:dyDescent="0.25">
      <c r="C533" s="2" t="s">
        <v>533</v>
      </c>
      <c r="D533" s="2" t="s">
        <v>82</v>
      </c>
      <c r="E533" s="2">
        <v>18</v>
      </c>
      <c r="F533" s="2">
        <v>362.87</v>
      </c>
    </row>
    <row r="534" spans="3:6" x14ac:dyDescent="0.25">
      <c r="C534" s="2" t="s">
        <v>534</v>
      </c>
      <c r="D534" s="2" t="s">
        <v>82</v>
      </c>
      <c r="E534" s="2">
        <v>45</v>
      </c>
      <c r="F534" s="2">
        <v>191.188</v>
      </c>
    </row>
    <row r="535" spans="3:6" x14ac:dyDescent="0.25">
      <c r="C535" s="2" t="s">
        <v>535</v>
      </c>
      <c r="D535" s="2" t="s">
        <v>82</v>
      </c>
      <c r="E535" s="2">
        <v>92</v>
      </c>
      <c r="F535" s="2">
        <v>2514.371</v>
      </c>
    </row>
    <row r="536" spans="3:6" x14ac:dyDescent="0.25">
      <c r="C536" s="2" t="s">
        <v>536</v>
      </c>
      <c r="D536" s="2" t="s">
        <v>82</v>
      </c>
      <c r="E536" s="2">
        <v>20</v>
      </c>
      <c r="F536" s="2">
        <v>386.78</v>
      </c>
    </row>
    <row r="537" spans="3:6" x14ac:dyDescent="0.25">
      <c r="C537" s="2" t="s">
        <v>537</v>
      </c>
      <c r="D537" s="2" t="s">
        <v>82</v>
      </c>
      <c r="E537" s="2">
        <v>41</v>
      </c>
      <c r="F537" s="2">
        <v>857.41</v>
      </c>
    </row>
    <row r="538" spans="3:6" x14ac:dyDescent="0.25">
      <c r="C538" s="2" t="s">
        <v>538</v>
      </c>
      <c r="D538" s="2" t="s">
        <v>82</v>
      </c>
      <c r="E538" s="2">
        <v>19</v>
      </c>
      <c r="F538" s="2">
        <v>363.78</v>
      </c>
    </row>
    <row r="539" spans="3:6" x14ac:dyDescent="0.25">
      <c r="C539" s="2" t="s">
        <v>539</v>
      </c>
      <c r="D539" s="2" t="s">
        <v>82</v>
      </c>
      <c r="E539" s="2">
        <v>22</v>
      </c>
      <c r="F539" s="2">
        <v>407.45</v>
      </c>
    </row>
    <row r="540" spans="3:6" x14ac:dyDescent="0.25">
      <c r="C540" s="2" t="s">
        <v>540</v>
      </c>
      <c r="D540" s="2" t="s">
        <v>82</v>
      </c>
      <c r="E540" s="2">
        <v>19</v>
      </c>
      <c r="F540" s="2">
        <v>347.46</v>
      </c>
    </row>
    <row r="541" spans="3:6" x14ac:dyDescent="0.25">
      <c r="C541" s="2" t="s">
        <v>541</v>
      </c>
      <c r="D541" s="2" t="s">
        <v>82</v>
      </c>
      <c r="E541" s="2">
        <v>10</v>
      </c>
      <c r="F541" s="2">
        <v>200.31</v>
      </c>
    </row>
    <row r="542" spans="3:6" x14ac:dyDescent="0.25">
      <c r="C542" s="2" t="s">
        <v>542</v>
      </c>
      <c r="D542" s="2" t="s">
        <v>82</v>
      </c>
      <c r="E542" s="2">
        <v>10</v>
      </c>
      <c r="F542" s="2">
        <v>228.85</v>
      </c>
    </row>
    <row r="543" spans="3:6" x14ac:dyDescent="0.25">
      <c r="C543" s="2" t="s">
        <v>543</v>
      </c>
      <c r="D543" s="2" t="s">
        <v>82</v>
      </c>
      <c r="E543" s="2">
        <v>79</v>
      </c>
      <c r="F543" s="2">
        <v>2313.169</v>
      </c>
    </row>
    <row r="544" spans="3:6" x14ac:dyDescent="0.25">
      <c r="C544" s="2" t="s">
        <v>544</v>
      </c>
      <c r="D544" s="2" t="s">
        <v>82</v>
      </c>
      <c r="E544" s="2">
        <v>141</v>
      </c>
      <c r="F544" s="2">
        <v>2815.32</v>
      </c>
    </row>
    <row r="545" spans="3:6" x14ac:dyDescent="0.25">
      <c r="C545" s="2" t="s">
        <v>545</v>
      </c>
      <c r="D545" s="2" t="s">
        <v>82</v>
      </c>
      <c r="E545" s="2">
        <v>141</v>
      </c>
      <c r="F545" s="2">
        <v>2806.588</v>
      </c>
    </row>
    <row r="547" spans="1:7" x14ac:dyDescent="0.25">
      <c r="A547" s="1">
        <v>46240</v>
      </c>
      <c r="B547" s="2" t="s">
        <v>546</v>
      </c>
      <c r="C547" s="2" t="s">
        <v>547</v>
      </c>
      <c r="D547" s="2" t="s">
        <v>70</v>
      </c>
      <c r="E547" s="2">
        <v>100</v>
      </c>
      <c r="F547" s="2">
        <v>2025.85</v>
      </c>
      <c r="G547" s="1">
        <v>46239</v>
      </c>
    </row>
    <row r="549" spans="1:7" x14ac:dyDescent="0.25">
      <c r="A549" s="1">
        <v>46240</v>
      </c>
      <c r="B549" s="2" t="s">
        <v>420</v>
      </c>
      <c r="C549" s="2" t="s">
        <v>548</v>
      </c>
      <c r="D549" s="2" t="s">
        <v>59</v>
      </c>
      <c r="E549" s="2">
        <v>156</v>
      </c>
      <c r="F549" s="2">
        <v>2947.93</v>
      </c>
      <c r="G549" s="1">
        <v>46239</v>
      </c>
    </row>
    <row r="550" spans="3:6" x14ac:dyDescent="0.25">
      <c r="C550" s="2" t="s">
        <v>549</v>
      </c>
      <c r="D550" s="2" t="s">
        <v>59</v>
      </c>
      <c r="E550" s="2">
        <v>105</v>
      </c>
      <c r="F550" s="2">
        <v>2095.42</v>
      </c>
    </row>
    <row r="551" spans="3:6" x14ac:dyDescent="0.25">
      <c r="C551" s="2" t="s">
        <v>550</v>
      </c>
      <c r="D551" s="2" t="s">
        <v>59</v>
      </c>
      <c r="E551" s="2">
        <v>156</v>
      </c>
      <c r="F551" s="2">
        <v>3150.25</v>
      </c>
    </row>
    <row r="552" spans="3:6" x14ac:dyDescent="0.25">
      <c r="C552" s="2" t="s">
        <v>421</v>
      </c>
      <c r="D552" s="2" t="s">
        <v>59</v>
      </c>
      <c r="E552" s="2">
        <v>309</v>
      </c>
      <c r="F552" s="2">
        <v>6192.229</v>
      </c>
    </row>
    <row r="553" spans="3:6" x14ac:dyDescent="0.25">
      <c r="C553" s="2" t="s">
        <v>424</v>
      </c>
      <c r="D553" s="2" t="s">
        <v>59</v>
      </c>
      <c r="E553" s="2">
        <v>156</v>
      </c>
      <c r="F553" s="2">
        <v>3061.91</v>
      </c>
    </row>
    <row r="554" spans="3:6" x14ac:dyDescent="0.25">
      <c r="C554" s="2" t="s">
        <v>422</v>
      </c>
      <c r="D554" s="2" t="s">
        <v>59</v>
      </c>
      <c r="E554" s="2">
        <v>156</v>
      </c>
      <c r="F554" s="2">
        <v>3032.42</v>
      </c>
    </row>
    <row r="555" spans="3:6" x14ac:dyDescent="0.25">
      <c r="C555" s="2" t="s">
        <v>425</v>
      </c>
      <c r="D555" s="2" t="s">
        <v>59</v>
      </c>
      <c r="E555" s="2">
        <v>156</v>
      </c>
      <c r="F555" s="2">
        <v>3002.63</v>
      </c>
    </row>
    <row r="556" spans="3:6" x14ac:dyDescent="0.25">
      <c r="C556" s="2" t="s">
        <v>423</v>
      </c>
      <c r="D556" s="2" t="s">
        <v>59</v>
      </c>
      <c r="E556" s="2">
        <v>261</v>
      </c>
      <c r="F556" s="2">
        <v>5110.27</v>
      </c>
    </row>
    <row r="558" spans="1:7" x14ac:dyDescent="0.25">
      <c r="A558" s="1">
        <v>46240</v>
      </c>
      <c r="B558" s="2" t="s">
        <v>358</v>
      </c>
      <c r="C558" s="2" t="s">
        <v>551</v>
      </c>
      <c r="D558" s="2" t="s">
        <v>136</v>
      </c>
      <c r="E558" s="2">
        <v>106</v>
      </c>
      <c r="F558" s="2">
        <v>2230.158</v>
      </c>
      <c r="G558" s="1">
        <v>46239</v>
      </c>
    </row>
    <row r="559" spans="3:6" x14ac:dyDescent="0.25">
      <c r="C559" s="2" t="s">
        <v>552</v>
      </c>
      <c r="D559" s="2" t="s">
        <v>136</v>
      </c>
      <c r="E559" s="2">
        <v>25</v>
      </c>
      <c r="F559" s="2">
        <v>450.159</v>
      </c>
    </row>
    <row r="561" spans="1:7" x14ac:dyDescent="0.25">
      <c r="A561" s="1">
        <v>46240</v>
      </c>
      <c r="B561" s="2" t="s">
        <v>553</v>
      </c>
      <c r="C561" s="2" t="s">
        <v>554</v>
      </c>
      <c r="D561" s="2" t="s">
        <v>26</v>
      </c>
      <c r="E561" s="2">
        <v>156</v>
      </c>
      <c r="F561" s="2">
        <v>3069.23</v>
      </c>
      <c r="G561" s="1">
        <v>46240</v>
      </c>
    </row>
    <row r="562" spans="3:6" x14ac:dyDescent="0.25">
      <c r="C562" s="2" t="s">
        <v>555</v>
      </c>
      <c r="D562" s="2" t="s">
        <v>26</v>
      </c>
      <c r="E562" s="2">
        <v>100</v>
      </c>
      <c r="F562" s="2">
        <v>1927.44</v>
      </c>
    </row>
    <row r="563" spans="3:6" x14ac:dyDescent="0.25">
      <c r="C563" s="2" t="s">
        <v>556</v>
      </c>
      <c r="D563" s="2" t="s">
        <v>26</v>
      </c>
      <c r="E563" s="2">
        <v>56</v>
      </c>
      <c r="F563" s="2">
        <v>1024.11</v>
      </c>
    </row>
    <row r="564" spans="3:6" x14ac:dyDescent="0.25">
      <c r="C564" s="2" t="s">
        <v>557</v>
      </c>
      <c r="D564" s="2" t="s">
        <v>26</v>
      </c>
      <c r="E564" s="2">
        <v>100</v>
      </c>
      <c r="F564" s="2">
        <v>1849.589</v>
      </c>
    </row>
    <row r="565" spans="3:6" x14ac:dyDescent="0.25">
      <c r="C565" s="2" t="s">
        <v>558</v>
      </c>
      <c r="D565" s="2" t="s">
        <v>26</v>
      </c>
      <c r="E565" s="2">
        <v>56</v>
      </c>
      <c r="F565" s="2">
        <v>1119.88</v>
      </c>
    </row>
    <row r="566" spans="3:6" x14ac:dyDescent="0.25">
      <c r="C566" s="2" t="s">
        <v>559</v>
      </c>
      <c r="D566" s="2" t="s">
        <v>15</v>
      </c>
      <c r="E566" s="2">
        <v>105</v>
      </c>
      <c r="F566" s="2">
        <v>2122</v>
      </c>
    </row>
    <row r="567" spans="3:6" x14ac:dyDescent="0.25">
      <c r="C567" s="2" t="s">
        <v>560</v>
      </c>
      <c r="D567" s="2" t="s">
        <v>15</v>
      </c>
      <c r="E567" s="2">
        <v>105</v>
      </c>
      <c r="F567" s="2">
        <v>2083.129</v>
      </c>
    </row>
    <row r="568" spans="3:6" x14ac:dyDescent="0.25">
      <c r="C568" s="2" t="s">
        <v>561</v>
      </c>
      <c r="D568" s="2" t="s">
        <v>15</v>
      </c>
      <c r="E568" s="2">
        <v>105</v>
      </c>
      <c r="F568" s="2">
        <v>2080.33</v>
      </c>
    </row>
    <row r="569" spans="3:6" x14ac:dyDescent="0.25">
      <c r="C569" s="2" t="s">
        <v>562</v>
      </c>
      <c r="D569" s="2" t="s">
        <v>15</v>
      </c>
      <c r="E569" s="2">
        <v>105</v>
      </c>
      <c r="F569" s="2">
        <v>2027.528</v>
      </c>
    </row>
    <row r="570" spans="3:6" x14ac:dyDescent="0.25">
      <c r="C570" s="2" t="s">
        <v>563</v>
      </c>
      <c r="D570" s="2" t="s">
        <v>30</v>
      </c>
      <c r="E570" s="2">
        <v>163</v>
      </c>
      <c r="F570" s="2">
        <v>3084.378</v>
      </c>
    </row>
    <row r="571" spans="3:6" x14ac:dyDescent="0.25">
      <c r="C571" s="2" t="s">
        <v>564</v>
      </c>
      <c r="D571" s="2" t="s">
        <v>36</v>
      </c>
      <c r="E571" s="2">
        <v>45</v>
      </c>
      <c r="F571" s="2">
        <v>820.34</v>
      </c>
    </row>
    <row r="572" spans="3:6" x14ac:dyDescent="0.25">
      <c r="C572" s="2" t="s">
        <v>565</v>
      </c>
      <c r="D572" s="2" t="s">
        <v>36</v>
      </c>
      <c r="E572" s="2">
        <v>60</v>
      </c>
      <c r="F572" s="2">
        <v>1027.689</v>
      </c>
    </row>
    <row r="573" spans="3:6" x14ac:dyDescent="0.25">
      <c r="C573" s="2" t="s">
        <v>566</v>
      </c>
      <c r="D573" s="2" t="s">
        <v>36</v>
      </c>
      <c r="E573" s="2">
        <v>80</v>
      </c>
      <c r="F573" s="2">
        <v>1566.31</v>
      </c>
    </row>
    <row r="574" spans="3:6" x14ac:dyDescent="0.25">
      <c r="C574" s="2" t="s">
        <v>567</v>
      </c>
      <c r="D574" s="2" t="s">
        <v>36</v>
      </c>
      <c r="E574" s="2">
        <v>25</v>
      </c>
      <c r="F574" s="2">
        <v>500.78</v>
      </c>
    </row>
    <row r="575" spans="3:6" x14ac:dyDescent="0.25">
      <c r="C575" s="2" t="s">
        <v>568</v>
      </c>
      <c r="D575" s="2" t="s">
        <v>15</v>
      </c>
      <c r="E575" s="2">
        <v>163</v>
      </c>
      <c r="F575" s="2">
        <v>3129.078</v>
      </c>
    </row>
    <row r="576" spans="3:6" x14ac:dyDescent="0.25">
      <c r="C576" s="2" t="s">
        <v>569</v>
      </c>
      <c r="D576" s="2" t="s">
        <v>15</v>
      </c>
      <c r="E576" s="2">
        <v>163</v>
      </c>
      <c r="F576" s="2">
        <v>3203.459</v>
      </c>
    </row>
    <row r="577" spans="3:6" x14ac:dyDescent="0.25">
      <c r="C577" s="2" t="s">
        <v>570</v>
      </c>
      <c r="D577" s="2" t="s">
        <v>15</v>
      </c>
      <c r="E577" s="2">
        <v>163</v>
      </c>
      <c r="F577" s="2">
        <v>3035.78</v>
      </c>
    </row>
    <row r="578" spans="3:6" x14ac:dyDescent="0.25">
      <c r="C578" s="2" t="s">
        <v>571</v>
      </c>
      <c r="D578" s="2" t="s">
        <v>42</v>
      </c>
      <c r="E578" s="2">
        <v>26</v>
      </c>
      <c r="F578" s="2">
        <v>509.46</v>
      </c>
    </row>
    <row r="579" spans="3:6" x14ac:dyDescent="0.25">
      <c r="C579" s="2" t="s">
        <v>572</v>
      </c>
      <c r="D579" s="2" t="s">
        <v>42</v>
      </c>
      <c r="E579" s="2">
        <v>30</v>
      </c>
      <c r="F579" s="2">
        <v>568.229</v>
      </c>
    </row>
    <row r="580" spans="3:6" x14ac:dyDescent="0.25">
      <c r="C580" s="2" t="s">
        <v>573</v>
      </c>
      <c r="D580" s="2" t="s">
        <v>42</v>
      </c>
      <c r="E580" s="2">
        <v>100</v>
      </c>
      <c r="F580" s="2">
        <v>1831.239</v>
      </c>
    </row>
    <row r="581" spans="3:6" x14ac:dyDescent="0.25">
      <c r="C581" s="2" t="s">
        <v>574</v>
      </c>
      <c r="D581" s="2" t="s">
        <v>26</v>
      </c>
      <c r="E581" s="2">
        <v>100</v>
      </c>
      <c r="F581" s="2">
        <v>1983.5</v>
      </c>
    </row>
    <row r="582" spans="3:6" x14ac:dyDescent="0.25">
      <c r="C582" s="2" t="s">
        <v>575</v>
      </c>
      <c r="D582" s="2" t="s">
        <v>26</v>
      </c>
      <c r="E582" s="2">
        <v>56</v>
      </c>
      <c r="F582" s="2">
        <v>1030.999</v>
      </c>
    </row>
    <row r="583" spans="3:6" x14ac:dyDescent="0.25">
      <c r="C583" s="2" t="s">
        <v>576</v>
      </c>
      <c r="D583" s="2" t="s">
        <v>26</v>
      </c>
      <c r="E583" s="2">
        <v>100</v>
      </c>
      <c r="F583" s="2">
        <v>2023.06</v>
      </c>
    </row>
    <row r="584" spans="3:6" x14ac:dyDescent="0.25">
      <c r="C584" s="2" t="s">
        <v>577</v>
      </c>
      <c r="D584" s="2" t="s">
        <v>26</v>
      </c>
      <c r="E584" s="2">
        <v>56</v>
      </c>
      <c r="F584" s="2">
        <v>1164.94</v>
      </c>
    </row>
    <row r="585" spans="3:6" x14ac:dyDescent="0.25">
      <c r="C585" s="2" t="s">
        <v>578</v>
      </c>
      <c r="D585" s="2" t="s">
        <v>15</v>
      </c>
      <c r="E585" s="2">
        <v>134</v>
      </c>
      <c r="F585" s="2">
        <v>2632.889</v>
      </c>
    </row>
    <row r="586" spans="3:6" x14ac:dyDescent="0.25">
      <c r="C586" s="2" t="s">
        <v>579</v>
      </c>
      <c r="D586" s="2" t="s">
        <v>15</v>
      </c>
      <c r="E586" s="2">
        <v>134</v>
      </c>
      <c r="F586" s="2">
        <v>2734.869</v>
      </c>
    </row>
    <row r="587" spans="3:6" x14ac:dyDescent="0.25">
      <c r="C587" s="2" t="s">
        <v>580</v>
      </c>
      <c r="D587" s="2" t="s">
        <v>30</v>
      </c>
      <c r="E587" s="2">
        <v>105</v>
      </c>
      <c r="F587" s="2">
        <v>1846.309</v>
      </c>
    </row>
    <row r="588" spans="3:6" x14ac:dyDescent="0.25">
      <c r="C588" s="2" t="s">
        <v>581</v>
      </c>
      <c r="D588" s="2" t="s">
        <v>30</v>
      </c>
      <c r="E588" s="2">
        <v>163</v>
      </c>
      <c r="F588" s="2">
        <v>3000.99</v>
      </c>
    </row>
    <row r="589" spans="3:6" x14ac:dyDescent="0.25">
      <c r="C589" s="2" t="s">
        <v>582</v>
      </c>
      <c r="D589" s="2" t="s">
        <v>30</v>
      </c>
      <c r="E589" s="2">
        <v>163</v>
      </c>
      <c r="F589" s="2">
        <v>3281.8</v>
      </c>
    </row>
    <row r="590" spans="3:6" x14ac:dyDescent="0.25">
      <c r="C590" s="2" t="s">
        <v>583</v>
      </c>
      <c r="D590" s="2" t="s">
        <v>15</v>
      </c>
      <c r="E590" s="2">
        <v>134</v>
      </c>
      <c r="F590" s="2">
        <v>2677.14</v>
      </c>
    </row>
    <row r="591" spans="3:6" x14ac:dyDescent="0.25">
      <c r="C591" s="2" t="s">
        <v>584</v>
      </c>
      <c r="D591" s="2" t="s">
        <v>15</v>
      </c>
      <c r="E591" s="2">
        <v>134</v>
      </c>
      <c r="F591" s="2">
        <v>2641.649</v>
      </c>
    </row>
    <row r="592" spans="3:6" x14ac:dyDescent="0.25">
      <c r="C592" s="2" t="s">
        <v>585</v>
      </c>
      <c r="D592" s="2" t="s">
        <v>15</v>
      </c>
      <c r="E592" s="2">
        <v>134</v>
      </c>
      <c r="F592" s="2">
        <v>2742.07</v>
      </c>
    </row>
    <row r="593" spans="3:6" x14ac:dyDescent="0.25">
      <c r="C593" s="2" t="s">
        <v>586</v>
      </c>
      <c r="D593" s="2" t="s">
        <v>15</v>
      </c>
      <c r="E593" s="2">
        <v>134</v>
      </c>
      <c r="F593" s="2">
        <v>2698.42</v>
      </c>
    </row>
    <row r="594" spans="3:6" x14ac:dyDescent="0.25">
      <c r="C594" s="2" t="s">
        <v>414</v>
      </c>
      <c r="D594" s="2" t="s">
        <v>15</v>
      </c>
      <c r="E594" s="2">
        <v>163</v>
      </c>
      <c r="F594" s="2">
        <v>3123.04</v>
      </c>
    </row>
    <row r="595" spans="3:6" x14ac:dyDescent="0.25">
      <c r="C595" s="2" t="s">
        <v>389</v>
      </c>
      <c r="D595" s="2" t="s">
        <v>15</v>
      </c>
      <c r="E595" s="2">
        <v>163</v>
      </c>
      <c r="F595" s="2">
        <v>3276.987</v>
      </c>
    </row>
    <row r="596" spans="3:6" x14ac:dyDescent="0.25">
      <c r="C596" s="2" t="s">
        <v>400</v>
      </c>
      <c r="D596" s="2" t="s">
        <v>30</v>
      </c>
      <c r="E596" s="2">
        <v>134</v>
      </c>
      <c r="F596" s="2">
        <v>2715.07</v>
      </c>
    </row>
    <row r="597" spans="3:6" x14ac:dyDescent="0.25">
      <c r="C597" s="2" t="s">
        <v>134</v>
      </c>
      <c r="D597" s="2" t="s">
        <v>15</v>
      </c>
      <c r="E597" s="2">
        <v>70</v>
      </c>
      <c r="F597" s="2">
        <v>1030.716</v>
      </c>
    </row>
    <row r="598" spans="3:6" x14ac:dyDescent="0.25">
      <c r="C598" s="2" t="s">
        <v>137</v>
      </c>
      <c r="D598" s="2" t="s">
        <v>136</v>
      </c>
      <c r="E598" s="2">
        <v>24</v>
      </c>
      <c r="F598" s="2">
        <v>416.55</v>
      </c>
    </row>
    <row r="600" spans="2:7" x14ac:dyDescent="0.25">
      <c r="B600" s="2" t="s">
        <v>48</v>
      </c>
      <c r="C600" s="2" t="s">
        <v>587</v>
      </c>
      <c r="D600" s="2" t="s">
        <v>30</v>
      </c>
      <c r="E600" s="2">
        <v>105</v>
      </c>
      <c r="F600" s="2">
        <v>1982</v>
      </c>
      <c r="G600" s="1">
        <v>46240</v>
      </c>
    </row>
    <row r="601" spans="3:6" x14ac:dyDescent="0.25">
      <c r="C601" s="2" t="s">
        <v>588</v>
      </c>
      <c r="D601" s="2" t="s">
        <v>53</v>
      </c>
      <c r="E601" s="2">
        <v>148</v>
      </c>
      <c r="F601" s="2">
        <v>2686</v>
      </c>
    </row>
    <row r="602" spans="3:6" x14ac:dyDescent="0.25">
      <c r="C602" s="2" t="s">
        <v>589</v>
      </c>
      <c r="D602" s="2" t="s">
        <v>30</v>
      </c>
      <c r="E602" s="2">
        <v>156</v>
      </c>
      <c r="F602" s="2">
        <v>2783</v>
      </c>
    </row>
    <row r="603" spans="3:6" x14ac:dyDescent="0.25">
      <c r="C603" s="2" t="s">
        <v>590</v>
      </c>
      <c r="D603" s="2" t="s">
        <v>30</v>
      </c>
      <c r="E603" s="2">
        <v>136</v>
      </c>
      <c r="F603" s="2">
        <v>2581</v>
      </c>
    </row>
    <row r="604" spans="3:6" x14ac:dyDescent="0.25">
      <c r="C604" s="2" t="s">
        <v>591</v>
      </c>
      <c r="D604" s="2" t="s">
        <v>30</v>
      </c>
      <c r="E604" s="2">
        <v>24</v>
      </c>
      <c r="F604" s="2">
        <v>150</v>
      </c>
    </row>
    <row r="606" spans="1:7" x14ac:dyDescent="0.25">
      <c r="A606" s="1">
        <v>46241</v>
      </c>
      <c r="B606" s="2" t="s">
        <v>229</v>
      </c>
      <c r="C606" s="2" t="s">
        <v>592</v>
      </c>
      <c r="D606" s="2" t="s">
        <v>292</v>
      </c>
      <c r="E606" s="2">
        <v>123</v>
      </c>
      <c r="F606" s="2">
        <v>2239.51</v>
      </c>
      <c r="G606" s="1">
        <v>46240</v>
      </c>
    </row>
    <row r="607" spans="3:6" x14ac:dyDescent="0.25">
      <c r="C607" s="2" t="s">
        <v>593</v>
      </c>
      <c r="D607" s="2" t="s">
        <v>292</v>
      </c>
      <c r="E607" s="2">
        <v>141</v>
      </c>
      <c r="F607" s="2">
        <v>2667.97</v>
      </c>
    </row>
    <row r="608" spans="3:6" x14ac:dyDescent="0.25">
      <c r="C608" s="2" t="s">
        <v>594</v>
      </c>
      <c r="D608" s="2" t="s">
        <v>292</v>
      </c>
      <c r="E608" s="2">
        <v>142</v>
      </c>
      <c r="F608" s="2">
        <v>2737.3</v>
      </c>
    </row>
    <row r="609" spans="3:6" x14ac:dyDescent="0.25">
      <c r="C609" s="2" t="s">
        <v>595</v>
      </c>
      <c r="D609" s="2" t="s">
        <v>292</v>
      </c>
      <c r="E609" s="2">
        <v>123</v>
      </c>
      <c r="F609" s="2">
        <v>2488.95</v>
      </c>
    </row>
    <row r="610" spans="3:6" x14ac:dyDescent="0.25">
      <c r="C610" s="2" t="s">
        <v>596</v>
      </c>
      <c r="D610" s="2" t="s">
        <v>292</v>
      </c>
      <c r="E610" s="2">
        <v>141</v>
      </c>
      <c r="F610" s="2">
        <v>2994.79</v>
      </c>
    </row>
    <row r="611" spans="3:6" x14ac:dyDescent="0.25">
      <c r="C611" s="2" t="s">
        <v>597</v>
      </c>
      <c r="D611" s="2" t="s">
        <v>292</v>
      </c>
      <c r="E611" s="2">
        <v>142</v>
      </c>
      <c r="F611" s="2">
        <v>2635.03</v>
      </c>
    </row>
    <row r="612" spans="3:6" x14ac:dyDescent="0.25">
      <c r="C612" s="2" t="s">
        <v>598</v>
      </c>
      <c r="D612" s="2" t="s">
        <v>292</v>
      </c>
      <c r="E612" s="2">
        <v>123</v>
      </c>
      <c r="F612" s="2">
        <v>2235.94</v>
      </c>
    </row>
    <row r="613" spans="3:6" x14ac:dyDescent="0.25">
      <c r="C613" s="2" t="s">
        <v>599</v>
      </c>
      <c r="D613" s="2" t="s">
        <v>292</v>
      </c>
      <c r="E613" s="2">
        <v>54</v>
      </c>
      <c r="F613" s="2">
        <v>989.16</v>
      </c>
    </row>
    <row r="614" spans="3:6" x14ac:dyDescent="0.25">
      <c r="C614" s="2" t="s">
        <v>600</v>
      </c>
      <c r="D614" s="2" t="s">
        <v>292</v>
      </c>
      <c r="E614" s="2">
        <v>47</v>
      </c>
      <c r="F614" s="2">
        <v>874.55</v>
      </c>
    </row>
    <row r="615" spans="3:6" x14ac:dyDescent="0.25">
      <c r="C615" s="2" t="s">
        <v>601</v>
      </c>
      <c r="D615" s="2" t="s">
        <v>292</v>
      </c>
      <c r="E615" s="2">
        <v>18</v>
      </c>
      <c r="F615" s="2">
        <v>338.38</v>
      </c>
    </row>
    <row r="616" spans="3:6" x14ac:dyDescent="0.25">
      <c r="C616" s="2" t="s">
        <v>602</v>
      </c>
      <c r="D616" s="2" t="s">
        <v>292</v>
      </c>
      <c r="E616" s="2">
        <v>102</v>
      </c>
      <c r="F616" s="2">
        <v>1880.598</v>
      </c>
    </row>
    <row r="617" spans="3:6" x14ac:dyDescent="0.25">
      <c r="C617" s="2" t="s">
        <v>603</v>
      </c>
      <c r="D617" s="2" t="s">
        <v>292</v>
      </c>
      <c r="E617" s="2">
        <v>53</v>
      </c>
      <c r="F617" s="2">
        <v>1186.12</v>
      </c>
    </row>
    <row r="618" spans="3:6" x14ac:dyDescent="0.25">
      <c r="C618" s="2" t="s">
        <v>604</v>
      </c>
      <c r="D618" s="2" t="s">
        <v>292</v>
      </c>
      <c r="E618" s="2">
        <v>28</v>
      </c>
      <c r="F618" s="2">
        <v>601.7</v>
      </c>
    </row>
    <row r="619" spans="3:6" x14ac:dyDescent="0.25">
      <c r="C619" s="2" t="s">
        <v>605</v>
      </c>
      <c r="D619" s="2" t="s">
        <v>292</v>
      </c>
      <c r="E619" s="2">
        <v>19</v>
      </c>
      <c r="F619" s="2">
        <v>386.97</v>
      </c>
    </row>
    <row r="620" spans="3:6" x14ac:dyDescent="0.25">
      <c r="C620" s="2" t="s">
        <v>606</v>
      </c>
      <c r="D620" s="2" t="s">
        <v>292</v>
      </c>
      <c r="E620" s="2">
        <v>65</v>
      </c>
      <c r="F620" s="2">
        <v>1482.26</v>
      </c>
    </row>
    <row r="621" spans="3:6" x14ac:dyDescent="0.25">
      <c r="C621" s="2" t="s">
        <v>607</v>
      </c>
      <c r="D621" s="2" t="s">
        <v>292</v>
      </c>
      <c r="E621" s="2">
        <v>10</v>
      </c>
      <c r="F621" s="2">
        <v>221.4</v>
      </c>
    </row>
    <row r="622" spans="3:6" x14ac:dyDescent="0.25">
      <c r="C622" s="2" t="s">
        <v>608</v>
      </c>
      <c r="D622" s="2" t="s">
        <v>292</v>
      </c>
      <c r="E622" s="2">
        <v>100</v>
      </c>
      <c r="F622" s="2">
        <v>1978.28</v>
      </c>
    </row>
    <row r="623" spans="3:6" x14ac:dyDescent="0.25">
      <c r="C623" s="2" t="s">
        <v>609</v>
      </c>
      <c r="D623" s="2" t="s">
        <v>292</v>
      </c>
      <c r="E623" s="2">
        <v>141</v>
      </c>
      <c r="F623" s="2">
        <v>2977.84</v>
      </c>
    </row>
    <row r="624" spans="3:6" x14ac:dyDescent="0.25">
      <c r="C624" s="2" t="s">
        <v>610</v>
      </c>
      <c r="D624" s="2" t="s">
        <v>292</v>
      </c>
      <c r="E624" s="2">
        <v>42</v>
      </c>
      <c r="F624" s="2">
        <v>214.3</v>
      </c>
    </row>
    <row r="625" spans="3:6" x14ac:dyDescent="0.25">
      <c r="C625" s="2" t="s">
        <v>611</v>
      </c>
      <c r="D625" s="2" t="s">
        <v>292</v>
      </c>
      <c r="E625" s="2">
        <v>95</v>
      </c>
      <c r="F625" s="2">
        <v>2014.07</v>
      </c>
    </row>
    <row r="626" spans="3:6" x14ac:dyDescent="0.25">
      <c r="C626" s="2" t="s">
        <v>597</v>
      </c>
      <c r="D626" s="2" t="s">
        <v>292</v>
      </c>
      <c r="E626" s="2">
        <v>142</v>
      </c>
      <c r="F626" s="2">
        <v>2635.03</v>
      </c>
    </row>
    <row r="627" spans="3:6" x14ac:dyDescent="0.25">
      <c r="C627" s="2" t="s">
        <v>612</v>
      </c>
      <c r="D627" s="2" t="s">
        <v>292</v>
      </c>
      <c r="E627" s="2">
        <v>33</v>
      </c>
      <c r="F627" s="2">
        <v>621.279</v>
      </c>
    </row>
    <row r="628" spans="3:6" x14ac:dyDescent="0.25">
      <c r="C628" s="2" t="s">
        <v>613</v>
      </c>
      <c r="D628" s="2" t="s">
        <v>292</v>
      </c>
      <c r="E628" s="2">
        <v>13</v>
      </c>
      <c r="F628" s="2">
        <v>224.05</v>
      </c>
    </row>
    <row r="629" spans="3:6" x14ac:dyDescent="0.25">
      <c r="C629" s="2" t="s">
        <v>614</v>
      </c>
      <c r="D629" s="2" t="s">
        <v>292</v>
      </c>
      <c r="E629" s="2">
        <v>32</v>
      </c>
      <c r="F629" s="2">
        <v>623.559</v>
      </c>
    </row>
    <row r="630" spans="3:6" x14ac:dyDescent="0.25">
      <c r="C630" s="2" t="s">
        <v>615</v>
      </c>
      <c r="D630" s="2" t="s">
        <v>292</v>
      </c>
      <c r="E630" s="2">
        <v>18</v>
      </c>
      <c r="F630" s="2">
        <v>128.699</v>
      </c>
    </row>
    <row r="631" spans="3:6" x14ac:dyDescent="0.25">
      <c r="C631" s="2" t="s">
        <v>616</v>
      </c>
      <c r="D631" s="2" t="s">
        <v>292</v>
      </c>
      <c r="E631" s="2">
        <v>18</v>
      </c>
      <c r="F631" s="2">
        <v>258.23</v>
      </c>
    </row>
    <row r="632" spans="3:6" x14ac:dyDescent="0.25">
      <c r="C632" s="2" t="s">
        <v>617</v>
      </c>
      <c r="D632" s="2" t="s">
        <v>292</v>
      </c>
      <c r="E632" s="2">
        <v>45</v>
      </c>
      <c r="F632" s="2">
        <v>234.05</v>
      </c>
    </row>
    <row r="633" spans="3:6" x14ac:dyDescent="0.25">
      <c r="C633" s="2" t="s">
        <v>618</v>
      </c>
      <c r="D633" s="2" t="s">
        <v>292</v>
      </c>
      <c r="E633" s="2">
        <v>96</v>
      </c>
      <c r="F633" s="2">
        <v>1835.989</v>
      </c>
    </row>
    <row r="634" spans="3:6" x14ac:dyDescent="0.25">
      <c r="C634" s="2" t="s">
        <v>619</v>
      </c>
      <c r="D634" s="2" t="s">
        <v>292</v>
      </c>
      <c r="E634" s="2">
        <v>45</v>
      </c>
      <c r="F634" s="2">
        <v>211.18</v>
      </c>
    </row>
    <row r="635" spans="3:6" x14ac:dyDescent="0.25">
      <c r="C635" s="2" t="s">
        <v>620</v>
      </c>
      <c r="D635" s="2" t="s">
        <v>292</v>
      </c>
      <c r="E635" s="2">
        <v>40</v>
      </c>
      <c r="F635" s="2">
        <v>847.249</v>
      </c>
    </row>
    <row r="636" spans="3:6" x14ac:dyDescent="0.25">
      <c r="C636" s="2" t="s">
        <v>621</v>
      </c>
      <c r="D636" s="2" t="s">
        <v>292</v>
      </c>
      <c r="E636" s="2">
        <v>36</v>
      </c>
      <c r="F636" s="2">
        <v>683.359</v>
      </c>
    </row>
    <row r="637" spans="3:6" x14ac:dyDescent="0.25">
      <c r="C637" s="2" t="s">
        <v>622</v>
      </c>
      <c r="D637" s="2" t="s">
        <v>292</v>
      </c>
      <c r="E637" s="2">
        <v>52</v>
      </c>
      <c r="F637" s="2">
        <v>945.01</v>
      </c>
    </row>
    <row r="638" spans="3:6" x14ac:dyDescent="0.25">
      <c r="C638" s="2" t="s">
        <v>623</v>
      </c>
      <c r="D638" s="2" t="s">
        <v>292</v>
      </c>
      <c r="E638" s="2">
        <v>26</v>
      </c>
      <c r="F638" s="2">
        <v>490.924</v>
      </c>
    </row>
    <row r="639" spans="3:6" x14ac:dyDescent="0.25">
      <c r="C639" s="2" t="s">
        <v>624</v>
      </c>
      <c r="D639" s="2" t="s">
        <v>292</v>
      </c>
      <c r="E639" s="2">
        <v>9</v>
      </c>
      <c r="F639" s="2">
        <v>169.92</v>
      </c>
    </row>
    <row r="640" spans="3:6" x14ac:dyDescent="0.25">
      <c r="C640" s="2" t="s">
        <v>625</v>
      </c>
      <c r="D640" s="2" t="s">
        <v>292</v>
      </c>
      <c r="E640" s="2">
        <v>68</v>
      </c>
      <c r="F640" s="2">
        <v>1237.74</v>
      </c>
    </row>
    <row r="641" spans="3:6" x14ac:dyDescent="0.25">
      <c r="C641" s="2" t="s">
        <v>626</v>
      </c>
      <c r="D641" s="2" t="s">
        <v>292</v>
      </c>
      <c r="E641" s="2">
        <v>7</v>
      </c>
      <c r="F641" s="2">
        <v>127.98</v>
      </c>
    </row>
    <row r="642" spans="3:6" x14ac:dyDescent="0.25">
      <c r="C642" s="2" t="s">
        <v>627</v>
      </c>
      <c r="D642" s="2" t="s">
        <v>292</v>
      </c>
      <c r="E642" s="2">
        <v>10</v>
      </c>
      <c r="F642" s="2">
        <v>184.28</v>
      </c>
    </row>
    <row r="643" spans="3:6" x14ac:dyDescent="0.25">
      <c r="C643" s="2" t="s">
        <v>628</v>
      </c>
      <c r="D643" s="2" t="s">
        <v>292</v>
      </c>
      <c r="E643" s="2">
        <v>17</v>
      </c>
      <c r="F643" s="2">
        <v>326.85</v>
      </c>
    </row>
    <row r="644" spans="3:6" x14ac:dyDescent="0.25">
      <c r="C644" s="2" t="s">
        <v>629</v>
      </c>
      <c r="D644" s="2" t="s">
        <v>292</v>
      </c>
      <c r="E644" s="2">
        <v>45</v>
      </c>
      <c r="F644" s="2">
        <v>873.09</v>
      </c>
    </row>
    <row r="645" spans="3:6" x14ac:dyDescent="0.25">
      <c r="C645" s="2" t="s">
        <v>630</v>
      </c>
      <c r="D645" s="2" t="s">
        <v>292</v>
      </c>
      <c r="E645" s="2">
        <v>9</v>
      </c>
      <c r="F645" s="2">
        <v>158.48</v>
      </c>
    </row>
    <row r="646" spans="3:6" x14ac:dyDescent="0.25">
      <c r="C646" s="2" t="s">
        <v>631</v>
      </c>
      <c r="D646" s="2" t="s">
        <v>292</v>
      </c>
      <c r="E646" s="2">
        <v>28</v>
      </c>
      <c r="F646" s="2">
        <v>743.615</v>
      </c>
    </row>
    <row r="647" spans="3:6" x14ac:dyDescent="0.25">
      <c r="C647" s="2" t="s">
        <v>632</v>
      </c>
      <c r="D647" s="2" t="s">
        <v>292</v>
      </c>
      <c r="E647" s="2">
        <v>80</v>
      </c>
      <c r="F647" s="2">
        <v>1576.6</v>
      </c>
    </row>
    <row r="648" spans="3:6" x14ac:dyDescent="0.25">
      <c r="C648" s="2" t="s">
        <v>633</v>
      </c>
      <c r="D648" s="2" t="s">
        <v>292</v>
      </c>
      <c r="E648" s="2">
        <v>61</v>
      </c>
      <c r="F648" s="2">
        <v>1271.61</v>
      </c>
    </row>
    <row r="649" spans="3:6" x14ac:dyDescent="0.25">
      <c r="C649" s="2" t="s">
        <v>634</v>
      </c>
      <c r="D649" s="2" t="s">
        <v>292</v>
      </c>
      <c r="E649" s="2">
        <v>36</v>
      </c>
      <c r="F649" s="2">
        <v>722.82</v>
      </c>
    </row>
    <row r="650" spans="3:6" x14ac:dyDescent="0.25">
      <c r="C650" s="2" t="s">
        <v>635</v>
      </c>
      <c r="D650" s="2" t="s">
        <v>292</v>
      </c>
      <c r="E650" s="2">
        <v>81</v>
      </c>
      <c r="F650" s="2">
        <v>1593.97</v>
      </c>
    </row>
    <row r="651" spans="3:6" x14ac:dyDescent="0.25">
      <c r="C651" s="2" t="s">
        <v>636</v>
      </c>
      <c r="D651" s="2" t="s">
        <v>292</v>
      </c>
      <c r="E651" s="2">
        <v>23</v>
      </c>
      <c r="F651" s="2">
        <v>458.72</v>
      </c>
    </row>
    <row r="652" spans="3:6" x14ac:dyDescent="0.25">
      <c r="C652" s="2" t="s">
        <v>637</v>
      </c>
      <c r="D652" s="2" t="s">
        <v>292</v>
      </c>
      <c r="E652" s="2">
        <v>97</v>
      </c>
      <c r="F652" s="2">
        <v>1932.191</v>
      </c>
    </row>
    <row r="653" spans="3:6" x14ac:dyDescent="0.25">
      <c r="C653" s="2" t="s">
        <v>638</v>
      </c>
      <c r="D653" s="2" t="s">
        <v>292</v>
      </c>
      <c r="E653" s="2">
        <v>41</v>
      </c>
      <c r="F653" s="2">
        <v>961.24</v>
      </c>
    </row>
    <row r="654" spans="3:6" x14ac:dyDescent="0.25">
      <c r="C654" s="2" t="s">
        <v>639</v>
      </c>
      <c r="D654" s="2" t="s">
        <v>292</v>
      </c>
      <c r="E654" s="2">
        <v>141</v>
      </c>
      <c r="F654" s="2">
        <v>2617.17</v>
      </c>
    </row>
    <row r="655" spans="3:6" x14ac:dyDescent="0.25">
      <c r="C655" s="2" t="s">
        <v>640</v>
      </c>
      <c r="D655" s="2" t="s">
        <v>292</v>
      </c>
      <c r="E655" s="2">
        <v>38</v>
      </c>
      <c r="F655" s="2">
        <v>725.51</v>
      </c>
    </row>
    <row r="656" spans="3:6" x14ac:dyDescent="0.25">
      <c r="C656" s="2" t="s">
        <v>641</v>
      </c>
      <c r="D656" s="2" t="s">
        <v>292</v>
      </c>
      <c r="E656" s="2">
        <v>96</v>
      </c>
      <c r="F656" s="2">
        <v>1851.86</v>
      </c>
    </row>
    <row r="657" spans="3:6" x14ac:dyDescent="0.25">
      <c r="C657" s="2" t="s">
        <v>642</v>
      </c>
      <c r="D657" s="2" t="s">
        <v>292</v>
      </c>
      <c r="E657" s="2">
        <v>60</v>
      </c>
      <c r="F657" s="2">
        <v>303.99</v>
      </c>
    </row>
    <row r="658" spans="3:6" x14ac:dyDescent="0.25">
      <c r="C658" s="2" t="s">
        <v>643</v>
      </c>
      <c r="D658" s="2" t="s">
        <v>292</v>
      </c>
      <c r="E658" s="2">
        <v>16</v>
      </c>
      <c r="F658" s="2">
        <v>262.57</v>
      </c>
    </row>
    <row r="659" spans="3:6" x14ac:dyDescent="0.25">
      <c r="C659" s="2" t="s">
        <v>644</v>
      </c>
      <c r="D659" s="2" t="s">
        <v>292</v>
      </c>
      <c r="E659" s="2">
        <v>124</v>
      </c>
      <c r="F659" s="2">
        <v>2798.68</v>
      </c>
    </row>
    <row r="660" spans="3:6" x14ac:dyDescent="0.25">
      <c r="C660" s="2" t="s">
        <v>645</v>
      </c>
      <c r="D660" s="2" t="s">
        <v>292</v>
      </c>
      <c r="E660" s="2">
        <v>30</v>
      </c>
      <c r="F660" s="2">
        <v>560.528</v>
      </c>
    </row>
    <row r="661" spans="3:6" x14ac:dyDescent="0.25">
      <c r="C661" s="2" t="s">
        <v>646</v>
      </c>
      <c r="D661" s="2" t="s">
        <v>292</v>
      </c>
      <c r="E661" s="2">
        <v>27</v>
      </c>
      <c r="F661" s="2">
        <v>543.25</v>
      </c>
    </row>
    <row r="662" spans="3:6" x14ac:dyDescent="0.25">
      <c r="C662" s="2" t="s">
        <v>647</v>
      </c>
      <c r="D662" s="2" t="s">
        <v>292</v>
      </c>
      <c r="E662" s="2">
        <v>44</v>
      </c>
      <c r="F662" s="2">
        <v>857.429</v>
      </c>
    </row>
    <row r="663" spans="3:6" x14ac:dyDescent="0.25">
      <c r="C663" s="2" t="s">
        <v>648</v>
      </c>
      <c r="D663" s="2" t="s">
        <v>292</v>
      </c>
      <c r="E663" s="2">
        <v>56</v>
      </c>
      <c r="F663" s="2">
        <v>1183.82</v>
      </c>
    </row>
    <row r="664" spans="3:6" x14ac:dyDescent="0.25">
      <c r="C664" s="2" t="s">
        <v>649</v>
      </c>
      <c r="D664" s="2" t="s">
        <v>292</v>
      </c>
      <c r="E664" s="2">
        <v>91</v>
      </c>
      <c r="F664" s="2">
        <v>1710.47</v>
      </c>
    </row>
    <row r="665" spans="3:6" x14ac:dyDescent="0.25">
      <c r="C665" s="2" t="s">
        <v>650</v>
      </c>
      <c r="D665" s="2" t="s">
        <v>292</v>
      </c>
      <c r="E665" s="2">
        <v>44</v>
      </c>
      <c r="F665" s="2">
        <v>908.179</v>
      </c>
    </row>
    <row r="666" spans="3:6" x14ac:dyDescent="0.25">
      <c r="C666" s="2" t="s">
        <v>651</v>
      </c>
      <c r="D666" s="2" t="s">
        <v>292</v>
      </c>
      <c r="E666" s="2">
        <v>32</v>
      </c>
      <c r="F666" s="2">
        <v>613.789</v>
      </c>
    </row>
    <row r="668" spans="1:7" x14ac:dyDescent="0.25">
      <c r="A668" s="1">
        <v>46241</v>
      </c>
      <c r="B668" s="2" t="s">
        <v>420</v>
      </c>
      <c r="C668" s="2" t="s">
        <v>652</v>
      </c>
      <c r="D668" s="2" t="s">
        <v>59</v>
      </c>
      <c r="E668" s="2">
        <v>261</v>
      </c>
      <c r="F668" s="2">
        <v>5151.259</v>
      </c>
      <c r="G668" s="1">
        <v>46240</v>
      </c>
    </row>
    <row r="669" spans="3:6" x14ac:dyDescent="0.25">
      <c r="C669" s="2" t="s">
        <v>653</v>
      </c>
      <c r="D669" s="2" t="s">
        <v>59</v>
      </c>
      <c r="E669" s="2">
        <v>148</v>
      </c>
      <c r="F669" s="2">
        <v>2850.088</v>
      </c>
    </row>
    <row r="670" spans="3:6" x14ac:dyDescent="0.25">
      <c r="C670" s="2" t="s">
        <v>654</v>
      </c>
      <c r="D670" s="2" t="s">
        <v>59</v>
      </c>
      <c r="E670" s="2">
        <v>156</v>
      </c>
      <c r="F670" s="2">
        <v>2985.33</v>
      </c>
    </row>
    <row r="671" spans="3:6" x14ac:dyDescent="0.25">
      <c r="C671" s="2" t="s">
        <v>655</v>
      </c>
      <c r="D671" s="2" t="s">
        <v>59</v>
      </c>
      <c r="E671" s="2">
        <v>154</v>
      </c>
      <c r="F671" s="2">
        <v>2961.58</v>
      </c>
    </row>
    <row r="672" spans="3:6" x14ac:dyDescent="0.25">
      <c r="C672" s="2" t="s">
        <v>656</v>
      </c>
      <c r="D672" s="2" t="s">
        <v>59</v>
      </c>
      <c r="E672" s="2">
        <v>261</v>
      </c>
      <c r="F672" s="2">
        <v>5214.29</v>
      </c>
    </row>
    <row r="673" spans="3:6" x14ac:dyDescent="0.25">
      <c r="C673" s="2" t="s">
        <v>657</v>
      </c>
      <c r="D673" s="2" t="s">
        <v>59</v>
      </c>
      <c r="E673" s="2">
        <v>208</v>
      </c>
      <c r="F673" s="2">
        <v>3814.47</v>
      </c>
    </row>
    <row r="674" spans="3:6" x14ac:dyDescent="0.25">
      <c r="C674" s="2" t="s">
        <v>658</v>
      </c>
      <c r="D674" s="2" t="s">
        <v>59</v>
      </c>
      <c r="E674" s="2">
        <v>244</v>
      </c>
      <c r="F674" s="2">
        <v>4935.469</v>
      </c>
    </row>
    <row r="676" spans="1:7" x14ac:dyDescent="0.25">
      <c r="A676" s="1">
        <v>46241</v>
      </c>
      <c r="B676" s="2" t="s">
        <v>347</v>
      </c>
      <c r="C676" s="2" t="s">
        <v>659</v>
      </c>
      <c r="D676" s="2" t="s">
        <v>59</v>
      </c>
      <c r="E676" s="2">
        <v>142</v>
      </c>
      <c r="F676" s="2">
        <v>2824.239</v>
      </c>
      <c r="G676" s="1">
        <v>46240</v>
      </c>
    </row>
    <row r="677" spans="3:6" x14ac:dyDescent="0.25">
      <c r="C677" s="2" t="s">
        <v>660</v>
      </c>
      <c r="D677" s="2" t="s">
        <v>59</v>
      </c>
      <c r="E677" s="2">
        <v>142</v>
      </c>
      <c r="F677" s="2">
        <v>2723.84</v>
      </c>
    </row>
    <row r="678" spans="3:6" x14ac:dyDescent="0.25">
      <c r="C678" s="2" t="s">
        <v>661</v>
      </c>
      <c r="D678" s="2" t="s">
        <v>59</v>
      </c>
      <c r="E678" s="2">
        <v>142</v>
      </c>
      <c r="F678" s="2">
        <v>2727.51</v>
      </c>
    </row>
    <row r="679" spans="3:6" x14ac:dyDescent="0.25">
      <c r="C679" s="2" t="s">
        <v>662</v>
      </c>
      <c r="D679" s="2" t="s">
        <v>59</v>
      </c>
      <c r="E679" s="2">
        <v>102</v>
      </c>
      <c r="F679" s="2">
        <v>1846.32</v>
      </c>
    </row>
    <row r="680" spans="3:6" x14ac:dyDescent="0.25">
      <c r="C680" s="2" t="s">
        <v>663</v>
      </c>
      <c r="D680" s="2" t="s">
        <v>59</v>
      </c>
      <c r="E680" s="2">
        <v>102</v>
      </c>
      <c r="F680" s="2">
        <v>1963.709</v>
      </c>
    </row>
    <row r="682" spans="1:7" x14ac:dyDescent="0.25">
      <c r="A682" s="1">
        <v>46241</v>
      </c>
      <c r="B682" s="2" t="s">
        <v>664</v>
      </c>
      <c r="C682" s="2" t="s">
        <v>665</v>
      </c>
      <c r="D682" s="2" t="s">
        <v>136</v>
      </c>
      <c r="E682" s="2">
        <v>92</v>
      </c>
      <c r="F682" s="2">
        <v>1888.13</v>
      </c>
      <c r="G682" s="1">
        <v>46240</v>
      </c>
    </row>
    <row r="684" spans="1:7" x14ac:dyDescent="0.25">
      <c r="A684" s="1">
        <v>46241</v>
      </c>
      <c r="B684" s="2" t="s">
        <v>666</v>
      </c>
      <c r="C684" s="2" t="s">
        <v>667</v>
      </c>
      <c r="D684" s="2" t="s">
        <v>59</v>
      </c>
      <c r="E684" s="2">
        <v>149</v>
      </c>
      <c r="F684" s="2">
        <v>3509.989</v>
      </c>
      <c r="G684" s="1">
        <v>46240</v>
      </c>
    </row>
    <row r="685" spans="3:6" x14ac:dyDescent="0.25">
      <c r="C685" s="2" t="s">
        <v>668</v>
      </c>
      <c r="D685" s="2" t="s">
        <v>59</v>
      </c>
      <c r="E685" s="2">
        <v>149</v>
      </c>
      <c r="F685" s="2">
        <v>2902.79</v>
      </c>
    </row>
    <row r="765" spans="1:7" x14ac:dyDescent="0.25">
      <c r="A765" s="5"/>
      <c r="B765" s="6"/>
      <c r="C765" s="6"/>
      <c r="D765" s="6"/>
      <c r="E765" s="6"/>
      <c r="F765" s="6"/>
      <c r="G765" s="5"/>
    </row>
    <row r="766" ht="16.5" customHeight="1" spans="2:8" x14ac:dyDescent="0.25">
      <c r="B766" s="7" t="s">
        <v>669</v>
      </c>
      <c r="C766" s="8">
        <f>COUNTA(C3:C765)</f>
        <v>637</v>
      </c>
      <c r="E766" s="7" t="s">
        <v>670</v>
      </c>
      <c r="F766" s="9">
        <f>SUM(F3:F765)</f>
        <v>1265364.2840000018</v>
      </c>
      <c r="G766" s="1" t="s">
        <v>671</v>
      </c>
      <c r="H766" s="10">
        <f>F766*0.04</f>
        <v>50614.571360000074</v>
      </c>
    </row>
    <row r="767" ht="13.5" customHeight="1" spans="2:8" s="1" customFormat="1" x14ac:dyDescent="0.25">
      <c r="B767" s="2"/>
      <c r="C767" s="2"/>
      <c r="D767" s="2"/>
      <c r="E767" s="2"/>
      <c r="F767" s="2"/>
      <c r="H7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202608</vt:lpstr>
      <vt:lpstr>202607</vt:lpstr>
      <vt:lpstr>202606</vt:lpstr>
      <vt:lpstr>202605</vt:lpstr>
      <vt:lpstr>202604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Beta LAU</cp:lastModifiedBy>
  <dcterms:created xsi:type="dcterms:W3CDTF">2015-06-05T18:17:20Z</dcterms:created>
  <dcterms:modified xsi:type="dcterms:W3CDTF">2026-08-08T03:59:44Z</dcterms:modified>
</cp:coreProperties>
</file>