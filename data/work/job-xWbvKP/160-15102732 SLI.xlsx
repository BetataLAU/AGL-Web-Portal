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trlProps/ctrlProp9.xml" ContentType="application/vnd.ms-excel.controlproperties+xml"/>
  <Override PartName="/xl/ctrlProps/ctrlProp10.xml" ContentType="application/vnd.ms-excel.controlproperties+xml"/>
  <Override PartName="/xl/ctrlProps/ctrlProp11.xml" ContentType="application/vnd.ms-excel.controlproperties+xml"/>
  <Override PartName="/xl/ctrlProps/ctrlProp12.xml" ContentType="application/vnd.ms-excel.controlproperties+xml"/>
  <Override PartName="/xl/ctrlProps/ctrlProp13.xml" ContentType="application/vnd.ms-excel.controlproperties+xml"/>
  <Override PartName="/xl/ctrlProps/ctrlProp14.xml" ContentType="application/vnd.ms-excel.controlproperties+xml"/>
  <Override PartName="/xl/ctrlProps/ctrlProp15.xml" ContentType="application/vnd.ms-excel.controlproperties+xml"/>
  <Override PartName="/xl/ctrlProps/ctrlProp16.xml" ContentType="application/vnd.ms-excel.controlproperties+xml"/>
  <Override PartName="/xl/ctrlProps/ctrlProp17.xml" ContentType="application/vnd.ms-excel.controlproperties+xml"/>
  <Override PartName="/xl/ctrlProps/ctrlProp18.xml" ContentType="application/vnd.ms-excel.controlproperties+xml"/>
  <Override PartName="/xl/ctrlProps/ctrlProp19.xml" ContentType="application/vnd.ms-excel.controlproperties+xml"/>
  <Override PartName="/xl/ctrlProps/ctrlProp20.xml" ContentType="application/vnd.ms-excel.controlproperties+xml"/>
  <Override PartName="/xl/ctrlProps/ctrlProp21.xml" ContentType="application/vnd.ms-excel.controlproperties+xml"/>
  <Override PartName="/xl/drawings/drawing2.xml" ContentType="application/vnd.openxmlformats-officedocument.drawing+xml"/>
  <Override PartName="/xl/ctrlProps/ctrlProp22.xml" ContentType="application/vnd.ms-excel.controlproperties+xml"/>
  <Override PartName="/xl/ctrlProps/ctrlProp23.xml" ContentType="application/vnd.ms-excel.controlproperties+xml"/>
  <Override PartName="/xl/ctrlProps/ctrlProp24.xml" ContentType="application/vnd.ms-excel.controlproperties+xml"/>
  <Override PartName="/xl/ctrlProps/ctrlProp25.xml" ContentType="application/vnd.ms-excel.controlproperties+xml"/>
  <Override PartName="/xl/ctrlProps/ctrlProp26.xml" ContentType="application/vnd.ms-excel.controlproperties+xml"/>
  <Override PartName="/xl/ctrlProps/ctrlProp27.xml" ContentType="application/vnd.ms-excel.controlproperties+xml"/>
  <Override PartName="/xl/ctrlProps/ctrlProp28.xml" ContentType="application/vnd.ms-excel.controlproperties+xml"/>
  <Override PartName="/xl/ctrlProps/ctrlProp29.xml" ContentType="application/vnd.ms-excel.controlproperties+xml"/>
  <Override PartName="/xl/drawings/drawing3.xml" ContentType="application/vnd.openxmlformats-officedocument.drawing+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mc:AlternateContent xmlns:mc="http://schemas.openxmlformats.org/markup-compatibility/2006">
    <mc:Choice Requires="x15">
      <x15ac:absPath xmlns:x15ac="http://schemas.microsoft.com/office/spreadsheetml/2010/11/ac" url="C:\Users\user\Desktop\AGL-Web-Portal\data\work\job-xWbvKP\"/>
    </mc:Choice>
  </mc:AlternateContent>
  <xr:revisionPtr revIDLastSave="0" documentId="8_{D47BF800-B868-4990-B17D-A92BBBD99D8E}" xr6:coauthVersionLast="47" xr6:coauthVersionMax="47" xr10:uidLastSave="{00000000-0000-0000-0000-000000000000}"/>
  <bookViews>
    <workbookView xWindow="-120" yWindow="-120" windowWidth="29040" windowHeight="15720" xr2:uid="{752BAC88-3D22-6345-9E5D-6A586CA68B77}"/>
  </bookViews>
  <sheets>
    <sheet name="air" sheetId="1" r:id="rId1"/>
    <sheet name="ELI LETTER" sheetId="3" r:id="rId2"/>
    <sheet name="LIQ LETTER" sheetId="4" r:id="rId3"/>
    <sheet name="Sheet1" sheetId="2" r:id="rId4"/>
  </sheets>
  <definedNames>
    <definedName name="_xlnm.Print_Area" localSheetId="0">air!$A$1:$I$74</definedName>
    <definedName name="_xlnm.Print_Area" localSheetId="1">'ELI LETTER'!$A$1:$T$62</definedName>
    <definedName name="_xlnm.Print_Area" localSheetId="2">'LIQ LETTER'!$A$1:$J$45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6" i="4" l="1"/>
  <c r="A2" i="4"/>
  <c r="A1" i="4"/>
  <c r="C8" i="4" s="1"/>
  <c r="C4" i="4"/>
  <c r="A2" i="3"/>
</calcChain>
</file>

<file path=xl/sharedStrings.xml><?xml version="1.0" encoding="utf-8"?>
<sst xmlns="http://schemas.openxmlformats.org/spreadsheetml/2006/main" count="166" uniqueCount="155">
  <si>
    <t>Business Reg. No.</t>
  </si>
  <si>
    <t>Notify Party</t>
  </si>
  <si>
    <t xml:space="preserve"> Airfreight Charges:</t>
  </si>
  <si>
    <t/>
  </si>
  <si>
    <t xml:space="preserve"> Other Charges:</t>
  </si>
  <si>
    <t>MAWB No.</t>
  </si>
  <si>
    <t>HAWB No.</t>
  </si>
  <si>
    <t>Special Instructions :</t>
  </si>
  <si>
    <t>Departure Airport / Place</t>
  </si>
  <si>
    <t>HKG</t>
  </si>
  <si>
    <t>Destination Airport / Place</t>
  </si>
  <si>
    <t>Airline Counter-Signature</t>
  </si>
  <si>
    <t xml:space="preserve">Marks Nos.: </t>
  </si>
  <si>
    <t>Description of Goods</t>
  </si>
  <si>
    <t xml:space="preserve">Number and Type of Package </t>
  </si>
  <si>
    <t>Gross Weight</t>
  </si>
  <si>
    <t>Measurement</t>
  </si>
  <si>
    <t>香港國際機場駿裕路8號菜鳥智慧港4樓, D區</t>
  </si>
  <si>
    <t>當值電話: (852) 9226 0861 / (852) 9226 0863</t>
  </si>
  <si>
    <t>機場倉庫地址:</t>
  </si>
  <si>
    <t>Additional details (not to be shown on HAWB):</t>
  </si>
  <si>
    <t xml:space="preserve">1) HS Code(s): </t>
  </si>
  <si>
    <t xml:space="preserve">  Specify Country:</t>
  </si>
  <si>
    <t xml:space="preserve">  Declared Value for Customs</t>
  </si>
  <si>
    <t xml:space="preserve">  Declared Value for Carriage</t>
  </si>
  <si>
    <t>Insurance Amt.</t>
  </si>
  <si>
    <t>Shipper's C.O.D.</t>
  </si>
  <si>
    <t>Documents to accompany airwaybill or house airwaybill</t>
  </si>
  <si>
    <t xml:space="preserve">     Any comment or complaint, please reach us by email: hkehubops@list.alibaba-inc.com</t>
  </si>
  <si>
    <t>hkehubops@list.alibaba-inc.com</t>
  </si>
  <si>
    <t>cainiao-ops@jpsgroup.com.hk</t>
  </si>
  <si>
    <t>sf01115308@cainiao.com</t>
  </si>
  <si>
    <t>Shipper's Declaration for Section II Lithium Cells / Batteries</t>
    <phoneticPr fontId="0" type="noConversion"/>
  </si>
  <si>
    <t>WARNING:</t>
    <phoneticPr fontId="0" type="noConversion"/>
  </si>
  <si>
    <t xml:space="preserve">LITHIUM BATTERIES IDENTIFIED BY THE MANUFACTURER AS BEING DEFECTIVE FOR SAFETY REASONS, OR </t>
    <phoneticPr fontId="0" type="noConversion"/>
  </si>
  <si>
    <t>THAT HAVE BEEN DAMAGED, MUST NOT BE SHIPPED BY AIR.</t>
    <phoneticPr fontId="0" type="noConversion"/>
  </si>
  <si>
    <t>Shipment Details:</t>
    <phoneticPr fontId="0" type="noConversion"/>
  </si>
  <si>
    <t>Master Air Waybill Number:</t>
    <phoneticPr fontId="0" type="noConversion"/>
  </si>
  <si>
    <t>Origin (Optional):</t>
  </si>
  <si>
    <t>HKG</t>
    <phoneticPr fontId="0" type="noConversion"/>
  </si>
  <si>
    <t>(For Direct Shipment)</t>
    <phoneticPr fontId="0" type="noConversion"/>
  </si>
  <si>
    <t>House Air Waybill Number:</t>
    <phoneticPr fontId="0" type="noConversion"/>
  </si>
  <si>
    <t>Destination (Optional):</t>
    <phoneticPr fontId="0" type="noConversion"/>
  </si>
  <si>
    <t>(If Applicable)</t>
    <phoneticPr fontId="0" type="noConversion"/>
  </si>
  <si>
    <t>Shipper's Information:</t>
    <phoneticPr fontId="0" type="noConversion"/>
  </si>
  <si>
    <t>Consignee's Information:</t>
    <phoneticPr fontId="0" type="noConversion"/>
  </si>
  <si>
    <t>Name:</t>
    <phoneticPr fontId="0" type="noConversion"/>
  </si>
  <si>
    <t>Address:</t>
    <phoneticPr fontId="0" type="noConversion"/>
  </si>
  <si>
    <t>Contact Number:</t>
    <phoneticPr fontId="0" type="noConversion"/>
  </si>
  <si>
    <t>Tel:+86 0755-28288750</t>
    <phoneticPr fontId="0" type="noConversion"/>
  </si>
  <si>
    <t>Select the applicable battery type(s) and fill in the blanks:</t>
    <phoneticPr fontId="0" type="noConversion"/>
  </si>
  <si>
    <t>Battery Type [IMP Code]</t>
    <phoneticPr fontId="0" type="noConversion"/>
  </si>
  <si>
    <t>Piece</t>
    <phoneticPr fontId="0" type="noConversion"/>
  </si>
  <si>
    <t>Net Weight Qty per Package(kg)</t>
    <phoneticPr fontId="0" type="noConversion"/>
  </si>
  <si>
    <r>
      <t xml:space="preserve">UN3480 </t>
    </r>
    <r>
      <rPr>
        <b/>
        <sz val="9"/>
        <color rgb="FFFF0000"/>
        <rFont val="Calibri"/>
        <family val="2"/>
      </rPr>
      <t>I</t>
    </r>
    <r>
      <rPr>
        <b/>
        <sz val="9"/>
        <color theme="1"/>
        <rFont val="Calibri"/>
        <family val="2"/>
      </rPr>
      <t xml:space="preserve"> PI965 [ELI]</t>
    </r>
  </si>
  <si>
    <r>
      <t xml:space="preserve">Cell / Battery </t>
    </r>
    <r>
      <rPr>
        <u/>
        <sz val="9"/>
        <color theme="1"/>
        <rFont val="Calibri"/>
        <family val="2"/>
      </rPr>
      <t>&lt;</t>
    </r>
    <r>
      <rPr>
        <sz val="9"/>
        <color theme="1"/>
        <rFont val="Calibri"/>
        <family val="2"/>
      </rPr>
      <t xml:space="preserve"> 2.7 Wh</t>
    </r>
  </si>
  <si>
    <t>No. of Pieces:No Limited, Max Net Battery Weight 2.5kg per package</t>
    <phoneticPr fontId="0" type="noConversion"/>
  </si>
  <si>
    <t>Lithium Ion Cells / Batteries</t>
    <phoneticPr fontId="0" type="noConversion"/>
  </si>
  <si>
    <r>
      <t xml:space="preserve">Cell &gt; 2.7 Wh but </t>
    </r>
    <r>
      <rPr>
        <u/>
        <sz val="9"/>
        <color theme="1"/>
        <rFont val="Calibri"/>
        <family val="2"/>
      </rPr>
      <t>&lt;</t>
    </r>
    <r>
      <rPr>
        <sz val="9"/>
        <color theme="1"/>
        <rFont val="Calibri"/>
        <family val="2"/>
      </rPr>
      <t xml:space="preserve"> 20 Wh</t>
    </r>
  </si>
  <si>
    <t>No. of Pieces: Max 8 Cells per package</t>
    <phoneticPr fontId="0" type="noConversion"/>
  </si>
  <si>
    <t>ONLY</t>
    <phoneticPr fontId="0" type="noConversion"/>
  </si>
  <si>
    <r>
      <t xml:space="preserve">Battery &gt; 2.7 Wh but </t>
    </r>
    <r>
      <rPr>
        <u/>
        <sz val="9"/>
        <color theme="1"/>
        <rFont val="Calibri"/>
        <family val="2"/>
      </rPr>
      <t>&lt;</t>
    </r>
    <r>
      <rPr>
        <sz val="9"/>
        <color theme="1"/>
        <rFont val="Calibri"/>
        <family val="2"/>
      </rPr>
      <t xml:space="preserve"> 100 Wh</t>
    </r>
  </si>
  <si>
    <t>No. of Pieces: Max 2 Batteries per package</t>
    <phoneticPr fontId="0" type="noConversion"/>
  </si>
  <si>
    <r>
      <t xml:space="preserve">UN3481 </t>
    </r>
    <r>
      <rPr>
        <b/>
        <sz val="9"/>
        <color rgb="FFFF0000"/>
        <rFont val="Calibri"/>
        <family val="2"/>
      </rPr>
      <t>I</t>
    </r>
    <r>
      <rPr>
        <b/>
        <sz val="9"/>
        <color theme="1"/>
        <rFont val="Calibri"/>
        <family val="2"/>
      </rPr>
      <t xml:space="preserve"> PI966 [ELI]</t>
    </r>
  </si>
  <si>
    <t>Lithium Ion Cells / Batteries Packed with Equipment</t>
    <phoneticPr fontId="0" type="noConversion"/>
  </si>
  <si>
    <r>
      <rPr>
        <sz val="9"/>
        <color theme="1"/>
        <rFont val="Calibri"/>
        <family val="2"/>
      </rPr>
      <t xml:space="preserve">Cell </t>
    </r>
    <r>
      <rPr>
        <u/>
        <sz val="9"/>
        <color theme="1"/>
        <rFont val="Calibri"/>
        <family val="2"/>
      </rPr>
      <t>&lt;</t>
    </r>
    <r>
      <rPr>
        <sz val="9"/>
        <color theme="1"/>
        <rFont val="Calibri"/>
        <family val="2"/>
      </rPr>
      <t xml:space="preserve"> 20Wh or Battery </t>
    </r>
    <r>
      <rPr>
        <u/>
        <sz val="9"/>
        <color theme="1"/>
        <rFont val="Calibri"/>
        <family val="2"/>
      </rPr>
      <t>&lt;</t>
    </r>
    <r>
      <rPr>
        <sz val="9"/>
        <color theme="1"/>
        <rFont val="Calibri"/>
        <family val="2"/>
      </rPr>
      <t xml:space="preserve"> 100Wh, Max Net Battery Weight 5 kg per package</t>
    </r>
  </si>
  <si>
    <r>
      <t xml:space="preserve">UN3481 </t>
    </r>
    <r>
      <rPr>
        <b/>
        <sz val="9"/>
        <color rgb="FFFF0000"/>
        <rFont val="Calibri"/>
        <family val="2"/>
      </rPr>
      <t>I</t>
    </r>
    <r>
      <rPr>
        <b/>
        <sz val="9"/>
        <color theme="1"/>
        <rFont val="Calibri"/>
        <family val="2"/>
      </rPr>
      <t xml:space="preserve"> PI967 [ELI]</t>
    </r>
  </si>
  <si>
    <t>Each Package contains no more than 5.0 kg</t>
    <phoneticPr fontId="0" type="noConversion"/>
  </si>
  <si>
    <t>Lithium Ion Cells / Batteries Contained in Equipment</t>
    <phoneticPr fontId="0" type="noConversion"/>
  </si>
  <si>
    <r>
      <t xml:space="preserve">UN3090 </t>
    </r>
    <r>
      <rPr>
        <b/>
        <sz val="9"/>
        <color rgb="FFFF0000"/>
        <rFont val="Calibri"/>
        <family val="2"/>
      </rPr>
      <t>I</t>
    </r>
    <r>
      <rPr>
        <b/>
        <sz val="9"/>
        <color theme="1"/>
        <rFont val="Calibri"/>
        <family val="2"/>
      </rPr>
      <t xml:space="preserve"> PI968 [ELM]</t>
    </r>
  </si>
  <si>
    <r>
      <t xml:space="preserve">Cell / Battery </t>
    </r>
    <r>
      <rPr>
        <u/>
        <sz val="9"/>
        <color theme="1"/>
        <rFont val="Calibri"/>
        <family val="2"/>
      </rPr>
      <t>&lt;</t>
    </r>
    <r>
      <rPr>
        <sz val="9"/>
        <color theme="1"/>
        <rFont val="Calibri"/>
        <family val="2"/>
      </rPr>
      <t xml:space="preserve"> 0.3g lithium</t>
    </r>
  </si>
  <si>
    <t xml:space="preserve">Lithium Metal Cells / </t>
    <phoneticPr fontId="0" type="noConversion"/>
  </si>
  <si>
    <r>
      <t xml:space="preserve">Cell &gt; 0.3g but </t>
    </r>
    <r>
      <rPr>
        <u/>
        <sz val="9"/>
        <color theme="1"/>
        <rFont val="Calibri"/>
        <family val="2"/>
      </rPr>
      <t>&lt;</t>
    </r>
    <r>
      <rPr>
        <sz val="9"/>
        <color theme="1"/>
        <rFont val="Calibri"/>
        <family val="2"/>
      </rPr>
      <t xml:space="preserve"> 1g lithium</t>
    </r>
  </si>
  <si>
    <t>Batteries ONLY</t>
    <phoneticPr fontId="0" type="noConversion"/>
  </si>
  <si>
    <r>
      <t xml:space="preserve">Battery &gt; 0.3g but </t>
    </r>
    <r>
      <rPr>
        <u/>
        <sz val="9"/>
        <color theme="1"/>
        <rFont val="Calibri"/>
        <family val="2"/>
      </rPr>
      <t>&lt;</t>
    </r>
    <r>
      <rPr>
        <sz val="9"/>
        <color theme="1"/>
        <rFont val="Calibri"/>
        <family val="2"/>
      </rPr>
      <t xml:space="preserve"> 2g lithium</t>
    </r>
  </si>
  <si>
    <r>
      <t xml:space="preserve">UN3091 </t>
    </r>
    <r>
      <rPr>
        <b/>
        <sz val="9"/>
        <color rgb="FFFF0000"/>
        <rFont val="Calibri"/>
        <family val="2"/>
      </rPr>
      <t>I</t>
    </r>
    <r>
      <rPr>
        <b/>
        <sz val="9"/>
        <color theme="1"/>
        <rFont val="Calibri"/>
        <family val="2"/>
      </rPr>
      <t xml:space="preserve"> PI969 [ELM]</t>
    </r>
  </si>
  <si>
    <t>Lithium Metal Cells / Batteries Packed with Equipment</t>
    <phoneticPr fontId="0" type="noConversion"/>
  </si>
  <si>
    <r>
      <t xml:space="preserve">Cell </t>
    </r>
    <r>
      <rPr>
        <u/>
        <sz val="9"/>
        <color theme="1"/>
        <rFont val="Calibri"/>
        <family val="2"/>
      </rPr>
      <t>&lt;</t>
    </r>
    <r>
      <rPr>
        <sz val="9"/>
        <color theme="1"/>
        <rFont val="Calibri"/>
        <family val="2"/>
      </rPr>
      <t xml:space="preserve"> 1g lithium or Battery </t>
    </r>
    <r>
      <rPr>
        <u/>
        <sz val="9"/>
        <color theme="1"/>
        <rFont val="Calibri"/>
        <family val="2"/>
      </rPr>
      <t>&lt;</t>
    </r>
    <r>
      <rPr>
        <sz val="9"/>
        <color theme="1"/>
        <rFont val="Calibri"/>
        <family val="2"/>
      </rPr>
      <t xml:space="preserve"> 5g lithium, Max Net Battery Weight 5 kg per package</t>
    </r>
  </si>
  <si>
    <r>
      <t xml:space="preserve">UN3091 </t>
    </r>
    <r>
      <rPr>
        <b/>
        <sz val="9"/>
        <color rgb="FFFF0000"/>
        <rFont val="Calibri"/>
        <family val="2"/>
      </rPr>
      <t>I</t>
    </r>
    <r>
      <rPr>
        <b/>
        <sz val="9"/>
        <color theme="1"/>
        <rFont val="Calibri"/>
        <family val="2"/>
      </rPr>
      <t xml:space="preserve"> PI970 [ELM]</t>
    </r>
  </si>
  <si>
    <t>Lithium Metal Cells / Batteries Contained in Equipment</t>
    <phoneticPr fontId="0" type="noConversion"/>
  </si>
  <si>
    <r>
      <t xml:space="preserve">Lithium </t>
    </r>
    <r>
      <rPr>
        <b/>
        <u/>
        <sz val="9"/>
        <color theme="8" tint="-0.499984740745262"/>
        <rFont val="Calibri"/>
        <family val="2"/>
      </rPr>
      <t>ION</t>
    </r>
    <r>
      <rPr>
        <sz val="9"/>
        <color theme="1"/>
        <rFont val="Calibri"/>
        <family val="2"/>
      </rPr>
      <t xml:space="preserve"> batteries in compliance with Section II of PI </t>
    </r>
    <r>
      <rPr>
        <u/>
        <sz val="9"/>
        <color theme="1"/>
        <rFont val="Calibri"/>
        <family val="2"/>
      </rPr>
      <t>967</t>
    </r>
  </si>
  <si>
    <r>
      <t xml:space="preserve">Lithium </t>
    </r>
    <r>
      <rPr>
        <b/>
        <u/>
        <sz val="9"/>
        <color rgb="FF002060"/>
        <rFont val="Calibri"/>
        <family val="2"/>
      </rPr>
      <t>METAL</t>
    </r>
    <r>
      <rPr>
        <sz val="9"/>
        <color theme="1"/>
        <rFont val="Calibri"/>
        <family val="2"/>
      </rPr>
      <t xml:space="preserve"> Batteries in compliance with Section II of PI</t>
    </r>
  </si>
  <si>
    <t>This package does not contain any damaged and  / or defective cells and / or batteries.</t>
    <phoneticPr fontId="0" type="noConversion"/>
  </si>
  <si>
    <t>．</t>
    <phoneticPr fontId="0" type="noConversion"/>
  </si>
  <si>
    <t>This package must be handled with care. A flammability hazard exists if the package is damaged.</t>
    <phoneticPr fontId="0" type="noConversion"/>
  </si>
  <si>
    <t>Special procedures must be followed in the event if the package is damaged, to include inspection and repacking if necessary.</t>
    <phoneticPr fontId="0" type="noConversion"/>
  </si>
  <si>
    <t>Special procedures:</t>
    <phoneticPr fontId="0" type="noConversion"/>
  </si>
  <si>
    <t>If this package is damaged in transportation, it must not be loaded until the condition of the contents can be verified.</t>
    <phoneticPr fontId="0" type="noConversion"/>
  </si>
  <si>
    <t xml:space="preserve">The batteries contained in this package must be inspected for damage and may only be repacked if </t>
    <phoneticPr fontId="0" type="noConversion"/>
  </si>
  <si>
    <t>they are intact and protected against short circuits.</t>
    <phoneticPr fontId="0" type="noConversion"/>
  </si>
  <si>
    <t>Telephone Number for Additional Information:</t>
    <phoneticPr fontId="0" type="noConversion"/>
  </si>
  <si>
    <t>(Country Code) + Area Code + Phone Number</t>
    <phoneticPr fontId="0" type="noConversion"/>
  </si>
  <si>
    <t>Remarks:</t>
    <phoneticPr fontId="0" type="noConversion"/>
  </si>
  <si>
    <t>CHAN TAI TAN / MANAGER</t>
    <phoneticPr fontId="0" type="noConversion"/>
  </si>
  <si>
    <t>Date:</t>
    <phoneticPr fontId="0" type="noConversion"/>
  </si>
  <si>
    <t>MAWB Number:</t>
    <phoneticPr fontId="0" type="noConversion"/>
  </si>
  <si>
    <t>Shipper Name:</t>
    <phoneticPr fontId="0" type="noConversion"/>
  </si>
  <si>
    <t>Goods Description:</t>
    <phoneticPr fontId="0" type="noConversion"/>
  </si>
  <si>
    <t>LAUNDRY DETERGENT (SUPER OIL DETERGENT)</t>
    <phoneticPr fontId="0" type="noConversion"/>
  </si>
  <si>
    <t>Destination:</t>
    <phoneticPr fontId="0" type="noConversion"/>
  </si>
  <si>
    <t>CERTIFICATION FOR NON-DANGEROUS GOODS (NON-HAZARDOUS)</t>
    <phoneticPr fontId="0" type="noConversion"/>
  </si>
  <si>
    <t>I hereby certify that the above-captioned goods are Non-Hazardous and non-</t>
    <phoneticPr fontId="0" type="noConversion"/>
  </si>
  <si>
    <t>inflammable materials for air transportation in any nature. The consignment is fully</t>
    <phoneticPr fontId="0" type="noConversion"/>
  </si>
  <si>
    <t xml:space="preserve">described by proper shipping name and packed, marked and in proper condition for </t>
    <phoneticPr fontId="0" type="noConversion"/>
  </si>
  <si>
    <t xml:space="preserve">carriage by air. I further hereby certify that the consignment is not classified as </t>
    <phoneticPr fontId="0" type="noConversion"/>
  </si>
  <si>
    <r>
      <t xml:space="preserve">dangerous under </t>
    </r>
    <r>
      <rPr>
        <b/>
        <sz val="11"/>
        <color theme="1"/>
        <rFont val="Calibri"/>
        <family val="2"/>
      </rPr>
      <t>DGR 67th EDITION OF 2026</t>
    </r>
    <r>
      <rPr>
        <sz val="11"/>
        <color theme="1"/>
        <rFont val="Calibri"/>
        <family val="2"/>
      </rPr>
      <t xml:space="preserve"> of the IATA Dangerous Goods</t>
    </r>
  </si>
  <si>
    <r>
      <t xml:space="preserve">Regulations and all applicable carrier and Government Regulations. Under </t>
    </r>
    <r>
      <rPr>
        <b/>
        <sz val="11"/>
        <color theme="1"/>
        <rFont val="Calibri"/>
        <family val="2"/>
      </rPr>
      <t>DGR 67th</t>
    </r>
    <r>
      <rPr>
        <sz val="11"/>
        <color theme="1"/>
        <rFont val="Calibri"/>
        <family val="2"/>
      </rPr>
      <t xml:space="preserve"> </t>
    </r>
  </si>
  <si>
    <r>
      <rPr>
        <b/>
        <sz val="11"/>
        <color theme="1"/>
        <rFont val="Calibri"/>
        <family val="2"/>
      </rPr>
      <t>EDITION OF 2026</t>
    </r>
    <r>
      <rPr>
        <sz val="11"/>
        <color theme="1"/>
        <rFont val="Calibri"/>
        <family val="2"/>
      </rPr>
      <t xml:space="preserve">, the subject shipment doesn’t need the export license(non-restricted). </t>
    </r>
  </si>
  <si>
    <t>This shipment does not contain any battery.</t>
    <phoneticPr fontId="9" type="noConversion"/>
  </si>
  <si>
    <t xml:space="preserve">I also acknowledge that I may be liable for damage resulting from any mistake of </t>
    <phoneticPr fontId="0" type="noConversion"/>
  </si>
  <si>
    <t xml:space="preserve">omission and I further agree that any air carrier involved in the carriage of this </t>
    <phoneticPr fontId="0" type="noConversion"/>
  </si>
  <si>
    <t>consignment may rely upon this certification.</t>
    <phoneticPr fontId="0" type="noConversion"/>
  </si>
  <si>
    <t>For and on behalf of</t>
    <phoneticPr fontId="0" type="noConversion"/>
  </si>
  <si>
    <t>Signed</t>
    <phoneticPr fontId="0" type="noConversion"/>
  </si>
  <si>
    <t>Lem / Sales Manager</t>
    <phoneticPr fontId="0" type="noConversion"/>
  </si>
  <si>
    <t>RM 5026, 5/F, South Office Block, SuperTerminal 1, Hong Kong International Airport.</t>
  </si>
  <si>
    <t>當值電話: (852) 92780541</t>
  </si>
  <si>
    <t>機場寫字樓地址:</t>
  </si>
  <si>
    <t>TLV</t>
  </si>
  <si>
    <t>Consignee</t>
  </si>
  <si>
    <t>KIM LUNG SUPPLY CHAIN (GUANGZHOU) LIMITED. 
4th Floor, Unit 04-A1, No. 7 Haiwang Road, Hengli Town, Nansha District, Guangzhou City, China.</t>
    <phoneticPr fontId="1" type="noConversion"/>
  </si>
  <si>
    <t>SHIPPER'S INSTRUCTIONS TO ARRANGE FOR SHIPMENT OF GOODS</t>
    <phoneticPr fontId="1" type="noConversion"/>
  </si>
  <si>
    <t>To the company</t>
    <phoneticPr fontId="1" type="noConversion"/>
  </si>
  <si>
    <t>N/A</t>
    <phoneticPr fontId="1" type="noConversion"/>
  </si>
  <si>
    <t xml:space="preserve"> Country of Origin (Goods) :</t>
    <phoneticPr fontId="1" type="noConversion"/>
  </si>
  <si>
    <t>Airline</t>
    <phoneticPr fontId="1" type="noConversion"/>
  </si>
  <si>
    <t>Export Licence No.: N/A
Cert. Of Origin No.: N/A</t>
    <phoneticPr fontId="1" type="noConversion"/>
  </si>
  <si>
    <t>*All Transaction of the Company are subject to its Standard Trading Conditons (a copy is available upon request), which in certain circumstances limit or exempt its liability.</t>
    <phoneticPr fontId="1" type="noConversion"/>
  </si>
  <si>
    <t>Shipper</t>
    <phoneticPr fontId="1" type="noConversion"/>
  </si>
  <si>
    <t>Date (Day / Month / Year)</t>
    <phoneticPr fontId="1" type="noConversion"/>
  </si>
  <si>
    <r>
      <rPr>
        <sz val="8"/>
        <color theme="1"/>
        <rFont val="Calibri"/>
        <family val="2"/>
      </rPr>
      <t xml:space="preserve">KIM LUNG SUPPLY CHAIN (GUANGZHOU) LIMITED. </t>
    </r>
    <r>
      <rPr>
        <sz val="11"/>
        <color theme="1"/>
        <rFont val="Calibri"/>
        <family val="2"/>
      </rPr>
      <t xml:space="preserve">
4th Floor, Unit 04-A1, No. 7 Haiwang Road, Hengli Town, Nansha District, Guangzhou City, China.</t>
    </r>
    <phoneticPr fontId="9" type="noConversion"/>
  </si>
  <si>
    <t>KIM LUNG SUPPLY CHAIN (GUANGZHOU) LIMITED.</t>
    <phoneticPr fontId="35" type="noConversion"/>
  </si>
  <si>
    <r>
      <t xml:space="preserve">2) </t>
    </r>
    <r>
      <rPr>
        <b/>
        <sz val="9"/>
        <color rgb="FF000000"/>
        <rFont val="微軟正黑體"/>
        <family val="2"/>
        <charset val="136"/>
      </rPr>
      <t>中文貨物名稱</t>
    </r>
    <r>
      <rPr>
        <b/>
        <sz val="9"/>
        <color rgb="FF000000"/>
        <rFont val="Calibri"/>
        <family val="2"/>
      </rPr>
      <t xml:space="preserve"> (Commodity with Chinese name):</t>
    </r>
    <phoneticPr fontId="1" type="noConversion"/>
  </si>
  <si>
    <r>
      <t xml:space="preserve">3)        Does Not contained any kind of Batteries / </t>
    </r>
    <r>
      <rPr>
        <b/>
        <sz val="9"/>
        <color rgb="FF000000"/>
        <rFont val="微軟正黑體"/>
        <family val="2"/>
        <charset val="136"/>
      </rPr>
      <t>沒有任何電池</t>
    </r>
    <phoneticPr fontId="1" type="noConversion"/>
  </si>
  <si>
    <r>
      <rPr>
        <b/>
        <sz val="9"/>
        <color theme="0"/>
        <rFont val="Calibri"/>
        <family val="2"/>
      </rPr>
      <t>3)</t>
    </r>
    <r>
      <rPr>
        <b/>
        <sz val="9"/>
        <color rgb="FF000000"/>
        <rFont val="Calibri"/>
        <family val="2"/>
      </rPr>
      <t xml:space="preserve">        Contained Batteries / </t>
    </r>
    <r>
      <rPr>
        <b/>
        <sz val="9"/>
        <color rgb="FF000000"/>
        <rFont val="微軟正黑體"/>
        <family val="2"/>
        <charset val="136"/>
      </rPr>
      <t>帶有電池</t>
    </r>
    <phoneticPr fontId="1" type="noConversion"/>
  </si>
  <si>
    <r>
      <t xml:space="preserve">Included Lithium-ion Batteries / </t>
    </r>
    <r>
      <rPr>
        <b/>
        <sz val="9"/>
        <color rgb="FFFF0000"/>
        <rFont val="微軟正黑體"/>
        <family val="2"/>
        <charset val="136"/>
      </rPr>
      <t>帶有鋰離子電池:</t>
    </r>
    <phoneticPr fontId="1" type="noConversion"/>
  </si>
  <si>
    <r>
      <t xml:space="preserve">UN3480______Ctn(s) / </t>
    </r>
    <r>
      <rPr>
        <b/>
        <sz val="9"/>
        <color rgb="FFFF0000"/>
        <rFont val="微軟正黑體"/>
        <family val="2"/>
        <charset val="136"/>
      </rPr>
      <t>箱</t>
    </r>
    <phoneticPr fontId="1" type="noConversion"/>
  </si>
  <si>
    <r>
      <t xml:space="preserve">UN3481______Ctn(s) / </t>
    </r>
    <r>
      <rPr>
        <b/>
        <sz val="9"/>
        <color rgb="FFFF0000"/>
        <rFont val="微軟正黑體"/>
        <family val="2"/>
        <charset val="136"/>
      </rPr>
      <t>箱</t>
    </r>
    <phoneticPr fontId="1" type="noConversion"/>
  </si>
  <si>
    <r>
      <t xml:space="preserve">Included Lithium-Metal Batteries / </t>
    </r>
    <r>
      <rPr>
        <b/>
        <sz val="9"/>
        <color rgb="FFFF0000"/>
        <rFont val="微軟正黑體"/>
        <family val="2"/>
        <charset val="136"/>
      </rPr>
      <t>帶有鋰金屬電池:</t>
    </r>
    <phoneticPr fontId="1" type="noConversion"/>
  </si>
  <si>
    <r>
      <t xml:space="preserve">UN3090______Ctn(s) / </t>
    </r>
    <r>
      <rPr>
        <b/>
        <sz val="9"/>
        <color rgb="FFFF0000"/>
        <rFont val="微軟正黑體"/>
        <family val="2"/>
        <charset val="136"/>
      </rPr>
      <t>箱</t>
    </r>
    <phoneticPr fontId="1" type="noConversion"/>
  </si>
  <si>
    <r>
      <t xml:space="preserve">UN3091______Ctn(s) / </t>
    </r>
    <r>
      <rPr>
        <b/>
        <sz val="9"/>
        <color rgb="FFFF0000"/>
        <rFont val="微軟正黑體"/>
        <family val="2"/>
        <charset val="136"/>
      </rPr>
      <t>箱</t>
    </r>
    <phoneticPr fontId="1" type="noConversion"/>
  </si>
  <si>
    <r>
      <t xml:space="preserve">Other types of battery / </t>
    </r>
    <r>
      <rPr>
        <b/>
        <sz val="9"/>
        <color rgb="FFFF0000"/>
        <rFont val="微軟正黑體"/>
        <family val="2"/>
        <charset val="136"/>
      </rPr>
      <t>其他種類電池:</t>
    </r>
    <phoneticPr fontId="1" type="noConversion"/>
  </si>
  <si>
    <r>
      <t xml:space="preserve">Please specify / </t>
    </r>
    <r>
      <rPr>
        <b/>
        <sz val="9"/>
        <color rgb="FFFF0000"/>
        <rFont val="微軟正黑體"/>
        <family val="2"/>
        <charset val="136"/>
      </rPr>
      <t xml:space="preserve">請註明: </t>
    </r>
    <r>
      <rPr>
        <b/>
        <sz val="9"/>
        <color rgb="FFFF0000"/>
        <rFont val="Calibri"/>
        <family val="2"/>
      </rPr>
      <t>_________________________ /________Ctn(s)/</t>
    </r>
    <r>
      <rPr>
        <b/>
        <sz val="9"/>
        <color rgb="FFFF0000"/>
        <rFont val="微軟正黑體"/>
        <family val="2"/>
        <charset val="136"/>
      </rPr>
      <t>箱</t>
    </r>
    <phoneticPr fontId="1" type="noConversion"/>
  </si>
  <si>
    <t>以到倉件數為準</t>
    <phoneticPr fontId="1" type="noConversion"/>
  </si>
  <si>
    <t>以到倉重量為準</t>
    <phoneticPr fontId="1" type="noConversion"/>
  </si>
  <si>
    <t>T-SHIRTS -HS 620331_x000D_
SANDALS -HS 611596_x000D_
HEADPHONE -HS 851830</t>
    <phoneticPr fontId="1" type="noConversion"/>
  </si>
  <si>
    <t>+86 0755-28288750</t>
    <phoneticPr fontId="35" type="noConversion"/>
  </si>
  <si>
    <t>MAD</t>
    <phoneticPr fontId="9" type="noConversion"/>
  </si>
  <si>
    <t>Cainiao C/O Cacesa Cacesa almacén
Ronda de Marcos Ana 6, 28830, San Fernando de Henares, Madrid
+34606685856
Ramón Berisa
EORI: ESA78427499</t>
    <phoneticPr fontId="35" type="noConversion"/>
  </si>
  <si>
    <t>+34606685856</t>
    <phoneticPr fontId="35" type="noConversion"/>
  </si>
  <si>
    <t>157-87751101</t>
    <phoneticPr fontId="35" type="noConversion"/>
  </si>
  <si>
    <t>160-15102732</t>
    <phoneticPr fontId="1" type="noConversion"/>
  </si>
  <si>
    <t>CX</t>
    <phoneticPr fontId="1" type="noConversion"/>
  </si>
  <si>
    <t>LHR</t>
    <phoneticPr fontId="1" type="noConversion"/>
  </si>
  <si>
    <t>GLOBEXAIR LTD (DAY)
UNIT 7A FAIRLIE ROAD SLOUGH SL1 4PY, EORI NUMBER: GB151346041000
TEL: +44 208 897 0490
TONY WHITE
ops@globexair.com</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</si>
</sst>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0\-0000\ 0000"/>
    <numFmt numFmtId="177" formatCode="0\ &quot;PKGS&quot;"/>
    <numFmt numFmtId="178" formatCode="[$-409]mmmm\ d\,\ yyyy;@"/>
    <numFmt numFmtId="179" formatCode="dd/mmm/yyyy"/>
    <numFmt numFmtId="180" formatCode="0.00\ &quot;KG&quot;"/>
    <numFmt numFmtId="181" formatCode="00.00\ &quot;KG&quot;"/>
  </numFmts>
  <fonts count="58">
    <font>
      <sz val="12"/>
      <color theme="1"/>
      <name val="新細明體"/>
      <family val="2"/>
      <charset val="134"/>
      <scheme val="minor"/>
    </font>
    <font>
      <sz val="9"/>
      <name val="新細明體"/>
      <family val="2"/>
      <charset val="134"/>
      <scheme val="minor"/>
    </font>
    <font>
      <sz val="12"/>
      <color rgb="FF000000"/>
      <name val="宋体"/>
      <family val="3"/>
      <charset val="136"/>
    </font>
    <font>
      <sz val="8"/>
      <color rgb="FF000000"/>
      <name val="宋体"/>
    </font>
    <font>
      <sz val="6"/>
      <color rgb="FF000000"/>
      <name val="宋体"/>
    </font>
    <font>
      <b/>
      <sz val="8"/>
      <color rgb="FF000000"/>
      <name val="宋体"/>
    </font>
    <font>
      <b/>
      <sz val="10"/>
      <color rgb="FF000000"/>
      <name val="宋体"/>
    </font>
    <font>
      <b/>
      <sz val="14"/>
      <color rgb="FF000000"/>
      <name val="宋体"/>
    </font>
    <font>
      <b/>
      <sz val="9"/>
      <color rgb="FF000000"/>
      <name val="宋体"/>
    </font>
    <font>
      <b/>
      <sz val="16"/>
      <color rgb="FFFF0000"/>
      <name val="宋体"/>
    </font>
    <font>
      <sz val="12"/>
      <color rgb="FF000000"/>
      <name val="Calibri"/>
      <family val="2"/>
    </font>
    <font>
      <sz val="8"/>
      <color rgb="FF000000"/>
      <name val="Calibri"/>
      <family val="2"/>
    </font>
    <font>
      <sz val="11"/>
      <color theme="1"/>
      <name val="新細明體"/>
      <family val="2"/>
      <scheme val="minor"/>
    </font>
    <font>
      <sz val="20"/>
      <color rgb="FF000000"/>
      <name val="Calibri"/>
      <family val="2"/>
    </font>
    <font>
      <sz val="20"/>
      <color indexed="8"/>
      <name val="Calibri"/>
      <family val="2"/>
    </font>
    <font>
      <sz val="11"/>
      <color theme="1"/>
      <name val="Calibri"/>
      <family val="2"/>
    </font>
    <font>
      <sz val="10"/>
      <name val="Calibri"/>
      <family val="2"/>
    </font>
    <font>
      <sz val="11"/>
      <name val="Calibri"/>
      <family val="2"/>
    </font>
    <font>
      <b/>
      <sz val="11"/>
      <color theme="1"/>
      <name val="Calibri"/>
      <family val="2"/>
    </font>
    <font>
      <sz val="9"/>
      <color theme="1"/>
      <name val="Calibri"/>
      <family val="2"/>
    </font>
    <font>
      <b/>
      <sz val="9"/>
      <color rgb="FFFF0000"/>
      <name val="Calibri"/>
      <family val="2"/>
    </font>
    <font>
      <b/>
      <sz val="9"/>
      <color theme="1"/>
      <name val="Calibri"/>
      <family val="2"/>
    </font>
    <font>
      <b/>
      <sz val="10"/>
      <color theme="1"/>
      <name val="Calibri"/>
      <family val="2"/>
    </font>
    <font>
      <sz val="10"/>
      <color theme="1"/>
      <name val="Calibri"/>
      <family val="2"/>
    </font>
    <font>
      <sz val="12"/>
      <color theme="1"/>
      <name val="Calibri"/>
      <family val="2"/>
    </font>
    <font>
      <sz val="9"/>
      <color rgb="FF002060"/>
      <name val="Calibri"/>
      <family val="2"/>
    </font>
    <font>
      <sz val="9"/>
      <color theme="6"/>
      <name val="Calibri"/>
      <family val="2"/>
    </font>
    <font>
      <u/>
      <sz val="9"/>
      <color theme="1"/>
      <name val="Calibri"/>
      <family val="2"/>
    </font>
    <font>
      <b/>
      <u/>
      <sz val="9"/>
      <color theme="8" tint="-0.499984740745262"/>
      <name val="Calibri"/>
      <family val="2"/>
    </font>
    <font>
      <b/>
      <u/>
      <sz val="9"/>
      <color rgb="FF002060"/>
      <name val="Calibri"/>
      <family val="2"/>
    </font>
    <font>
      <sz val="9"/>
      <color theme="1"/>
      <name val="新細明體"/>
      <family val="2"/>
      <charset val="136"/>
    </font>
    <font>
      <sz val="8.5"/>
      <color theme="1"/>
      <name val="Calibri"/>
      <family val="2"/>
    </font>
    <font>
      <sz val="18"/>
      <color theme="1"/>
      <name val="Calibri"/>
      <family val="2"/>
    </font>
    <font>
      <sz val="11"/>
      <color theme="3"/>
      <name val="Calibri"/>
      <family val="2"/>
    </font>
    <font>
      <b/>
      <sz val="12"/>
      <color theme="1"/>
      <name val="Calibri"/>
      <family val="2"/>
    </font>
    <font>
      <sz val="9"/>
      <name val="新細明體"/>
      <family val="3"/>
      <charset val="136"/>
      <scheme val="minor"/>
    </font>
    <font>
      <sz val="10"/>
      <color rgb="FF000000"/>
      <name val="Calibri"/>
      <family val="2"/>
    </font>
    <font>
      <sz val="9"/>
      <color rgb="FF000000"/>
      <name val="Calibri"/>
      <family val="2"/>
    </font>
    <font>
      <sz val="6"/>
      <color rgb="FF000000"/>
      <name val="Calibri"/>
      <family val="2"/>
    </font>
    <font>
      <b/>
      <sz val="16"/>
      <color rgb="FF000000"/>
      <name val="Calibri"/>
      <family val="2"/>
    </font>
    <font>
      <b/>
      <sz val="10"/>
      <color rgb="FF000000"/>
      <name val="Calibri"/>
      <family val="2"/>
    </font>
    <font>
      <b/>
      <sz val="9"/>
      <color rgb="FF000000"/>
      <name val="Calibri"/>
      <family val="2"/>
    </font>
    <font>
      <b/>
      <sz val="10"/>
      <color rgb="FF000000"/>
      <name val="微軟正黑體"/>
      <family val="2"/>
      <charset val="136"/>
    </font>
    <font>
      <b/>
      <sz val="9"/>
      <color rgb="FF000000"/>
      <name val="微軟正黑體"/>
      <family val="2"/>
      <charset val="136"/>
    </font>
    <font>
      <b/>
      <sz val="8"/>
      <color rgb="FF000000"/>
      <name val="微軟正黑體"/>
      <family val="2"/>
      <charset val="136"/>
    </font>
    <font>
      <sz val="8"/>
      <color rgb="FF000000"/>
      <name val="微軟正黑體"/>
      <family val="2"/>
      <charset val="136"/>
    </font>
    <font>
      <b/>
      <sz val="8"/>
      <color rgb="FF000000"/>
      <name val="Calibri"/>
      <family val="2"/>
    </font>
    <font>
      <u/>
      <sz val="8"/>
      <color rgb="FF000000"/>
      <name val="Calibri"/>
      <family val="2"/>
    </font>
    <font>
      <b/>
      <u/>
      <sz val="9"/>
      <color rgb="FF000000"/>
      <name val="Calibri"/>
      <family val="2"/>
    </font>
    <font>
      <b/>
      <sz val="10"/>
      <color rgb="FFFF0000"/>
      <name val="Calibri"/>
      <family val="2"/>
    </font>
    <font>
      <b/>
      <sz val="11"/>
      <name val="Calibri"/>
      <family val="2"/>
    </font>
    <font>
      <b/>
      <sz val="11"/>
      <color rgb="FF000000"/>
      <name val="微軟正黑體"/>
      <family val="2"/>
      <charset val="136"/>
    </font>
    <font>
      <b/>
      <sz val="11"/>
      <color rgb="FF000000"/>
      <name val="Calibri"/>
      <family val="2"/>
    </font>
    <font>
      <sz val="8"/>
      <color theme="1"/>
      <name val="Calibri"/>
      <family val="2"/>
    </font>
    <font>
      <u/>
      <sz val="8.5"/>
      <color theme="1"/>
      <name val="Calibri"/>
      <family val="2"/>
    </font>
    <font>
      <b/>
      <sz val="9"/>
      <color theme="0"/>
      <name val="Calibri"/>
      <family val="2"/>
    </font>
    <font>
      <b/>
      <sz val="9"/>
      <color rgb="FFFF0000"/>
      <name val="微軟正黑體"/>
      <family val="2"/>
      <charset val="136"/>
    </font>
    <font>
      <sz val="8"/>
      <color rgb="FF000000"/>
      <name val="Segoe UI"/>
      <family val="2"/>
    </font>
  </fonts>
  <fills count="4">
    <fill>
      <patternFill patternType="none"/>
    </fill>
    <fill>
      <patternFill patternType="gray125"/>
    </fill>
    <fill>
      <patternFill patternType="solid">
        <fgColor rgb="FFFFFFFF"/>
      </patternFill>
    </fill>
    <fill>
      <patternFill patternType="solid">
        <fgColor indexed="9"/>
        <bgColor indexed="64"/>
      </patternFill>
    </fill>
  </fills>
  <borders count="27">
    <border>
      <left/>
      <right/>
      <top/>
      <bottom/>
      <diagonal/>
    </border>
    <border>
      <left/>
      <right style="thin">
        <color rgb="FF000000"/>
      </right>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style="thin">
        <color rgb="FF000000"/>
      </right>
      <top/>
      <bottom style="thin">
        <color rgb="FF000000"/>
      </bottom>
      <diagonal/>
    </border>
    <border>
      <left style="thin">
        <color rgb="FF000000"/>
      </left>
      <right/>
      <top/>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diagonal/>
    </border>
    <border>
      <left style="thin">
        <color rgb="FF000000"/>
      </left>
      <right/>
      <top style="thin">
        <color rgb="FF000000"/>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
      <left/>
      <right/>
      <top/>
      <bottom style="thin">
        <color indexed="64"/>
      </bottom>
      <diagonal/>
    </border>
    <border>
      <left style="thin">
        <color indexed="64"/>
      </left>
      <right/>
      <top style="thin">
        <color indexed="64"/>
      </top>
      <bottom/>
      <diagonal/>
    </border>
    <border>
      <left/>
      <right/>
      <top style="thin">
        <color auto="1"/>
      </top>
      <bottom/>
      <diagonal/>
    </border>
    <border>
      <left/>
      <right style="thin">
        <color auto="1"/>
      </right>
      <top style="thin">
        <color auto="1"/>
      </top>
      <bottom/>
      <diagonal/>
    </border>
    <border>
      <left style="thin">
        <color indexed="64"/>
      </left>
      <right/>
      <top/>
      <bottom/>
      <diagonal/>
    </border>
    <border>
      <left/>
      <right style="thin">
        <color indexed="64"/>
      </right>
      <top/>
      <bottom/>
      <diagonal/>
    </border>
    <border>
      <left/>
      <right style="thin">
        <color auto="1"/>
      </right>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style="thin">
        <color auto="1"/>
      </left>
      <right/>
      <top style="thin">
        <color auto="1"/>
      </top>
      <bottom style="thin">
        <color auto="1"/>
      </bottom>
      <diagonal/>
    </border>
  </borders>
  <cellStyleXfs count="2">
    <xf numFmtId="0" fontId="0" fillId="0" borderId="0">
      <alignment vertical="center"/>
    </xf>
    <xf numFmtId="0" fontId="12" fillId="0" borderId="0"/>
  </cellStyleXfs>
  <cellXfs count="244">
    <xf numFmtId="0" fontId="0" fillId="0" borderId="0" xfId="0">
      <alignment vertical="center"/>
    </xf>
    <xf numFmtId="0" fontId="2" fillId="0" borderId="0" xfId="0" applyFont="1" applyAlignment="1"/>
    <xf numFmtId="0" fontId="3" fillId="0" borderId="0" xfId="0" applyFont="1" applyAlignment="1"/>
    <xf numFmtId="0" fontId="4" fillId="0" borderId="0" xfId="0" applyFont="1" applyAlignment="1"/>
    <xf numFmtId="0" fontId="5" fillId="0" borderId="0" xfId="0" applyFont="1" applyAlignment="1"/>
    <xf numFmtId="0" fontId="2" fillId="0" borderId="0" xfId="0" applyFont="1" applyAlignment="1">
      <alignment horizontal="left"/>
    </xf>
    <xf numFmtId="0" fontId="6" fillId="0" borderId="1" xfId="0" applyFont="1" applyBorder="1" applyAlignment="1">
      <alignment horizontal="center" textRotation="90"/>
    </xf>
    <xf numFmtId="0" fontId="7" fillId="0" borderId="7" xfId="0" applyFont="1" applyBorder="1" applyAlignment="1">
      <alignment horizontal="left" vertical="center" wrapText="1"/>
    </xf>
    <xf numFmtId="0" fontId="3" fillId="0" borderId="7" xfId="0" applyFont="1" applyBorder="1" applyAlignment="1">
      <alignment horizontal="left"/>
    </xf>
    <xf numFmtId="0" fontId="6" fillId="0" borderId="0" xfId="0" applyFont="1" applyAlignment="1">
      <alignment horizontal="center" textRotation="90"/>
    </xf>
    <xf numFmtId="0" fontId="6" fillId="0" borderId="0" xfId="0" applyFont="1" applyAlignment="1">
      <alignment textRotation="90"/>
    </xf>
    <xf numFmtId="0" fontId="8" fillId="0" borderId="0" xfId="0" applyFont="1" applyAlignment="1">
      <alignment horizontal="center" textRotation="90"/>
    </xf>
    <xf numFmtId="0" fontId="7" fillId="0" borderId="7" xfId="0" applyFont="1" applyBorder="1" applyAlignment="1">
      <alignment vertical="top" wrapText="1"/>
    </xf>
    <xf numFmtId="0" fontId="7" fillId="0" borderId="5" xfId="0" applyFont="1" applyBorder="1" applyAlignment="1">
      <alignment vertical="top" wrapText="1"/>
    </xf>
    <xf numFmtId="0" fontId="8" fillId="0" borderId="0" xfId="0" applyFont="1" applyAlignment="1"/>
    <xf numFmtId="0" fontId="10" fillId="0" borderId="0" xfId="0" applyFont="1">
      <alignment vertical="center"/>
    </xf>
    <xf numFmtId="0" fontId="15" fillId="0" borderId="0" xfId="1" applyFont="1"/>
    <xf numFmtId="0" fontId="17" fillId="0" borderId="0" xfId="1" applyFont="1"/>
    <xf numFmtId="0" fontId="19" fillId="0" borderId="0" xfId="1" applyFont="1" applyAlignment="1">
      <alignment horizontal="center"/>
    </xf>
    <xf numFmtId="0" fontId="19" fillId="0" borderId="0" xfId="1" applyFont="1"/>
    <xf numFmtId="0" fontId="22" fillId="0" borderId="0" xfId="1" applyFont="1"/>
    <xf numFmtId="0" fontId="23" fillId="0" borderId="0" xfId="1" applyFont="1"/>
    <xf numFmtId="0" fontId="19" fillId="0" borderId="0" xfId="1" applyFont="1" applyAlignment="1">
      <alignment horizontal="right"/>
    </xf>
    <xf numFmtId="0" fontId="15" fillId="0" borderId="17" xfId="1" applyFont="1" applyBorder="1"/>
    <xf numFmtId="0" fontId="15" fillId="0" borderId="18" xfId="1" applyFont="1" applyBorder="1"/>
    <xf numFmtId="0" fontId="15" fillId="0" borderId="19" xfId="1" applyFont="1" applyBorder="1"/>
    <xf numFmtId="0" fontId="21" fillId="0" borderId="20" xfId="1" applyFont="1" applyBorder="1"/>
    <xf numFmtId="0" fontId="19" fillId="0" borderId="21" xfId="1" applyFont="1" applyBorder="1"/>
    <xf numFmtId="0" fontId="15" fillId="0" borderId="20" xfId="1" applyFont="1" applyBorder="1"/>
    <xf numFmtId="0" fontId="15" fillId="0" borderId="25" xfId="1" applyFont="1" applyBorder="1"/>
    <xf numFmtId="0" fontId="15" fillId="0" borderId="16" xfId="1" applyFont="1" applyBorder="1"/>
    <xf numFmtId="0" fontId="15" fillId="0" borderId="22" xfId="1" applyFont="1" applyBorder="1"/>
    <xf numFmtId="0" fontId="18" fillId="0" borderId="0" xfId="1" applyFont="1"/>
    <xf numFmtId="0" fontId="21" fillId="0" borderId="24" xfId="1" applyFont="1" applyBorder="1"/>
    <xf numFmtId="0" fontId="27" fillId="0" borderId="0" xfId="1" applyFont="1"/>
    <xf numFmtId="0" fontId="30" fillId="0" borderId="0" xfId="1" applyFont="1" applyAlignment="1">
      <alignment horizontal="right"/>
    </xf>
    <xf numFmtId="0" fontId="31" fillId="0" borderId="0" xfId="1" applyFont="1"/>
    <xf numFmtId="0" fontId="19" fillId="0" borderId="16" xfId="1" applyFont="1" applyBorder="1"/>
    <xf numFmtId="0" fontId="19" fillId="0" borderId="23" xfId="1" applyFont="1" applyBorder="1"/>
    <xf numFmtId="0" fontId="15" fillId="0" borderId="0" xfId="1" applyFont="1" applyAlignment="1">
      <alignment shrinkToFit="1"/>
    </xf>
    <xf numFmtId="0" fontId="11" fillId="0" borderId="4" xfId="0" applyFont="1" applyBorder="1" applyAlignment="1"/>
    <xf numFmtId="0" fontId="39" fillId="0" borderId="5" xfId="0" applyFont="1" applyBorder="1" applyAlignment="1">
      <alignment horizontal="left" vertical="center" wrapText="1" indent="1"/>
    </xf>
    <xf numFmtId="0" fontId="44" fillId="0" borderId="0" xfId="0" applyFont="1" applyAlignment="1"/>
    <xf numFmtId="0" fontId="45" fillId="0" borderId="0" xfId="0" applyFont="1" applyAlignment="1"/>
    <xf numFmtId="0" fontId="10" fillId="0" borderId="0" xfId="0" applyFont="1" applyAlignment="1"/>
    <xf numFmtId="0" fontId="37" fillId="0" borderId="0" xfId="0" applyFont="1">
      <alignment vertical="center"/>
    </xf>
    <xf numFmtId="0" fontId="11" fillId="0" borderId="10" xfId="0" applyFont="1" applyBorder="1" applyAlignment="1">
      <alignment horizontal="left" indent="1"/>
    </xf>
    <xf numFmtId="0" fontId="11" fillId="0" borderId="8" xfId="0" applyFont="1" applyBorder="1" applyAlignment="1">
      <alignment horizontal="left" indent="1"/>
    </xf>
    <xf numFmtId="0" fontId="11" fillId="0" borderId="6" xfId="0" applyFont="1" applyBorder="1" applyAlignment="1">
      <alignment horizontal="left" indent="1"/>
    </xf>
    <xf numFmtId="0" fontId="11" fillId="0" borderId="7" xfId="0" applyFont="1" applyBorder="1" applyAlignment="1">
      <alignment horizontal="left" wrapText="1" indent="1"/>
    </xf>
    <xf numFmtId="0" fontId="38" fillId="0" borderId="5" xfId="0" applyFont="1" applyBorder="1" applyAlignment="1"/>
    <xf numFmtId="0" fontId="46" fillId="0" borderId="13" xfId="0" applyFont="1" applyBorder="1">
      <alignment vertical="center"/>
    </xf>
    <xf numFmtId="0" fontId="46" fillId="0" borderId="14" xfId="0" applyFont="1" applyBorder="1" applyAlignment="1">
      <alignment vertical="center" wrapText="1"/>
    </xf>
    <xf numFmtId="0" fontId="46" fillId="0" borderId="14" xfId="0" applyFont="1" applyBorder="1">
      <alignment vertical="center"/>
    </xf>
    <xf numFmtId="0" fontId="38" fillId="0" borderId="1" xfId="0" applyFont="1" applyBorder="1" applyAlignment="1"/>
    <xf numFmtId="0" fontId="11" fillId="0" borderId="10" xfId="0" applyFont="1" applyBorder="1" applyAlignment="1">
      <alignment vertical="top"/>
    </xf>
    <xf numFmtId="0" fontId="36" fillId="0" borderId="15" xfId="0" applyFont="1" applyBorder="1" applyAlignment="1">
      <alignment horizontal="center" vertical="top"/>
    </xf>
    <xf numFmtId="0" fontId="36" fillId="0" borderId="9" xfId="0" applyFont="1" applyBorder="1" applyAlignment="1">
      <alignment horizontal="center" vertical="top"/>
    </xf>
    <xf numFmtId="0" fontId="11" fillId="0" borderId="4" xfId="0" applyFont="1" applyBorder="1" applyAlignment="1">
      <alignment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47" fillId="0" borderId="4" xfId="0" applyFont="1" applyBorder="1" applyAlignment="1">
      <alignment horizontal="left" indent="1"/>
    </xf>
    <xf numFmtId="0" fontId="11" fillId="0" borderId="9" xfId="0" applyFont="1" applyBorder="1" applyAlignment="1">
      <alignment horizontal="left"/>
    </xf>
    <xf numFmtId="0" fontId="38" fillId="0" borderId="9" xfId="0" applyFont="1" applyBorder="1" applyAlignment="1">
      <alignment horizontal="left" indent="1"/>
    </xf>
    <xf numFmtId="0" fontId="38" fillId="0" borderId="8" xfId="0" applyFont="1" applyBorder="1" applyAlignment="1">
      <alignment horizontal="left" vertical="center"/>
    </xf>
    <xf numFmtId="0" fontId="38" fillId="0" borderId="9" xfId="0" applyFont="1" applyBorder="1">
      <alignment vertical="center"/>
    </xf>
    <xf numFmtId="0" fontId="38" fillId="0" borderId="10" xfId="0" applyFont="1" applyBorder="1" applyAlignment="1">
      <alignment horizontal="left" vertical="center"/>
    </xf>
    <xf numFmtId="0" fontId="38" fillId="0" borderId="9" xfId="0" applyFont="1" applyBorder="1" applyAlignment="1">
      <alignment horizontal="center" vertical="center"/>
    </xf>
    <xf numFmtId="0" fontId="11" fillId="0" borderId="5" xfId="0" applyFont="1" applyBorder="1" applyAlignment="1"/>
    <xf numFmtId="0" fontId="11" fillId="0" borderId="11" xfId="0" applyFont="1" applyBorder="1" applyAlignment="1"/>
    <xf numFmtId="0" fontId="11" fillId="0" borderId="12" xfId="0" applyFont="1" applyBorder="1" applyAlignment="1">
      <alignment horizontal="center"/>
    </xf>
    <xf numFmtId="0" fontId="11" fillId="0" borderId="11" xfId="0" applyFont="1" applyBorder="1" applyAlignment="1">
      <alignment horizontal="center"/>
    </xf>
    <xf numFmtId="0" fontId="11" fillId="0" borderId="0" xfId="0" applyFont="1" applyAlignment="1"/>
    <xf numFmtId="0" fontId="11" fillId="0" borderId="12" xfId="0" applyFont="1" applyBorder="1" applyAlignment="1"/>
    <xf numFmtId="0" fontId="49" fillId="0" borderId="13" xfId="0" applyFont="1" applyBorder="1" applyAlignment="1"/>
    <xf numFmtId="0" fontId="11" fillId="0" borderId="2" xfId="0" applyFont="1" applyBorder="1" applyAlignment="1"/>
    <xf numFmtId="0" fontId="11" fillId="0" borderId="3" xfId="0" applyFont="1" applyBorder="1" applyAlignment="1"/>
    <xf numFmtId="0" fontId="11" fillId="0" borderId="6" xfId="0" applyFont="1" applyBorder="1" applyAlignment="1"/>
    <xf numFmtId="0" fontId="11" fillId="0" borderId="1" xfId="0" applyFont="1" applyBorder="1" applyAlignment="1"/>
    <xf numFmtId="14" fontId="11" fillId="0" borderId="1" xfId="0" applyNumberFormat="1" applyFont="1" applyBorder="1" applyAlignment="1">
      <alignment horizontal="left"/>
    </xf>
    <xf numFmtId="14" fontId="11" fillId="0" borderId="0" xfId="0" applyNumberFormat="1" applyFont="1" applyAlignment="1">
      <alignment horizontal="left"/>
    </xf>
    <xf numFmtId="0" fontId="11" fillId="0" borderId="9" xfId="0" applyFont="1" applyBorder="1" applyAlignment="1"/>
    <xf numFmtId="0" fontId="11" fillId="0" borderId="8" xfId="0" applyFont="1" applyBorder="1" applyAlignment="1">
      <alignment horizontal="left" wrapText="1" indent="1"/>
    </xf>
    <xf numFmtId="0" fontId="38" fillId="0" borderId="15" xfId="0" applyFont="1" applyBorder="1" applyAlignment="1">
      <alignment vertical="top"/>
    </xf>
    <xf numFmtId="0" fontId="38" fillId="0" borderId="9" xfId="0" applyFont="1" applyBorder="1" applyAlignment="1">
      <alignment vertical="top"/>
    </xf>
    <xf numFmtId="0" fontId="38" fillId="0" borderId="12" xfId="0" applyFont="1" applyBorder="1" applyAlignment="1">
      <alignment vertical="top"/>
    </xf>
    <xf numFmtId="0" fontId="38" fillId="0" borderId="11" xfId="0" applyFont="1" applyBorder="1" applyAlignment="1">
      <alignment vertical="top"/>
    </xf>
    <xf numFmtId="179" fontId="52" fillId="0" borderId="6" xfId="0" applyNumberFormat="1" applyFont="1" applyBorder="1" applyAlignment="1">
      <alignment horizontal="left" indent="1"/>
    </xf>
    <xf numFmtId="0" fontId="53" fillId="0" borderId="0" xfId="1" applyFont="1"/>
    <xf numFmtId="0" fontId="53" fillId="0" borderId="16" xfId="1" applyFont="1" applyBorder="1"/>
    <xf numFmtId="0" fontId="53" fillId="0" borderId="23" xfId="1" applyFont="1" applyBorder="1"/>
    <xf numFmtId="0" fontId="54" fillId="0" borderId="0" xfId="1" applyFont="1"/>
    <xf numFmtId="1" fontId="51" fillId="0" borderId="7" xfId="0" applyNumberFormat="1" applyFont="1" applyBorder="1" applyAlignment="1">
      <alignment horizontal="center" vertical="center" wrapText="1"/>
    </xf>
    <xf numFmtId="1" fontId="7" fillId="0" borderId="7" xfId="0" applyNumberFormat="1" applyFont="1" applyBorder="1" applyAlignment="1">
      <alignment horizontal="left" vertical="center" wrapText="1"/>
    </xf>
    <xf numFmtId="1" fontId="3" fillId="0" borderId="7" xfId="0" applyNumberFormat="1" applyFont="1" applyBorder="1" applyAlignment="1">
      <alignment horizontal="left"/>
    </xf>
    <xf numFmtId="1" fontId="3" fillId="0" borderId="5" xfId="0" applyNumberFormat="1" applyFont="1" applyBorder="1" applyAlignment="1">
      <alignment horizontal="left"/>
    </xf>
    <xf numFmtId="0" fontId="42" fillId="0" borderId="0" xfId="0" applyFont="1" applyAlignment="1">
      <alignment textRotation="90"/>
    </xf>
    <xf numFmtId="0" fontId="41" fillId="2" borderId="4" xfId="0" applyFont="1" applyFill="1" applyBorder="1" applyAlignment="1">
      <alignment horizontal="left"/>
    </xf>
    <xf numFmtId="0" fontId="41" fillId="2" borderId="12" xfId="0" applyFont="1" applyFill="1" applyBorder="1" applyAlignment="1">
      <alignment horizontal="left"/>
    </xf>
    <xf numFmtId="0" fontId="41" fillId="2" borderId="11" xfId="0" applyFont="1" applyFill="1" applyBorder="1" applyAlignment="1">
      <alignment horizontal="left"/>
    </xf>
    <xf numFmtId="0" fontId="20" fillId="0" borderId="6" xfId="0" applyFont="1" applyBorder="1" applyAlignment="1">
      <alignment horizontal="center"/>
    </xf>
    <xf numFmtId="0" fontId="20" fillId="0" borderId="0" xfId="0" applyFont="1" applyAlignment="1">
      <alignment horizontal="center"/>
    </xf>
    <xf numFmtId="0" fontId="20" fillId="0" borderId="1" xfId="0" applyFont="1" applyBorder="1" applyAlignment="1">
      <alignment horizontal="center"/>
    </xf>
    <xf numFmtId="0" fontId="11" fillId="0" borderId="0" xfId="0" applyFont="1" applyAlignment="1"/>
    <xf numFmtId="0" fontId="11" fillId="0" borderId="1" xfId="0" applyFont="1" applyBorder="1" applyAlignment="1"/>
    <xf numFmtId="0" fontId="43" fillId="0" borderId="1" xfId="0" applyFont="1" applyBorder="1" applyAlignment="1">
      <alignment horizontal="center" textRotation="90"/>
    </xf>
    <xf numFmtId="0" fontId="42" fillId="0" borderId="0" xfId="0" applyFont="1" applyAlignment="1">
      <alignment horizontal="center" textRotation="90"/>
    </xf>
    <xf numFmtId="0" fontId="11" fillId="0" borderId="0" xfId="0" applyFont="1" applyAlignment="1">
      <alignment horizontal="center"/>
    </xf>
    <xf numFmtId="0" fontId="11" fillId="0" borderId="1" xfId="0" applyFont="1" applyBorder="1" applyAlignment="1">
      <alignment horizontal="center"/>
    </xf>
    <xf numFmtId="0" fontId="20" fillId="0" borderId="4" xfId="0" applyFont="1" applyBorder="1" applyAlignment="1">
      <alignment horizontal="center"/>
    </xf>
    <xf numFmtId="0" fontId="20" fillId="0" borderId="12" xfId="0" applyFont="1" applyBorder="1" applyAlignment="1">
      <alignment horizontal="center"/>
    </xf>
    <xf numFmtId="0" fontId="20" fillId="0" borderId="11" xfId="0" applyFont="1" applyBorder="1" applyAlignment="1">
      <alignment horizontal="center"/>
    </xf>
    <xf numFmtId="0" fontId="48" fillId="0" borderId="10" xfId="0" applyFont="1" applyBorder="1" applyAlignment="1">
      <alignment horizontal="left"/>
    </xf>
    <xf numFmtId="0" fontId="48" fillId="0" borderId="15" xfId="0" applyFont="1" applyBorder="1" applyAlignment="1">
      <alignment horizontal="left"/>
    </xf>
    <xf numFmtId="0" fontId="48" fillId="0" borderId="9" xfId="0" applyFont="1" applyBorder="1" applyAlignment="1">
      <alignment horizontal="left"/>
    </xf>
    <xf numFmtId="180" fontId="3" fillId="0" borderId="6" xfId="0" applyNumberFormat="1" applyFont="1" applyBorder="1" applyAlignment="1">
      <alignment horizontal="left"/>
    </xf>
    <xf numFmtId="180" fontId="3" fillId="0" borderId="1" xfId="0" applyNumberFormat="1" applyFont="1" applyBorder="1" applyAlignment="1">
      <alignment horizontal="left"/>
    </xf>
    <xf numFmtId="0" fontId="41" fillId="2" borderId="6" xfId="0" applyFont="1" applyFill="1" applyBorder="1" applyAlignment="1">
      <alignment horizontal="left"/>
    </xf>
    <xf numFmtId="0" fontId="41" fillId="2" borderId="0" xfId="0" applyFont="1" applyFill="1" applyAlignment="1">
      <alignment horizontal="left"/>
    </xf>
    <xf numFmtId="0" fontId="41" fillId="2" borderId="1" xfId="0" applyFont="1" applyFill="1" applyBorder="1" applyAlignment="1">
      <alignment horizontal="left"/>
    </xf>
    <xf numFmtId="0" fontId="43" fillId="0" borderId="0" xfId="0" applyFont="1" applyAlignment="1">
      <alignment horizontal="center" textRotation="90"/>
    </xf>
    <xf numFmtId="0" fontId="41" fillId="0" borderId="6" xfId="0" applyFont="1" applyBorder="1" applyAlignment="1">
      <alignment horizontal="left" vertical="top" wrapText="1" indent="1"/>
    </xf>
    <xf numFmtId="0" fontId="41" fillId="0" borderId="1" xfId="0" applyFont="1" applyBorder="1" applyAlignment="1">
      <alignment horizontal="left" vertical="top" wrapText="1" indent="1"/>
    </xf>
    <xf numFmtId="0" fontId="41" fillId="0" borderId="4" xfId="0" applyFont="1" applyBorder="1" applyAlignment="1">
      <alignment horizontal="left" vertical="top" wrapText="1" indent="1"/>
    </xf>
    <xf numFmtId="0" fontId="41" fillId="0" borderId="11" xfId="0" applyFont="1" applyBorder="1" applyAlignment="1">
      <alignment horizontal="left" vertical="top" wrapText="1" indent="1"/>
    </xf>
    <xf numFmtId="0" fontId="20" fillId="0" borderId="10" xfId="0" applyFont="1" applyBorder="1" applyAlignment="1">
      <alignment horizontal="center"/>
    </xf>
    <xf numFmtId="0" fontId="20" fillId="0" borderId="9" xfId="0" applyFont="1" applyBorder="1" applyAlignment="1">
      <alignment horizontal="center"/>
    </xf>
    <xf numFmtId="0" fontId="46" fillId="0" borderId="14" xfId="0" applyFont="1" applyBorder="1">
      <alignment vertical="center"/>
    </xf>
    <xf numFmtId="0" fontId="36" fillId="0" borderId="6" xfId="0" applyFont="1" applyBorder="1" applyAlignment="1">
      <alignment horizontal="center"/>
    </xf>
    <xf numFmtId="0" fontId="36" fillId="0" borderId="0" xfId="0" applyFont="1" applyAlignment="1">
      <alignment horizontal="center"/>
    </xf>
    <xf numFmtId="0" fontId="36" fillId="0" borderId="1" xfId="0" applyFont="1" applyBorder="1" applyAlignment="1">
      <alignment horizontal="center"/>
    </xf>
    <xf numFmtId="0" fontId="36" fillId="0" borderId="4" xfId="0" applyFont="1" applyBorder="1" applyAlignment="1">
      <alignment horizontal="center"/>
    </xf>
    <xf numFmtId="0" fontId="36" fillId="0" borderId="12" xfId="0" applyFont="1" applyBorder="1" applyAlignment="1">
      <alignment horizontal="center"/>
    </xf>
    <xf numFmtId="0" fontId="36" fillId="0" borderId="11" xfId="0" applyFont="1" applyBorder="1" applyAlignment="1">
      <alignment horizontal="center"/>
    </xf>
    <xf numFmtId="0" fontId="11" fillId="0" borderId="10" xfId="0" applyFont="1" applyBorder="1" applyAlignment="1">
      <alignment horizontal="left" indent="1"/>
    </xf>
    <xf numFmtId="0" fontId="11" fillId="0" borderId="15" xfId="0" applyFont="1" applyBorder="1" applyAlignment="1">
      <alignment horizontal="left" indent="1"/>
    </xf>
    <xf numFmtId="0" fontId="11" fillId="0" borderId="6" xfId="0" applyFont="1" applyBorder="1" applyAlignment="1">
      <alignment horizontal="left" indent="1"/>
    </xf>
    <xf numFmtId="0" fontId="11" fillId="0" borderId="0" xfId="0" applyFont="1" applyAlignment="1">
      <alignment horizontal="left" indent="1"/>
    </xf>
    <xf numFmtId="0" fontId="38" fillId="0" borderId="15" xfId="0" applyFont="1" applyBorder="1" applyAlignment="1">
      <alignment horizontal="center" vertical="top"/>
    </xf>
    <xf numFmtId="0" fontId="38" fillId="0" borderId="9" xfId="0" applyFont="1" applyBorder="1" applyAlignment="1">
      <alignment horizontal="center" vertical="top"/>
    </xf>
    <xf numFmtId="0" fontId="38" fillId="0" borderId="12" xfId="0" applyFont="1" applyBorder="1" applyAlignment="1">
      <alignment horizontal="center" vertical="top"/>
    </xf>
    <xf numFmtId="0" fontId="38" fillId="0" borderId="11" xfId="0" applyFont="1" applyBorder="1" applyAlignment="1">
      <alignment horizontal="center" vertical="top"/>
    </xf>
    <xf numFmtId="0" fontId="11" fillId="0" borderId="10" xfId="0" applyFont="1" applyBorder="1" applyAlignment="1">
      <alignment horizontal="left" vertical="top"/>
    </xf>
    <xf numFmtId="0" fontId="11" fillId="0" borderId="4" xfId="0" applyFont="1" applyBorder="1" applyAlignment="1">
      <alignment horizontal="left" vertical="top"/>
    </xf>
    <xf numFmtId="0" fontId="41" fillId="0" borderId="0" xfId="0" applyFont="1" applyAlignment="1">
      <alignment horizontal="center" textRotation="90"/>
    </xf>
    <xf numFmtId="0" fontId="41" fillId="0" borderId="1" xfId="0" applyFont="1" applyBorder="1" applyAlignment="1">
      <alignment horizontal="left" vertical="top" indent="1"/>
    </xf>
    <xf numFmtId="0" fontId="41" fillId="0" borderId="6" xfId="0" applyFont="1" applyBorder="1" applyAlignment="1">
      <alignment horizontal="left" vertical="top" indent="1"/>
    </xf>
    <xf numFmtId="0" fontId="11" fillId="0" borderId="0" xfId="0" applyFont="1" applyAlignment="1">
      <alignment horizontal="left"/>
    </xf>
    <xf numFmtId="0" fontId="11" fillId="0" borderId="1" xfId="0" applyFont="1" applyBorder="1" applyAlignment="1">
      <alignment horizontal="left" indent="1"/>
    </xf>
    <xf numFmtId="0" fontId="50" fillId="0" borderId="6" xfId="0" applyFont="1" applyBorder="1" applyAlignment="1">
      <alignment horizontal="left" vertical="top" wrapText="1"/>
    </xf>
    <xf numFmtId="0" fontId="50" fillId="0" borderId="0" xfId="0" applyFont="1" applyAlignment="1">
      <alignment horizontal="left" vertical="top" wrapText="1"/>
    </xf>
    <xf numFmtId="0" fontId="50" fillId="0" borderId="1" xfId="0" applyFont="1" applyBorder="1" applyAlignment="1">
      <alignment horizontal="left" vertical="top" wrapText="1"/>
    </xf>
    <xf numFmtId="0" fontId="50" fillId="0" borderId="4" xfId="0" applyFont="1" applyBorder="1" applyAlignment="1">
      <alignment horizontal="left" vertical="top" wrapText="1"/>
    </xf>
    <xf numFmtId="0" fontId="50" fillId="0" borderId="12" xfId="0" applyFont="1" applyBorder="1" applyAlignment="1">
      <alignment horizontal="left" vertical="top" wrapText="1"/>
    </xf>
    <xf numFmtId="0" fontId="50" fillId="0" borderId="11" xfId="0" applyFont="1" applyBorder="1" applyAlignment="1">
      <alignment horizontal="left" vertical="top" wrapText="1"/>
    </xf>
    <xf numFmtId="0" fontId="40" fillId="0" borderId="6" xfId="0" applyFont="1" applyBorder="1" applyAlignment="1">
      <alignment horizontal="left" vertical="top" wrapText="1" indent="1"/>
    </xf>
    <xf numFmtId="0" fontId="40" fillId="0" borderId="1" xfId="0" applyFont="1" applyBorder="1" applyAlignment="1">
      <alignment horizontal="left" vertical="top" indent="1"/>
    </xf>
    <xf numFmtId="0" fontId="40" fillId="0" borderId="6" xfId="0" applyFont="1" applyBorder="1" applyAlignment="1">
      <alignment horizontal="left" vertical="top" indent="1"/>
    </xf>
    <xf numFmtId="0" fontId="40" fillId="0" borderId="4" xfId="0" applyFont="1" applyBorder="1" applyAlignment="1">
      <alignment horizontal="left" vertical="top" indent="1"/>
    </xf>
    <xf numFmtId="0" fontId="40" fillId="0" borderId="11" xfId="0" applyFont="1" applyBorder="1" applyAlignment="1">
      <alignment horizontal="left" vertical="top" indent="1"/>
    </xf>
    <xf numFmtId="0" fontId="11" fillId="0" borderId="15" xfId="0" applyFont="1" applyBorder="1" applyAlignment="1">
      <alignment horizontal="left" vertical="top" shrinkToFit="1"/>
    </xf>
    <xf numFmtId="0" fontId="38" fillId="0" borderId="0" xfId="0" applyFont="1" applyAlignment="1">
      <alignment horizontal="left" indent="1"/>
    </xf>
    <xf numFmtId="0" fontId="38" fillId="0" borderId="1" xfId="0" applyFont="1" applyBorder="1" applyAlignment="1">
      <alignment horizontal="left" indent="1"/>
    </xf>
    <xf numFmtId="0" fontId="38" fillId="0" borderId="15" xfId="0" applyFont="1" applyBorder="1" applyAlignment="1">
      <alignment horizontal="left" indent="1"/>
    </xf>
    <xf numFmtId="0" fontId="38" fillId="0" borderId="9" xfId="0" applyFont="1" applyBorder="1" applyAlignment="1">
      <alignment horizontal="left" indent="1"/>
    </xf>
    <xf numFmtId="0" fontId="20" fillId="0" borderId="15" xfId="0" applyFont="1" applyBorder="1" applyAlignment="1">
      <alignment horizontal="center"/>
    </xf>
    <xf numFmtId="181" fontId="51" fillId="0" borderId="10" xfId="0" applyNumberFormat="1" applyFont="1" applyBorder="1" applyAlignment="1">
      <alignment horizontal="center" vertical="center" wrapText="1"/>
    </xf>
    <xf numFmtId="180" fontId="51" fillId="0" borderId="9" xfId="0" applyNumberFormat="1" applyFont="1" applyBorder="1" applyAlignment="1">
      <alignment horizontal="center" vertical="center" wrapText="1"/>
    </xf>
    <xf numFmtId="0" fontId="36" fillId="0" borderId="15" xfId="0" applyFont="1" applyBorder="1" applyAlignment="1">
      <alignment horizontal="center" vertical="center"/>
    </xf>
    <xf numFmtId="0" fontId="36" fillId="0" borderId="9" xfId="0" applyFont="1" applyBorder="1" applyAlignment="1">
      <alignment horizontal="center" vertical="center"/>
    </xf>
    <xf numFmtId="0" fontId="36" fillId="0" borderId="0" xfId="0" applyFont="1" applyAlignment="1">
      <alignment horizontal="center" vertical="center"/>
    </xf>
    <xf numFmtId="0" fontId="36" fillId="0" borderId="1" xfId="0" applyFont="1" applyBorder="1" applyAlignment="1">
      <alignment horizontal="center" vertical="center"/>
    </xf>
    <xf numFmtId="0" fontId="50" fillId="0" borderId="8" xfId="0" applyFont="1" applyBorder="1" applyAlignment="1">
      <alignment horizontal="left" vertical="top" wrapText="1"/>
    </xf>
    <xf numFmtId="0" fontId="50" fillId="0" borderId="7" xfId="0" applyFont="1" applyBorder="1" applyAlignment="1">
      <alignment horizontal="left" vertical="top" wrapText="1"/>
    </xf>
    <xf numFmtId="0" fontId="50" fillId="0" borderId="5" xfId="0" applyFont="1" applyBorder="1" applyAlignment="1">
      <alignment horizontal="left" vertical="top" wrapText="1"/>
    </xf>
    <xf numFmtId="0" fontId="20" fillId="0" borderId="6" xfId="0" applyFont="1" applyBorder="1" applyAlignment="1">
      <alignment horizontal="center"/>
      <extLst>
        <ext xmlns:xfpb="http://schemas.microsoft.com/office/spreadsheetml/2022/featurepropertybag" uri="{C7286773-470A-42A8-94C5-96B5CB345126}">
          <xfpb:xfComplement i="0"/>
        </ext>
      </extLst>
    </xf>
    <xf numFmtId="0" fontId="20" fillId="0" borderId="1" xfId="0" applyFont="1" applyBorder="1" applyAlignment="1">
      <alignment horizontal="center"/>
      <extLst>
        <ext xmlns:xfpb="http://schemas.microsoft.com/office/spreadsheetml/2022/featurepropertybag" uri="{C7286773-470A-42A8-94C5-96B5CB345126}">
          <xfpb:xfComplement i="0"/>
        </ext>
      </extLst>
    </xf>
    <xf numFmtId="0" fontId="13" fillId="3" borderId="0" xfId="1" applyFont="1" applyFill="1" applyAlignment="1">
      <alignment horizontal="center" vertical="center" shrinkToFit="1"/>
    </xf>
    <xf numFmtId="0" fontId="14" fillId="3" borderId="0" xfId="1" applyFont="1" applyFill="1" applyAlignment="1">
      <alignment horizontal="center" vertical="center" shrinkToFit="1"/>
    </xf>
    <xf numFmtId="0" fontId="16" fillId="3" borderId="0" xfId="1" applyFont="1" applyFill="1" applyAlignment="1">
      <alignment horizontal="center" vertical="center" wrapText="1"/>
    </xf>
    <xf numFmtId="0" fontId="18" fillId="0" borderId="0" xfId="1" applyFont="1" applyAlignment="1">
      <alignment horizontal="center"/>
    </xf>
    <xf numFmtId="0" fontId="19" fillId="0" borderId="0" xfId="1" applyFont="1" applyAlignment="1">
      <alignment horizontal="center"/>
    </xf>
    <xf numFmtId="0" fontId="20" fillId="0" borderId="0" xfId="1" applyFont="1" applyAlignment="1">
      <alignment horizontal="center" shrinkToFit="1"/>
    </xf>
    <xf numFmtId="0" fontId="21" fillId="0" borderId="0" xfId="1" applyFont="1" applyAlignment="1">
      <alignment horizontal="left" shrinkToFit="1"/>
    </xf>
    <xf numFmtId="0" fontId="25" fillId="0" borderId="0" xfId="1" applyFont="1" applyAlignment="1">
      <alignment horizontal="right"/>
    </xf>
    <xf numFmtId="0" fontId="21" fillId="0" borderId="0" xfId="1" applyFont="1" applyAlignment="1">
      <alignment horizontal="center" wrapText="1"/>
    </xf>
    <xf numFmtId="0" fontId="19" fillId="0" borderId="0" xfId="1" applyFont="1" applyAlignment="1">
      <alignment horizontal="right"/>
    </xf>
    <xf numFmtId="176" fontId="24" fillId="0" borderId="16" xfId="1" applyNumberFormat="1" applyFont="1" applyBorder="1" applyAlignment="1">
      <alignment horizontal="center"/>
    </xf>
    <xf numFmtId="0" fontId="24" fillId="0" borderId="16" xfId="1" applyFont="1" applyBorder="1" applyAlignment="1">
      <alignment horizontal="center"/>
    </xf>
    <xf numFmtId="0" fontId="26" fillId="0" borderId="0" xfId="1" applyFont="1" applyAlignment="1">
      <alignment horizontal="right"/>
    </xf>
    <xf numFmtId="0" fontId="24" fillId="0" borderId="16" xfId="1" quotePrefix="1" applyFont="1" applyBorder="1" applyAlignment="1">
      <alignment horizontal="center"/>
    </xf>
    <xf numFmtId="0" fontId="19" fillId="0" borderId="20" xfId="1" applyFont="1" applyBorder="1" applyAlignment="1">
      <alignment horizontal="right"/>
    </xf>
    <xf numFmtId="0" fontId="15" fillId="0" borderId="0" xfId="1" applyFont="1" applyAlignment="1">
      <alignment horizontal="left" vertical="top" wrapText="1"/>
    </xf>
    <xf numFmtId="0" fontId="15" fillId="0" borderId="21" xfId="1" applyFont="1" applyBorder="1" applyAlignment="1">
      <alignment horizontal="left" vertical="top" wrapText="1"/>
    </xf>
    <xf numFmtId="0" fontId="15" fillId="0" borderId="16" xfId="1" applyFont="1" applyBorder="1" applyAlignment="1">
      <alignment horizontal="left" vertical="top" wrapText="1"/>
    </xf>
    <xf numFmtId="0" fontId="15" fillId="0" borderId="22" xfId="1" applyFont="1" applyBorder="1" applyAlignment="1">
      <alignment horizontal="left" vertical="top" wrapText="1"/>
    </xf>
    <xf numFmtId="0" fontId="15" fillId="0" borderId="23" xfId="1" quotePrefix="1" applyFont="1" applyBorder="1" applyAlignment="1">
      <alignment horizontal="left"/>
    </xf>
    <xf numFmtId="0" fontId="15" fillId="0" borderId="23" xfId="1" applyFont="1" applyBorder="1" applyAlignment="1">
      <alignment horizontal="left"/>
    </xf>
    <xf numFmtId="0" fontId="15" fillId="0" borderId="24" xfId="1" applyFont="1" applyBorder="1" applyAlignment="1">
      <alignment horizontal="left"/>
    </xf>
    <xf numFmtId="49" fontId="15" fillId="0" borderId="23" xfId="1" quotePrefix="1" applyNumberFormat="1" applyFont="1" applyBorder="1" applyAlignment="1">
      <alignment horizontal="left" wrapText="1"/>
    </xf>
    <xf numFmtId="0" fontId="21" fillId="0" borderId="26" xfId="1" applyFont="1" applyBorder="1" applyAlignment="1">
      <alignment horizontal="center"/>
    </xf>
    <xf numFmtId="0" fontId="21" fillId="0" borderId="23" xfId="1" applyFont="1" applyBorder="1" applyAlignment="1">
      <alignment horizontal="center"/>
    </xf>
    <xf numFmtId="0" fontId="21" fillId="0" borderId="24" xfId="1" applyFont="1" applyBorder="1" applyAlignment="1">
      <alignment horizontal="center"/>
    </xf>
    <xf numFmtId="0" fontId="21" fillId="0" borderId="17" xfId="1" applyFont="1" applyBorder="1" applyAlignment="1">
      <alignment horizontal="center"/>
    </xf>
    <xf numFmtId="0" fontId="19" fillId="0" borderId="18" xfId="1" applyFont="1" applyBorder="1" applyAlignment="1">
      <alignment horizontal="center"/>
    </xf>
    <xf numFmtId="0" fontId="19" fillId="0" borderId="19" xfId="1" applyFont="1" applyBorder="1" applyAlignment="1">
      <alignment horizontal="center"/>
    </xf>
    <xf numFmtId="0" fontId="19" fillId="0" borderId="17" xfId="1" applyFont="1" applyBorder="1" applyAlignment="1">
      <alignment horizontal="left"/>
    </xf>
    <xf numFmtId="0" fontId="19" fillId="0" borderId="18" xfId="1" applyFont="1" applyBorder="1" applyAlignment="1">
      <alignment horizontal="left"/>
    </xf>
    <xf numFmtId="177" fontId="19" fillId="0" borderId="17" xfId="1" applyNumberFormat="1" applyFont="1" applyBorder="1" applyAlignment="1">
      <alignment horizontal="center" vertical="center"/>
    </xf>
    <xf numFmtId="177" fontId="19" fillId="0" borderId="18" xfId="1" applyNumberFormat="1" applyFont="1" applyBorder="1" applyAlignment="1">
      <alignment horizontal="center" vertical="center"/>
    </xf>
    <xf numFmtId="177" fontId="19" fillId="0" borderId="19" xfId="1" applyNumberFormat="1" applyFont="1" applyBorder="1" applyAlignment="1">
      <alignment horizontal="center" vertical="center"/>
    </xf>
    <xf numFmtId="177" fontId="19" fillId="0" borderId="20" xfId="1" applyNumberFormat="1" applyFont="1" applyBorder="1" applyAlignment="1">
      <alignment horizontal="center" vertical="center"/>
    </xf>
    <xf numFmtId="177" fontId="19" fillId="0" borderId="0" xfId="1" applyNumberFormat="1" applyFont="1" applyAlignment="1">
      <alignment horizontal="center" vertical="center"/>
    </xf>
    <xf numFmtId="177" fontId="19" fillId="0" borderId="21" xfId="1" applyNumberFormat="1" applyFont="1" applyBorder="1" applyAlignment="1">
      <alignment horizontal="center" vertical="center"/>
    </xf>
    <xf numFmtId="177" fontId="19" fillId="0" borderId="25" xfId="1" applyNumberFormat="1" applyFont="1" applyBorder="1" applyAlignment="1">
      <alignment horizontal="center" vertical="center"/>
    </xf>
    <xf numFmtId="177" fontId="19" fillId="0" borderId="16" xfId="1" applyNumberFormat="1" applyFont="1" applyBorder="1" applyAlignment="1">
      <alignment horizontal="center" vertical="center"/>
    </xf>
    <xf numFmtId="177" fontId="19" fillId="0" borderId="22" xfId="1" applyNumberFormat="1" applyFont="1" applyBorder="1" applyAlignment="1">
      <alignment horizontal="center" vertical="center"/>
    </xf>
    <xf numFmtId="0" fontId="19" fillId="0" borderId="17" xfId="1" applyFont="1" applyBorder="1" applyAlignment="1">
      <alignment horizontal="center" vertical="center" wrapText="1"/>
    </xf>
    <xf numFmtId="0" fontId="19" fillId="0" borderId="18" xfId="1" applyFont="1" applyBorder="1" applyAlignment="1">
      <alignment horizontal="center" vertical="center" wrapText="1"/>
    </xf>
    <xf numFmtId="0" fontId="19" fillId="0" borderId="19" xfId="1" applyFont="1" applyBorder="1" applyAlignment="1">
      <alignment horizontal="center" vertical="center" wrapText="1"/>
    </xf>
    <xf numFmtId="0" fontId="19" fillId="0" borderId="20" xfId="1" applyFont="1" applyBorder="1" applyAlignment="1">
      <alignment horizontal="center" vertical="center" wrapText="1"/>
    </xf>
    <xf numFmtId="0" fontId="19" fillId="0" borderId="0" xfId="1" applyFont="1" applyAlignment="1">
      <alignment horizontal="center" vertical="center" wrapText="1"/>
    </xf>
    <xf numFmtId="0" fontId="19" fillId="0" borderId="21" xfId="1" applyFont="1" applyBorder="1" applyAlignment="1">
      <alignment horizontal="center" vertical="center" wrapText="1"/>
    </xf>
    <xf numFmtId="0" fontId="19" fillId="0" borderId="25" xfId="1" applyFont="1" applyBorder="1" applyAlignment="1">
      <alignment horizontal="center" vertical="center" wrapText="1"/>
    </xf>
    <xf numFmtId="0" fontId="19" fillId="0" borderId="16" xfId="1" applyFont="1" applyBorder="1" applyAlignment="1">
      <alignment horizontal="center" vertical="center" wrapText="1"/>
    </xf>
    <xf numFmtId="0" fontId="19" fillId="0" borderId="22" xfId="1" applyFont="1" applyBorder="1" applyAlignment="1">
      <alignment horizontal="center" vertical="center" wrapText="1"/>
    </xf>
    <xf numFmtId="0" fontId="19" fillId="0" borderId="20" xfId="1" applyFont="1" applyBorder="1" applyAlignment="1">
      <alignment horizontal="center"/>
    </xf>
    <xf numFmtId="0" fontId="19" fillId="0" borderId="21" xfId="1" applyFont="1" applyBorder="1" applyAlignment="1">
      <alignment horizontal="center"/>
    </xf>
    <xf numFmtId="0" fontId="19" fillId="0" borderId="25" xfId="1" applyFont="1" applyBorder="1" applyAlignment="1">
      <alignment horizontal="center"/>
    </xf>
    <xf numFmtId="0" fontId="19" fillId="0" borderId="16" xfId="1" applyFont="1" applyBorder="1" applyAlignment="1">
      <alignment horizontal="center"/>
    </xf>
    <xf numFmtId="0" fontId="19" fillId="0" borderId="22" xfId="1" applyFont="1" applyBorder="1" applyAlignment="1">
      <alignment horizontal="center"/>
    </xf>
    <xf numFmtId="0" fontId="21" fillId="0" borderId="18" xfId="1" applyFont="1" applyBorder="1" applyAlignment="1">
      <alignment horizontal="center"/>
    </xf>
    <xf numFmtId="0" fontId="21" fillId="0" borderId="19" xfId="1" applyFont="1" applyBorder="1" applyAlignment="1">
      <alignment horizontal="center"/>
    </xf>
    <xf numFmtId="0" fontId="21" fillId="0" borderId="0" xfId="1" applyFont="1" applyAlignment="1">
      <alignment horizontal="right"/>
    </xf>
    <xf numFmtId="179" fontId="19" fillId="0" borderId="16" xfId="1" applyNumberFormat="1" applyFont="1" applyBorder="1" applyAlignment="1">
      <alignment horizontal="center"/>
    </xf>
    <xf numFmtId="0" fontId="19" fillId="0" borderId="16" xfId="1" quotePrefix="1" applyFont="1" applyBorder="1" applyAlignment="1">
      <alignment horizontal="center"/>
    </xf>
    <xf numFmtId="0" fontId="32" fillId="0" borderId="0" xfId="1" applyFont="1" applyAlignment="1">
      <alignment horizontal="center" shrinkToFit="1"/>
    </xf>
    <xf numFmtId="0" fontId="33" fillId="0" borderId="16" xfId="1" applyFont="1" applyBorder="1" applyAlignment="1">
      <alignment horizontal="left" shrinkToFit="1"/>
    </xf>
    <xf numFmtId="0" fontId="15" fillId="0" borderId="0" xfId="1" applyFont="1" applyAlignment="1">
      <alignment horizontal="right" shrinkToFit="1"/>
    </xf>
    <xf numFmtId="178" fontId="15" fillId="0" borderId="0" xfId="1" applyNumberFormat="1" applyFont="1" applyAlignment="1">
      <alignment horizontal="left" shrinkToFit="1"/>
    </xf>
    <xf numFmtId="176" fontId="15" fillId="0" borderId="0" xfId="1" applyNumberFormat="1" applyFont="1" applyAlignment="1">
      <alignment horizontal="left" shrinkToFit="1"/>
    </xf>
    <xf numFmtId="0" fontId="15" fillId="0" borderId="0" xfId="1" applyFont="1" applyAlignment="1">
      <alignment horizontal="left" shrinkToFit="1"/>
    </xf>
    <xf numFmtId="0" fontId="15" fillId="0" borderId="0" xfId="1" applyFont="1" applyAlignment="1">
      <alignment horizontal="left" wrapText="1" shrinkToFit="1"/>
    </xf>
    <xf numFmtId="0" fontId="34" fillId="0" borderId="0" xfId="1" applyFont="1" applyAlignment="1">
      <alignment horizontal="center" shrinkToFit="1"/>
    </xf>
  </cellXfs>
  <cellStyles count="2">
    <cellStyle name="Normal" xfId="0" builtinId="0"/>
    <cellStyle name="Normal 3" xfId="1" xr:uid="{7E51A83D-12C2-4B9E-B3EE-074DCF6F073D}"/>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22/11/relationships/FeaturePropertyBag" Target="featurePropertyBag/featurePropertyBag.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calcChain" Target="calcChain.xml"/></Relationships>
</file>

<file path=xl/ctrlProps/ctrlProp1.xml><?xml version="1.0" encoding="utf-8"?>
<formControlPr xmlns="http://schemas.microsoft.com/office/spreadsheetml/2009/9/main" objectType="CheckBox" lockText="1" noThreeD="1"/>
</file>

<file path=xl/ctrlProps/ctrlProp2.xml><?xml version="1.0" encoding="utf-8"?>
<formControlPr xmlns="http://schemas.microsoft.com/office/spreadsheetml/2009/9/main" objectType="CheckBox" lockText="1" noThreeD="1"/>
</file>

<file path=xl/ctrlProps/ctrlProp3.xml><?xml version="1.0" encoding="utf-8"?>
<formControlPr xmlns="http://schemas.microsoft.com/office/spreadsheetml/2009/9/main" objectType="CheckBox" lockText="1" noThreeD="1"/>
</file>

<file path=xl/ctrlProps/ctrlProp4.xml><?xml version="1.0" encoding="utf-8"?>
<formControlPr xmlns="http://schemas.microsoft.com/office/spreadsheetml/2009/9/main" objectType="CheckBox" lockText="1" noThreeD="1"/>
</file>

<file path=xl/ctrlProps/ctrlProp5.xml><?xml version="1.0" encoding="utf-8"?>
<formControlPr xmlns="http://schemas.microsoft.com/office/spreadsheetml/2009/9/main" objectType="CheckBox" lockText="1" noThreeD="1"/>
</file>

<file path=xl/ctrlProps/ctrlProp6.xml><?xml version="1.0" encoding="utf-8"?>
<formControlPr xmlns="http://schemas.microsoft.com/office/spreadsheetml/2009/9/main" objectType="CheckBox" lockText="1" noThreeD="1"/>
</file>

<file path=xl/ctrlProps/ctrlProp7.xml><?xml version="1.0" encoding="utf-8"?>
<formControlPr xmlns="http://schemas.microsoft.com/office/spreadsheetml/2009/9/main" objectType="CheckBox" lockText="1" noThreeD="1"/>
</file>

<file path=xl/ctrlProps/ctrlProp8.xml><?xml version="1.0" encoding="utf-8"?>
<formControlPr xmlns="http://schemas.microsoft.com/office/spreadsheetml/2009/9/main" objectType="CheckBox" lockText="1" noThreeD="1"/>
</file>

<file path=xl/ctrlProps/ctrlProp9.xml><?xml version="1.0" encoding="utf-8"?>
<formControlPr xmlns="http://schemas.microsoft.com/office/spreadsheetml/2009/9/main" objectType="CheckBox" lockText="1" noThreeD="1"/>
</file>

<file path=xl/ctrlProps/ctrlProp10.xml><?xml version="1.0" encoding="utf-8"?>
<formControlPr xmlns="http://schemas.microsoft.com/office/spreadsheetml/2009/9/main" objectType="CheckBox" lockText="1" noThreeD="1"/>
</file>

<file path=xl/ctrlProps/ctrlProp11.xml><?xml version="1.0" encoding="utf-8"?>
<formControlPr xmlns="http://schemas.microsoft.com/office/spreadsheetml/2009/9/main" objectType="CheckBox" lockText="1" noThreeD="1"/>
</file>

<file path=xl/ctrlProps/ctrlProp12.xml><?xml version="1.0" encoding="utf-8"?>
<formControlPr xmlns="http://schemas.microsoft.com/office/spreadsheetml/2009/9/main" objectType="CheckBox" lockText="1" noThreeD="1"/>
</file>

<file path=xl/ctrlProps/ctrlProp13.xml><?xml version="1.0" encoding="utf-8"?>
<formControlPr xmlns="http://schemas.microsoft.com/office/spreadsheetml/2009/9/main" objectType="CheckBox" lockText="1" noThreeD="1"/>
</file>

<file path=xl/ctrlProps/ctrlProp14.xml><?xml version="1.0" encoding="utf-8"?>
<formControlPr xmlns="http://schemas.microsoft.com/office/spreadsheetml/2009/9/main" objectType="CheckBox" lockText="1" noThreeD="1"/>
</file>

<file path=xl/ctrlProps/ctrlProp15.xml><?xml version="1.0" encoding="utf-8"?>
<formControlPr xmlns="http://schemas.microsoft.com/office/spreadsheetml/2009/9/main" objectType="CheckBox" checked="Checked" lockText="1" noThreeD="1"/>
</file>

<file path=xl/ctrlProps/ctrlProp16.xml><?xml version="1.0" encoding="utf-8"?>
<formControlPr xmlns="http://schemas.microsoft.com/office/spreadsheetml/2009/9/main" objectType="CheckBox" lockText="1" noThreeD="1"/>
</file>

<file path=xl/ctrlProps/ctrlProp17.xml><?xml version="1.0" encoding="utf-8"?>
<formControlPr xmlns="http://schemas.microsoft.com/office/spreadsheetml/2009/9/main" objectType="CheckBox" lockText="1" noThreeD="1"/>
</file>

<file path=xl/ctrlProps/ctrlProp18.xml><?xml version="1.0" encoding="utf-8"?>
<formControlPr xmlns="http://schemas.microsoft.com/office/spreadsheetml/2009/9/main" objectType="CheckBox" lockText="1" noThreeD="1"/>
</file>

<file path=xl/ctrlProps/ctrlProp19.xml><?xml version="1.0" encoding="utf-8"?>
<formControlPr xmlns="http://schemas.microsoft.com/office/spreadsheetml/2009/9/main" objectType="CheckBox" lockText="1" noThreeD="1"/>
</file>

<file path=xl/ctrlProps/ctrlProp20.xml><?xml version="1.0" encoding="utf-8"?>
<formControlPr xmlns="http://schemas.microsoft.com/office/spreadsheetml/2009/9/main" objectType="CheckBox" lockText="1" noThreeD="1"/>
</file>

<file path=xl/ctrlProps/ctrlProp21.xml><?xml version="1.0" encoding="utf-8"?>
<formControlPr xmlns="http://schemas.microsoft.com/office/spreadsheetml/2009/9/main" objectType="CheckBox" checked="Checked" lockText="1" noThreeD="1"/>
</file>

<file path=xl/ctrlProps/ctrlProp22.xml><?xml version="1.0" encoding="utf-8"?>
<formControlPr xmlns="http://schemas.microsoft.com/office/spreadsheetml/2009/9/main" objectType="CheckBox" lockText="1" noThreeD="1"/>
</file>

<file path=xl/ctrlProps/ctrlProp23.xml><?xml version="1.0" encoding="utf-8"?>
<formControlPr xmlns="http://schemas.microsoft.com/office/spreadsheetml/2009/9/main" objectType="CheckBox" lockText="1" noThreeD="1"/>
</file>

<file path=xl/ctrlProps/ctrlProp24.xml><?xml version="1.0" encoding="utf-8"?>
<formControlPr xmlns="http://schemas.microsoft.com/office/spreadsheetml/2009/9/main" objectType="CheckBox" checked="Checked" lockText="1" noThreeD="1"/>
</file>

<file path=xl/ctrlProps/ctrlProp25.xml><?xml version="1.0" encoding="utf-8"?>
<formControlPr xmlns="http://schemas.microsoft.com/office/spreadsheetml/2009/9/main" objectType="CheckBox" lockText="1" noThreeD="1"/>
</file>

<file path=xl/ctrlProps/ctrlProp26.xml><?xml version="1.0" encoding="utf-8"?>
<formControlPr xmlns="http://schemas.microsoft.com/office/spreadsheetml/2009/9/main" objectType="CheckBox" lockText="1" noThreeD="1"/>
</file>

<file path=xl/ctrlProps/ctrlProp27.xml><?xml version="1.0" encoding="utf-8"?>
<formControlPr xmlns="http://schemas.microsoft.com/office/spreadsheetml/2009/9/main" objectType="CheckBox" lockText="1" noThreeD="1"/>
</file>

<file path=xl/ctrlProps/ctrlProp28.xml><?xml version="1.0" encoding="utf-8"?>
<formControlPr xmlns="http://schemas.microsoft.com/office/spreadsheetml/2009/9/main" objectType="CheckBox" checked="Checked" lockText="1" noThreeD="1"/>
</file>

<file path=xl/ctrlProps/ctrlProp29.xml><?xml version="1.0" encoding="utf-8"?>
<formControlPr xmlns="http://schemas.microsoft.com/office/spreadsheetml/2009/9/main" objectType="CheckBox" lockText="1" noThreeD="1"/>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5</xdr:col>
      <xdr:colOff>65759</xdr:colOff>
      <xdr:row>8</xdr:row>
      <xdr:rowOff>23081</xdr:rowOff>
    </xdr:from>
    <xdr:ext cx="3461239" cy="1057274"/>
    <xdr:sp macro="" textlink="">
      <xdr:nvSpPr>
        <xdr:cNvPr id="2626" name="shape3">
          <a:extLst>
            <a:ext uri="{FF2B5EF4-FFF2-40B4-BE49-F238E27FC236}">
              <a16:creationId xmlns:a16="http://schemas.microsoft.com/office/drawing/2014/main" id="{00000000-0008-0000-0000-0000420A0000}"/>
            </a:ext>
          </a:extLst>
        </xdr:cNvPr>
        <xdr:cNvSpPr/>
      </xdr:nvSpPr>
      <xdr:spPr>
        <a:xfrm>
          <a:off x="4935415" y="1600659"/>
          <a:ext cx="3461239" cy="1057274"/>
        </a:xfrm>
        <a:prstGeom prst="rect">
          <a:avLst/>
        </a:prstGeom>
        <a:solidFill>
          <a:srgbClr val="FFFFFF"/>
        </a:solid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1100" b="1" u="sng" baseline="0">
              <a:solidFill>
                <a:srgbClr val="000000"/>
              </a:solidFill>
              <a:latin typeface="+mn-lt"/>
              <a:ea typeface="+mn-ea"/>
            </a:rPr>
            <a:t>Cainiao Swift Holding (HONGKONG) Limited</a:t>
          </a:r>
        </a:p>
        <a:p>
          <a:pPr algn="l"/>
          <a:r>
            <a:rPr lang="zh-CN" altLang="en-US" sz="1100" baseline="0">
              <a:solidFill>
                <a:srgbClr val="000000"/>
              </a:solidFill>
              <a:latin typeface="+mn-lt"/>
              <a:ea typeface="+mn-ea"/>
            </a:rPr>
            <a:t>Compartment G, H and half F. L4 Cainiao Smart Gateway, </a:t>
          </a:r>
        </a:p>
        <a:p>
          <a:pPr algn="l"/>
          <a:r>
            <a:rPr lang="zh-CN" altLang="en-US" sz="1100" baseline="0">
              <a:solidFill>
                <a:srgbClr val="000000"/>
              </a:solidFill>
              <a:latin typeface="+mn-lt"/>
              <a:ea typeface="+mn-ea"/>
            </a:rPr>
            <a:t>8 Chun Yue Road, HKIA.</a:t>
          </a:r>
        </a:p>
        <a:p>
          <a:pPr algn="l"/>
          <a:r>
            <a:rPr lang="zh-CN" altLang="en-US" sz="1100" baseline="0">
              <a:solidFill>
                <a:srgbClr val="000000"/>
              </a:solidFill>
              <a:latin typeface="+mn-lt"/>
              <a:ea typeface="+mn-ea"/>
            </a:rPr>
            <a:t>Tel: (852) 6117 6113 Email: hkehubops@list.alibaba-inc.com</a:t>
          </a:r>
        </a:p>
      </xdr:txBody>
    </xdr:sp>
    <xdr:clientData/>
  </xdr:oneCellAnchor>
  <xdr:oneCellAnchor>
    <xdr:from>
      <xdr:col>6</xdr:col>
      <xdr:colOff>57628</xdr:colOff>
      <xdr:row>60</xdr:row>
      <xdr:rowOff>30957</xdr:rowOff>
    </xdr:from>
    <xdr:ext cx="2139075" cy="1802605"/>
    <xdr:sp macro="" textlink="">
      <xdr:nvSpPr>
        <xdr:cNvPr id="2615" name="shape11">
          <a:extLst>
            <a:ext uri="{FF2B5EF4-FFF2-40B4-BE49-F238E27FC236}">
              <a16:creationId xmlns:a16="http://schemas.microsoft.com/office/drawing/2014/main" id="{00000000-0008-0000-0000-0000370A0000}"/>
            </a:ext>
          </a:extLst>
        </xdr:cNvPr>
        <xdr:cNvSpPr/>
      </xdr:nvSpPr>
      <xdr:spPr>
        <a:xfrm>
          <a:off x="6487003" y="11496676"/>
          <a:ext cx="2139075" cy="1802605"/>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700" baseline="0">
              <a:solidFill>
                <a:srgbClr val="000000"/>
              </a:solidFill>
              <a:latin typeface="Arial"/>
              <a:ea typeface="新細明體"/>
            </a:rPr>
            <a:t>T</a:t>
          </a:r>
          <a:r>
            <a:rPr lang="zh-CN" altLang="en-US" sz="600" baseline="0">
              <a:solidFill>
                <a:srgbClr val="000000"/>
              </a:solidFill>
              <a:latin typeface="Arial"/>
              <a:ea typeface="新細明體"/>
            </a:rPr>
            <a:t>he Company acknowledges receipt of the above instructions from the Shipper. The carriage will be made by way of the issue of the Company's House Air Waybill, House Airbill, Air Consignment Note or the Airline's Air Waybill or other such similar documents of other air carriers.</a:t>
          </a:r>
        </a:p>
        <a:p>
          <a:pPr algn="l"/>
          <a:br>
            <a:rPr lang="en-US" altLang="zh-CN" sz="600" baseline="0">
              <a:solidFill>
                <a:srgbClr val="000000"/>
              </a:solidFill>
              <a:latin typeface="Arial"/>
              <a:ea typeface="新細明體"/>
            </a:rPr>
          </a:br>
          <a:r>
            <a:rPr lang="zh-CN" altLang="en-US" sz="600" baseline="0">
              <a:solidFill>
                <a:srgbClr val="000000"/>
              </a:solidFill>
              <a:latin typeface="Arial"/>
              <a:ea typeface="新細明體"/>
            </a:rPr>
            <a:t>Where goods or documents are delivered to and accepted by the Company, all the provisions of limitation of liabilities specified in the Company's Standard Trading Conition will apply.  </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Authorized </a:t>
          </a:r>
          <a:r>
            <a:rPr lang="zh-CN" altLang="en-US" sz="600" baseline="0">
              <a:solidFill>
                <a:srgbClr val="000000"/>
              </a:solidFill>
              <a:latin typeface="Arial"/>
            </a:rPr>
            <a:t>Signature / stamp of the Company</a:t>
          </a:r>
          <a:endParaRPr lang="en-US" altLang="zh-CN" sz="600" baseline="0">
            <a:solidFill>
              <a:srgbClr val="000000"/>
            </a:solidFill>
            <a:latin typeface="Arial"/>
          </a:endParaRPr>
        </a:p>
        <a:p>
          <a:pPr algn="l"/>
          <a:endParaRPr lang="en-US" altLang="zh-CN" sz="700" baseline="0">
            <a:solidFill>
              <a:srgbClr val="000000"/>
            </a:solidFill>
            <a:latin typeface="Arial"/>
          </a:endParaRPr>
        </a:p>
        <a:p>
          <a:pPr algn="l"/>
          <a:endParaRPr sz="1200"/>
        </a:p>
        <a:p>
          <a:pPr algn="l"/>
          <a:endParaRPr sz="1200"/>
        </a:p>
        <a:p>
          <a:pPr algn="l"/>
          <a:r>
            <a:rPr lang="zh-CN" altLang="en-US" sz="700" baseline="0">
              <a:solidFill>
                <a:srgbClr val="000000"/>
              </a:solidFill>
              <a:latin typeface="Arial"/>
            </a:rPr>
            <a:t>________________________________________</a:t>
          </a:r>
        </a:p>
      </xdr:txBody>
    </xdr:sp>
    <xdr:clientData/>
  </xdr:oneCellAnchor>
  <xdr:oneCellAnchor>
    <xdr:from>
      <xdr:col>3</xdr:col>
      <xdr:colOff>104390</xdr:colOff>
      <xdr:row>60</xdr:row>
      <xdr:rowOff>41948</xdr:rowOff>
    </xdr:from>
    <xdr:ext cx="5223656" cy="1327271"/>
    <xdr:sp macro="" textlink="">
      <xdr:nvSpPr>
        <xdr:cNvPr id="2616" name="shape12">
          <a:extLst>
            <a:ext uri="{FF2B5EF4-FFF2-40B4-BE49-F238E27FC236}">
              <a16:creationId xmlns:a16="http://schemas.microsoft.com/office/drawing/2014/main" id="{00000000-0008-0000-0000-0000380A0000}"/>
            </a:ext>
          </a:extLst>
        </xdr:cNvPr>
        <xdr:cNvSpPr/>
      </xdr:nvSpPr>
      <xdr:spPr>
        <a:xfrm>
          <a:off x="652078" y="11507667"/>
          <a:ext cx="5223656" cy="1327271"/>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18288" tIns="18288" rIns="0" bIns="0" rtlCol="0" anchor="t"/>
        <a:lstStyle/>
        <a:p>
          <a:pPr algn="l"/>
          <a:r>
            <a:rPr lang="zh-CN" altLang="en-US" sz="700" b="1" baseline="0">
              <a:solidFill>
                <a:srgbClr val="000000"/>
              </a:solidFill>
              <a:latin typeface="Arial"/>
              <a:ea typeface="新細明體"/>
            </a:rPr>
            <a:t>SHIPPER'S  DECLARATION</a:t>
          </a:r>
        </a:p>
        <a:p>
          <a:pPr algn="l"/>
          <a:endParaRPr lang="en-US" altLang="zh-CN" sz="700" baseline="0">
            <a:solidFill>
              <a:srgbClr val="000000"/>
            </a:solidFill>
            <a:latin typeface="Arial"/>
            <a:ea typeface="新細明體"/>
          </a:endParaRPr>
        </a:p>
        <a:p>
          <a:pPr algn="l"/>
          <a:r>
            <a:rPr lang="zh-CN" altLang="en-US" sz="600" baseline="0">
              <a:solidFill>
                <a:srgbClr val="000000"/>
              </a:solidFill>
              <a:latin typeface="Arial"/>
              <a:ea typeface="新細明體"/>
            </a:rPr>
            <a:t>1. The Shipper declares that all descriptions, values and other particulars furnished herein are accurate </a:t>
          </a:r>
          <a:r>
            <a:rPr lang="zh-CN" altLang="en-US" sz="600" baseline="0">
              <a:solidFill>
                <a:srgbClr val="000000"/>
              </a:solidFill>
              <a:latin typeface="Arial"/>
            </a:rPr>
            <a:t>and complete. </a:t>
          </a:r>
          <a:r>
            <a:rPr lang="en-US" altLang="zh-CN" sz="600" baseline="0">
              <a:solidFill>
                <a:srgbClr val="000000"/>
              </a:solidFill>
              <a:latin typeface="Arial"/>
            </a:rPr>
            <a:t>T</a:t>
          </a:r>
          <a:r>
            <a:rPr lang="zh-CN" altLang="en-US" sz="600" baseline="0">
              <a:solidFill>
                <a:srgbClr val="000000"/>
              </a:solidFill>
              <a:latin typeface="Arial"/>
            </a:rPr>
            <a:t>he </a:t>
          </a:r>
          <a:r>
            <a:rPr lang="zh-CN" altLang="en-US" sz="600" baseline="0">
              <a:solidFill>
                <a:srgbClr val="000000"/>
              </a:solidFill>
              <a:latin typeface="+mn-lt"/>
              <a:ea typeface="+mn-ea"/>
            </a:rPr>
            <a:t>Shipper</a:t>
          </a:r>
          <a:r>
            <a:rPr lang="zh-CN" altLang="en-US" sz="600" baseline="0">
              <a:solidFill>
                <a:srgbClr val="000000"/>
              </a:solidFill>
              <a:latin typeface="Arial"/>
            </a:rPr>
            <a:t> undertakes to indemnify the Company against all losses, damages, expenses, fines and any other liabilities </a:t>
          </a:r>
          <a:r>
            <a:rPr lang="zh-CN" altLang="en-US" sz="600" i="1" baseline="0">
              <a:solidFill>
                <a:srgbClr val="000000"/>
              </a:solidFill>
              <a:latin typeface="Arial"/>
            </a:rPr>
            <a:t>whatsoever</a:t>
          </a:r>
          <a:r>
            <a:rPr lang="zh-CN" altLang="en-US" sz="600" baseline="0">
              <a:solidFill>
                <a:srgbClr val="000000"/>
              </a:solidFill>
              <a:latin typeface="Arial"/>
            </a:rPr>
            <a:t> arising from any inaccuracy or omission, even if such inaccuracy </a:t>
          </a:r>
          <a:r>
            <a:rPr lang="zh-CN" altLang="en-US" sz="600" baseline="0">
              <a:solidFill>
                <a:srgbClr val="000000"/>
              </a:solidFill>
              <a:latin typeface="Arial"/>
              <a:ea typeface="新細明體"/>
            </a:rPr>
            <a:t>or omission is not due to any negligence.</a:t>
          </a:r>
        </a:p>
        <a:p>
          <a:pPr algn="l"/>
          <a:endParaRPr lang="en-US" altLang="zh-CN" sz="600" baseline="0">
            <a:solidFill>
              <a:srgbClr val="000000"/>
            </a:solidFill>
            <a:latin typeface="Arial"/>
          </a:endParaRPr>
        </a:p>
        <a:p>
          <a:pPr algn="l"/>
          <a:r>
            <a:rPr lang="zh-CN" altLang="en-US" sz="600" baseline="0">
              <a:solidFill>
                <a:srgbClr val="000000"/>
              </a:solidFill>
              <a:latin typeface="Arial"/>
            </a:rPr>
            <a:t>2. The </a:t>
          </a:r>
          <a:r>
            <a:rPr lang="zh-CN" altLang="en-US" sz="600" baseline="0">
              <a:solidFill>
                <a:srgbClr val="000000"/>
              </a:solidFill>
              <a:latin typeface="+mn-lt"/>
              <a:ea typeface="+mn-ea"/>
            </a:rPr>
            <a:t>Shipper</a:t>
          </a:r>
          <a:r>
            <a:rPr lang="zh-CN" altLang="en-US" sz="600" baseline="0">
              <a:solidFill>
                <a:srgbClr val="000000"/>
              </a:solidFill>
              <a:latin typeface="Arial"/>
            </a:rPr>
            <a:t> declares that pursuant to Company's Standard Trading Conditions , the Shipper shall be </a:t>
          </a:r>
          <a:r>
            <a:rPr lang="zh-CN" altLang="en-US" sz="600" baseline="0">
              <a:solidFill>
                <a:srgbClr val="000000"/>
              </a:solidFill>
              <a:latin typeface="Arial"/>
              <a:ea typeface="新細明體"/>
            </a:rPr>
            <a:t>responsible for all charges and expenses relating to the goods whether or not the charges and expenses </a:t>
          </a:r>
          <a:r>
            <a:rPr lang="zh-CN" altLang="en-US" sz="600" baseline="0">
              <a:solidFill>
                <a:srgbClr val="000000"/>
              </a:solidFill>
              <a:latin typeface="Arial"/>
            </a:rPr>
            <a:t>are to be prepaid or collected.</a:t>
          </a:r>
          <a:endParaRPr lang="en-US" altLang="zh-CN" sz="600" baseline="0">
            <a:solidFill>
              <a:srgbClr val="000000"/>
            </a:solidFill>
            <a:latin typeface="Arial"/>
          </a:endParaRPr>
        </a:p>
        <a:p>
          <a:pPr algn="l"/>
          <a:endParaRPr lang="en-US" altLang="zh-CN" sz="600" baseline="0">
            <a:solidFill>
              <a:srgbClr val="000000"/>
            </a:solidFill>
            <a:latin typeface="Arial"/>
          </a:endParaRPr>
        </a:p>
        <a:p>
          <a:pPr algn="l"/>
          <a:r>
            <a:rPr lang="en-US" altLang="zh-CN" sz="600" baseline="0">
              <a:solidFill>
                <a:srgbClr val="000000"/>
              </a:solidFill>
              <a:latin typeface="Arial"/>
            </a:rPr>
            <a:t>3. The shipper hereby declares that is knows the Company's use of the Company's Standard Trading Conditions and the terms and conditions appearing on this page and that they should form part of the contract which is concluded between the Shipper and this Company.</a:t>
          </a:r>
        </a:p>
        <a:p>
          <a:pPr algn="l"/>
          <a:endParaRPr lang="en-US" altLang="zh-CN" sz="600" baseline="0">
            <a:solidFill>
              <a:srgbClr val="000000"/>
            </a:solidFill>
            <a:latin typeface="Arial"/>
          </a:endParaRPr>
        </a:p>
        <a:p>
          <a:pPr algn="l"/>
          <a:r>
            <a:rPr lang="en-US" altLang="zh-CN" sz="600" baseline="0">
              <a:solidFill>
                <a:srgbClr val="000000"/>
              </a:solidFill>
              <a:latin typeface="Arial"/>
            </a:rPr>
            <a:t>Authorised Signature / Stamp of the Shipper</a:t>
          </a:r>
        </a:p>
        <a:p>
          <a:pPr algn="l"/>
          <a:endParaRPr lang="en-US" altLang="zh-CN" sz="600" baseline="0">
            <a:solidFill>
              <a:srgbClr val="000000"/>
            </a:solidFill>
            <a:latin typeface="Arial"/>
          </a:endParaRPr>
        </a:p>
      </xdr:txBody>
    </xdr:sp>
    <xdr:clientData/>
  </xdr:oneCellAnchor>
  <xdr:twoCellAnchor editAs="oneCell">
    <xdr:from>
      <xdr:col>5</xdr:col>
      <xdr:colOff>156154</xdr:colOff>
      <xdr:row>5</xdr:row>
      <xdr:rowOff>70063</xdr:rowOff>
    </xdr:from>
    <xdr:to>
      <xdr:col>6</xdr:col>
      <xdr:colOff>207443</xdr:colOff>
      <xdr:row>8</xdr:row>
      <xdr:rowOff>33429</xdr:rowOff>
    </xdr:to>
    <xdr:pic>
      <xdr:nvPicPr>
        <xdr:cNvPr id="8" name="Picture 7">
          <a:extLst>
            <a:ext uri="{FF2B5EF4-FFF2-40B4-BE49-F238E27FC236}">
              <a16:creationId xmlns:a16="http://schemas.microsoft.com/office/drawing/2014/main" id="{6FF45C4D-E3B5-45DC-96D7-1914196C1F4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025810" y="879688"/>
          <a:ext cx="1611008" cy="731319"/>
        </a:xfrm>
        <a:prstGeom prst="rect">
          <a:avLst/>
        </a:prstGeom>
      </xdr:spPr>
    </xdr:pic>
    <xdr:clientData/>
  </xdr:twoCellAnchor>
  <xdr:twoCellAnchor editAs="oneCell">
    <xdr:from>
      <xdr:col>3</xdr:col>
      <xdr:colOff>1466022</xdr:colOff>
      <xdr:row>67</xdr:row>
      <xdr:rowOff>16564</xdr:rowOff>
    </xdr:from>
    <xdr:to>
      <xdr:col>4</xdr:col>
      <xdr:colOff>87222</xdr:colOff>
      <xdr:row>73</xdr:row>
      <xdr:rowOff>46889</xdr:rowOff>
    </xdr:to>
    <xdr:grpSp>
      <xdr:nvGrpSpPr>
        <xdr:cNvPr id="2" name="群組 1">
          <a:extLst>
            <a:ext uri="{FF2B5EF4-FFF2-40B4-BE49-F238E27FC236}">
              <a16:creationId xmlns:a16="http://schemas.microsoft.com/office/drawing/2014/main" id="{DD37A20C-1712-4670-A1B0-BB02E3761D51}"/>
            </a:ext>
          </a:extLst>
        </xdr:cNvPr>
        <xdr:cNvGrpSpPr>
          <a:grpSpLocks/>
        </xdr:cNvGrpSpPr>
      </xdr:nvGrpSpPr>
      <xdr:grpSpPr>
        <a:xfrm>
          <a:off x="2018472" y="12494314"/>
          <a:ext cx="907200" cy="925675"/>
          <a:chOff x="6534152" y="1200149"/>
          <a:chExt cx="3734388" cy="3781066"/>
        </a:xfrm>
      </xdr:grpSpPr>
      <xdr:sp macro="" textlink="" fLocksText="0">
        <xdr:nvSpPr>
          <xdr:cNvPr id="3" name="橢圓 2">
            <a:extLst>
              <a:ext uri="{FF2B5EF4-FFF2-40B4-BE49-F238E27FC236}">
                <a16:creationId xmlns:a16="http://schemas.microsoft.com/office/drawing/2014/main" id="{7C88270E-FB85-A572-031C-07F59C8F9E9E}"/>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rgbClr val="002060"/>
              </a:solidFill>
              <a:effectLst/>
              <a:latin typeface="Times New Roman" panose="02020603050405020304" pitchFamily="18" charset="0"/>
              <a:ea typeface="新細明體"/>
              <a:cs typeface="Times New Roman" panose="02020603050405020304" pitchFamily="18" charset="0"/>
            </a:endParaRPr>
          </a:p>
        </xdr:txBody>
      </xdr:sp>
      <xdr:sp macro="" textlink="'ELI LETTER'!A2">
        <xdr:nvSpPr>
          <xdr:cNvPr id="4" name="橢圓 3">
            <a:extLst>
              <a:ext uri="{FF2B5EF4-FFF2-40B4-BE49-F238E27FC236}">
                <a16:creationId xmlns:a16="http://schemas.microsoft.com/office/drawing/2014/main" id="{12AFB989-44B8-D8CC-B78D-0EBCAF18438F}"/>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94C76B59-6E22-4A7D-B5BD-2AE0469CF5A1}" type="TxLink">
              <a:rPr lang="en-US" altLang="en-US" sz="1000" b="0" i="0" u="none" strike="noStrike" cap="none" spc="0">
                <a:ln w="0"/>
                <a:solidFill>
                  <a:srgbClr val="002060"/>
                </a:solidFill>
                <a:effectLst/>
                <a:latin typeface="Calibri"/>
                <a:ea typeface="Calibri"/>
                <a:cs typeface="Calibri"/>
              </a:rPr>
              <a:pPr algn="l"/>
              <a:t>* KIM LUNG SUPPLY CHAIN (GUANGZHOU) LIMITED.</a:t>
            </a:fld>
            <a:endParaRPr lang="en-US" altLang="en-US" sz="3600" b="0" i="0" u="none" strike="noStrike" cap="none" spc="0">
              <a:ln w="0"/>
              <a:solidFill>
                <a:srgbClr val="002060"/>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6" name="橢圓 4">
            <a:extLst>
              <a:ext uri="{FF2B5EF4-FFF2-40B4-BE49-F238E27FC236}">
                <a16:creationId xmlns:a16="http://schemas.microsoft.com/office/drawing/2014/main" id="{D2B2A20C-98BA-98CB-F7AD-AF3446ACC3A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rgbClr val="002060"/>
              </a:solidFill>
              <a:effectLst>
                <a:outerShdw blurRad="38100" dist="19050" dir="2700000" algn="tl" rotWithShape="0">
                  <a:schemeClr val="dk1">
                    <a:alpha val="40000"/>
                  </a:schemeClr>
                </a:outerShdw>
              </a:effectLst>
            </a:endParaRPr>
          </a:p>
        </xdr:txBody>
      </xdr:sp>
    </xdr:grpSp>
    <xdr:clientData/>
  </xdr:twoCellAnchor>
  <mc:AlternateContent xmlns:mc="http://schemas.openxmlformats.org/markup-compatibility/2006">
    <mc:Choice xmlns:a14="http://schemas.microsoft.com/office/drawing/2010/main" Requires="a14">
      <xdr:twoCellAnchor editAs="oneCell">
        <xdr:from>
          <xdr:col>5</xdr:col>
          <xdr:colOff>1076325</xdr:colOff>
          <xdr:row>12</xdr:row>
          <xdr:rowOff>600075</xdr:rowOff>
        </xdr:from>
        <xdr:to>
          <xdr:col>7</xdr:col>
          <xdr:colOff>95250</xdr:colOff>
          <xdr:row>14</xdr:row>
          <xdr:rowOff>66675</xdr:rowOff>
        </xdr:to>
        <xdr:sp macro="" textlink="">
          <xdr:nvSpPr>
            <xdr:cNvPr id="1025" name="Check Box 1" hidden="1">
              <a:extLst>
                <a:ext uri="{63B3BB69-23CF-44E3-9099-C40C66FF867C}">
                  <a14:compatExt spid="_x0000_s1025"/>
                </a:ext>
                <a:ext uri="{FF2B5EF4-FFF2-40B4-BE49-F238E27FC236}">
                  <a16:creationId xmlns:a16="http://schemas.microsoft.com/office/drawing/2014/main" id="{00000000-0008-0000-0000-00000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14</xdr:row>
          <xdr:rowOff>104775</xdr:rowOff>
        </xdr:from>
        <xdr:to>
          <xdr:col>7</xdr:col>
          <xdr:colOff>95250</xdr:colOff>
          <xdr:row>16</xdr:row>
          <xdr:rowOff>66675</xdr:rowOff>
        </xdr:to>
        <xdr:sp macro="" textlink="">
          <xdr:nvSpPr>
            <xdr:cNvPr id="1026" name="Check Box 2" hidden="1">
              <a:extLst>
                <a:ext uri="{63B3BB69-23CF-44E3-9099-C40C66FF867C}">
                  <a14:compatExt spid="_x0000_s1026"/>
                </a:ext>
                <a:ext uri="{FF2B5EF4-FFF2-40B4-BE49-F238E27FC236}">
                  <a16:creationId xmlns:a16="http://schemas.microsoft.com/office/drawing/2014/main" id="{00000000-0008-0000-0000-00000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prepaid</a:t>
              </a:r>
            </a:p>
          </xdr:txBody>
        </xdr:sp>
        <xdr:clientData/>
      </xdr:twoCellAnchor>
    </mc:Choice>
    <mc:Fallback/>
  </mc:AlternateContent>
  <xdr:twoCellAnchor>
    <xdr:from>
      <xdr:col>7</xdr:col>
      <xdr:colOff>267361</xdr:colOff>
      <xdr:row>13</xdr:row>
      <xdr:rowOff>133537</xdr:rowOff>
    </xdr:from>
    <xdr:to>
      <xdr:col>8</xdr:col>
      <xdr:colOff>384110</xdr:colOff>
      <xdr:row>14</xdr:row>
      <xdr:rowOff>115634</xdr:rowOff>
    </xdr:to>
    <xdr:sp macro="" textlink="">
      <xdr:nvSpPr>
        <xdr:cNvPr id="2607" name="shape2">
          <a:extLst>
            <a:ext uri="{FF2B5EF4-FFF2-40B4-BE49-F238E27FC236}">
              <a16:creationId xmlns:a16="http://schemas.microsoft.com/office/drawing/2014/main" id="{00000000-0008-0000-0000-00002F0A0000}"/>
            </a:ext>
          </a:extLst>
        </xdr:cNvPr>
        <xdr:cNvSpPr/>
      </xdr:nvSpPr>
      <xdr:spPr>
        <a:xfrm>
          <a:off x="7302723" y="2945054"/>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13</xdr:row>
          <xdr:rowOff>19050</xdr:rowOff>
        </xdr:from>
        <xdr:to>
          <xdr:col>8</xdr:col>
          <xdr:colOff>704850</xdr:colOff>
          <xdr:row>13</xdr:row>
          <xdr:rowOff>152400</xdr:rowOff>
        </xdr:to>
        <xdr:sp macro="" textlink="">
          <xdr:nvSpPr>
            <xdr:cNvPr id="1027" name="Check Box 3" hidden="1">
              <a:extLst>
                <a:ext uri="{63B3BB69-23CF-44E3-9099-C40C66FF867C}">
                  <a14:compatExt spid="_x0000_s1027"/>
                </a:ext>
                <a:ext uri="{FF2B5EF4-FFF2-40B4-BE49-F238E27FC236}">
                  <a16:creationId xmlns:a16="http://schemas.microsoft.com/office/drawing/2014/main" id="{00000000-0008-0000-0000-00000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xdr:twoCellAnchor>
    <xdr:from>
      <xdr:col>7</xdr:col>
      <xdr:colOff>267361</xdr:colOff>
      <xdr:row>15</xdr:row>
      <xdr:rowOff>133361</xdr:rowOff>
    </xdr:from>
    <xdr:to>
      <xdr:col>8</xdr:col>
      <xdr:colOff>384110</xdr:colOff>
      <xdr:row>16</xdr:row>
      <xdr:rowOff>115458</xdr:rowOff>
    </xdr:to>
    <xdr:sp macro="" textlink="">
      <xdr:nvSpPr>
        <xdr:cNvPr id="10" name="shape2">
          <a:extLst>
            <a:ext uri="{FF2B5EF4-FFF2-40B4-BE49-F238E27FC236}">
              <a16:creationId xmlns:a16="http://schemas.microsoft.com/office/drawing/2014/main" id="{0BBFF8B2-696E-FABA-6AAC-82F8D538D6E8}"/>
            </a:ext>
          </a:extLst>
        </xdr:cNvPr>
        <xdr:cNvSpPr/>
      </xdr:nvSpPr>
      <xdr:spPr>
        <a:xfrm>
          <a:off x="7302723" y="3247051"/>
          <a:ext cx="747370" cy="133183"/>
        </a:xfrm>
        <a:prstGeom prst="rect">
          <a:avLst/>
        </a:prstGeom>
        <a:noFill/>
        <a:ln w="12700">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7432" tIns="18288" rIns="0" bIns="0" rtlCol="0" anchor="t"/>
        <a:lstStyle/>
        <a:p>
          <a:pPr algn="l"/>
          <a:r>
            <a:rPr lang="zh-CN" altLang="en-US" sz="600" baseline="0">
              <a:solidFill>
                <a:srgbClr val="000000"/>
              </a:solidFill>
              <a:latin typeface="Arial"/>
            </a:rPr>
            <a:t>(If service available)</a:t>
          </a:r>
        </a:p>
      </xdr:txBody>
    </xdr:sp>
    <xdr:clientData/>
  </xdr:twoCellAnchor>
  <mc:AlternateContent xmlns:mc="http://schemas.openxmlformats.org/markup-compatibility/2006">
    <mc:Choice xmlns:a14="http://schemas.microsoft.com/office/drawing/2010/main" Requires="a14">
      <xdr:twoCellAnchor editAs="oneCell">
        <xdr:from>
          <xdr:col>7</xdr:col>
          <xdr:colOff>76200</xdr:colOff>
          <xdr:row>15</xdr:row>
          <xdr:rowOff>19050</xdr:rowOff>
        </xdr:from>
        <xdr:to>
          <xdr:col>8</xdr:col>
          <xdr:colOff>704850</xdr:colOff>
          <xdr:row>15</xdr:row>
          <xdr:rowOff>152400</xdr:rowOff>
        </xdr:to>
        <xdr:sp macro="" textlink="">
          <xdr:nvSpPr>
            <xdr:cNvPr id="1028" name="Check Box 4" hidden="1">
              <a:extLst>
                <a:ext uri="{63B3BB69-23CF-44E3-9099-C40C66FF867C}">
                  <a14:compatExt spid="_x0000_s1028"/>
                </a:ext>
                <a:ext uri="{FF2B5EF4-FFF2-40B4-BE49-F238E27FC236}">
                  <a16:creationId xmlns:a16="http://schemas.microsoft.com/office/drawing/2014/main" id="{00000000-0008-0000-0000-00000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To be collected</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1076325</xdr:colOff>
          <xdr:row>16</xdr:row>
          <xdr:rowOff>104775</xdr:rowOff>
        </xdr:from>
        <xdr:to>
          <xdr:col>7</xdr:col>
          <xdr:colOff>95250</xdr:colOff>
          <xdr:row>18</xdr:row>
          <xdr:rowOff>66675</xdr:rowOff>
        </xdr:to>
        <xdr:sp macro="" textlink="">
          <xdr:nvSpPr>
            <xdr:cNvPr id="1029" name="Check Box 5" hidden="1">
              <a:extLst>
                <a:ext uri="{63B3BB69-23CF-44E3-9099-C40C66FF867C}">
                  <a14:compatExt spid="_x0000_s1029"/>
                </a:ext>
                <a:ext uri="{FF2B5EF4-FFF2-40B4-BE49-F238E27FC236}">
                  <a16:creationId xmlns:a16="http://schemas.microsoft.com/office/drawing/2014/main" id="{00000000-0008-0000-0000-00000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7</xdr:col>
          <xdr:colOff>76200</xdr:colOff>
          <xdr:row>16</xdr:row>
          <xdr:rowOff>104775</xdr:rowOff>
        </xdr:from>
        <xdr:to>
          <xdr:col>8</xdr:col>
          <xdr:colOff>619125</xdr:colOff>
          <xdr:row>18</xdr:row>
          <xdr:rowOff>66675</xdr:rowOff>
        </xdr:to>
        <xdr:sp macro="" textlink="">
          <xdr:nvSpPr>
            <xdr:cNvPr id="1030" name="Check Box 6" hidden="1">
              <a:extLst>
                <a:ext uri="{63B3BB69-23CF-44E3-9099-C40C66FF867C}">
                  <a14:compatExt spid="_x0000_s1030"/>
                </a:ext>
                <a:ext uri="{FF2B5EF4-FFF2-40B4-BE49-F238E27FC236}">
                  <a16:creationId xmlns:a16="http://schemas.microsoft.com/office/drawing/2014/main" id="{00000000-0008-0000-0000-000006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Sea / Air Freight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133350</xdr:colOff>
          <xdr:row>25</xdr:row>
          <xdr:rowOff>114300</xdr:rowOff>
        </xdr:from>
        <xdr:to>
          <xdr:col>4</xdr:col>
          <xdr:colOff>628650</xdr:colOff>
          <xdr:row>27</xdr:row>
          <xdr:rowOff>9525</xdr:rowOff>
        </xdr:to>
        <xdr:sp macro="" textlink="">
          <xdr:nvSpPr>
            <xdr:cNvPr id="1031" name="Check Box 7" hidden="1">
              <a:extLst>
                <a:ext uri="{63B3BB69-23CF-44E3-9099-C40C66FF867C}">
                  <a14:compatExt spid="_x0000_s1031"/>
                </a:ext>
                <a:ext uri="{FF2B5EF4-FFF2-40B4-BE49-F238E27FC236}">
                  <a16:creationId xmlns:a16="http://schemas.microsoft.com/office/drawing/2014/main" id="{00000000-0008-0000-0000-000007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Yes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1009650</xdr:colOff>
          <xdr:row>25</xdr:row>
          <xdr:rowOff>114300</xdr:rowOff>
        </xdr:from>
        <xdr:to>
          <xdr:col>4</xdr:col>
          <xdr:colOff>1504950</xdr:colOff>
          <xdr:row>27</xdr:row>
          <xdr:rowOff>9525</xdr:rowOff>
        </xdr:to>
        <xdr:sp macro="" textlink="">
          <xdr:nvSpPr>
            <xdr:cNvPr id="1032" name="Check Box 8" hidden="1">
              <a:extLst>
                <a:ext uri="{63B3BB69-23CF-44E3-9099-C40C66FF867C}">
                  <a14:compatExt spid="_x0000_s1032"/>
                </a:ext>
                <a:ext uri="{FF2B5EF4-FFF2-40B4-BE49-F238E27FC236}">
                  <a16:creationId xmlns:a16="http://schemas.microsoft.com/office/drawing/2014/main" id="{00000000-0008-0000-0000-000008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No</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95250</xdr:colOff>
          <xdr:row>57</xdr:row>
          <xdr:rowOff>152400</xdr:rowOff>
        </xdr:from>
        <xdr:to>
          <xdr:col>3</xdr:col>
          <xdr:colOff>1133475</xdr:colOff>
          <xdr:row>59</xdr:row>
          <xdr:rowOff>38100</xdr:rowOff>
        </xdr:to>
        <xdr:sp macro="" textlink="">
          <xdr:nvSpPr>
            <xdr:cNvPr id="1033" name="Check Box 9" hidden="1">
              <a:extLst>
                <a:ext uri="{63B3BB69-23CF-44E3-9099-C40C66FF867C}">
                  <a14:compatExt spid="_x0000_s1033"/>
                </a:ext>
                <a:ext uri="{FF2B5EF4-FFF2-40B4-BE49-F238E27FC236}">
                  <a16:creationId xmlns:a16="http://schemas.microsoft.com/office/drawing/2014/main" id="{00000000-0008-0000-0000-000009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Packing List</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1295400</xdr:colOff>
          <xdr:row>57</xdr:row>
          <xdr:rowOff>152400</xdr:rowOff>
        </xdr:from>
        <xdr:to>
          <xdr:col>4</xdr:col>
          <xdr:colOff>323850</xdr:colOff>
          <xdr:row>59</xdr:row>
          <xdr:rowOff>38100</xdr:rowOff>
        </xdr:to>
        <xdr:sp macro="" textlink="">
          <xdr:nvSpPr>
            <xdr:cNvPr id="1034" name="Check Box 10" hidden="1">
              <a:extLst>
                <a:ext uri="{63B3BB69-23CF-44E3-9099-C40C66FF867C}">
                  <a14:compatExt spid="_x0000_s1034"/>
                </a:ext>
                <a:ext uri="{FF2B5EF4-FFF2-40B4-BE49-F238E27FC236}">
                  <a16:creationId xmlns:a16="http://schemas.microsoft.com/office/drawing/2014/main" id="{00000000-0008-0000-0000-00000A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Commercial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619125</xdr:colOff>
          <xdr:row>57</xdr:row>
          <xdr:rowOff>152400</xdr:rowOff>
        </xdr:from>
        <xdr:to>
          <xdr:col>4</xdr:col>
          <xdr:colOff>1933575</xdr:colOff>
          <xdr:row>59</xdr:row>
          <xdr:rowOff>38100</xdr:rowOff>
        </xdr:to>
        <xdr:sp macro="" textlink="">
          <xdr:nvSpPr>
            <xdr:cNvPr id="1035" name="Check Box 11" hidden="1">
              <a:extLst>
                <a:ext uri="{63B3BB69-23CF-44E3-9099-C40C66FF867C}">
                  <a14:compatExt spid="_x0000_s1035"/>
                </a:ext>
                <a:ext uri="{FF2B5EF4-FFF2-40B4-BE49-F238E27FC236}">
                  <a16:creationId xmlns:a16="http://schemas.microsoft.com/office/drawing/2014/main" id="{00000000-0008-0000-0000-00000B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Certificate of Origin</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95250</xdr:colOff>
          <xdr:row>57</xdr:row>
          <xdr:rowOff>152400</xdr:rowOff>
        </xdr:from>
        <xdr:to>
          <xdr:col>5</xdr:col>
          <xdr:colOff>1409700</xdr:colOff>
          <xdr:row>59</xdr:row>
          <xdr:rowOff>38100</xdr:rowOff>
        </xdr:to>
        <xdr:sp macro="" textlink="">
          <xdr:nvSpPr>
            <xdr:cNvPr id="1036" name="Check Box 12" hidden="1">
              <a:extLst>
                <a:ext uri="{63B3BB69-23CF-44E3-9099-C40C66FF867C}">
                  <a14:compatExt spid="_x0000_s1036"/>
                </a:ext>
                <a:ext uri="{FF2B5EF4-FFF2-40B4-BE49-F238E27FC236}">
                  <a16:creationId xmlns:a16="http://schemas.microsoft.com/office/drawing/2014/main" id="{00000000-0008-0000-0000-00000C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zh-TW" altLang="en-US" sz="800" b="0" i="0" u="none" strike="noStrike" baseline="0">
                  <a:solidFill>
                    <a:srgbClr val="000000"/>
                  </a:solidFill>
                  <a:latin typeface="Segoe UI"/>
                  <a:cs typeface="Segoe UI"/>
                </a:rPr>
                <a:t>Consular invoice</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676275</xdr:colOff>
          <xdr:row>49</xdr:row>
          <xdr:rowOff>123825</xdr:rowOff>
        </xdr:from>
        <xdr:to>
          <xdr:col>3</xdr:col>
          <xdr:colOff>1371600</xdr:colOff>
          <xdr:row>51</xdr:row>
          <xdr:rowOff>47625</xdr:rowOff>
        </xdr:to>
        <xdr:sp macro="" textlink="">
          <xdr:nvSpPr>
            <xdr:cNvPr id="1037" name="Check Box 13" hidden="1">
              <a:extLst>
                <a:ext uri="{63B3BB69-23CF-44E3-9099-C40C66FF867C}">
                  <a14:compatExt spid="_x0000_s1037"/>
                </a:ext>
                <a:ext uri="{FF2B5EF4-FFF2-40B4-BE49-F238E27FC236}">
                  <a16:creationId xmlns:a16="http://schemas.microsoft.com/office/drawing/2014/main" id="{00000000-0008-0000-0000-00000D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390525</xdr:colOff>
          <xdr:row>49</xdr:row>
          <xdr:rowOff>123825</xdr:rowOff>
        </xdr:from>
        <xdr:to>
          <xdr:col>5</xdr:col>
          <xdr:colOff>1076325</xdr:colOff>
          <xdr:row>51</xdr:row>
          <xdr:rowOff>47625</xdr:rowOff>
        </xdr:to>
        <xdr:sp macro="" textlink="">
          <xdr:nvSpPr>
            <xdr:cNvPr id="1038" name="Check Box 14" hidden="1">
              <a:extLst>
                <a:ext uri="{63B3BB69-23CF-44E3-9099-C40C66FF867C}">
                  <a14:compatExt spid="_x0000_s1038"/>
                </a:ext>
                <a:ext uri="{FF2B5EF4-FFF2-40B4-BE49-F238E27FC236}">
                  <a16:creationId xmlns:a16="http://schemas.microsoft.com/office/drawing/2014/main" id="{00000000-0008-0000-0000-00000E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50</xdr:row>
          <xdr:rowOff>123825</xdr:rowOff>
        </xdr:from>
        <xdr:to>
          <xdr:col>3</xdr:col>
          <xdr:colOff>1952625</xdr:colOff>
          <xdr:row>52</xdr:row>
          <xdr:rowOff>47625</xdr:rowOff>
        </xdr:to>
        <xdr:sp macro="" textlink="">
          <xdr:nvSpPr>
            <xdr:cNvPr id="1039" name="Check Box 15" hidden="1">
              <a:extLst>
                <a:ext uri="{63B3BB69-23CF-44E3-9099-C40C66FF867C}">
                  <a14:compatExt spid="_x0000_s1039"/>
                </a:ext>
                <a:ext uri="{FF2B5EF4-FFF2-40B4-BE49-F238E27FC236}">
                  <a16:creationId xmlns:a16="http://schemas.microsoft.com/office/drawing/2014/main" id="{00000000-0008-0000-0000-00000F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1266825</xdr:colOff>
          <xdr:row>51</xdr:row>
          <xdr:rowOff>104775</xdr:rowOff>
        </xdr:from>
        <xdr:to>
          <xdr:col>3</xdr:col>
          <xdr:colOff>1952625</xdr:colOff>
          <xdr:row>53</xdr:row>
          <xdr:rowOff>47625</xdr:rowOff>
        </xdr:to>
        <xdr:sp macro="" textlink="">
          <xdr:nvSpPr>
            <xdr:cNvPr id="1040" name="Check Box 16" hidden="1">
              <a:extLst>
                <a:ext uri="{63B3BB69-23CF-44E3-9099-C40C66FF867C}">
                  <a14:compatExt spid="_x0000_s1040"/>
                </a:ext>
                <a:ext uri="{FF2B5EF4-FFF2-40B4-BE49-F238E27FC236}">
                  <a16:creationId xmlns:a16="http://schemas.microsoft.com/office/drawing/2014/main" id="{00000000-0008-0000-0000-000010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50</xdr:row>
          <xdr:rowOff>123825</xdr:rowOff>
        </xdr:from>
        <xdr:to>
          <xdr:col>6</xdr:col>
          <xdr:colOff>171450</xdr:colOff>
          <xdr:row>52</xdr:row>
          <xdr:rowOff>47625</xdr:rowOff>
        </xdr:to>
        <xdr:sp macro="" textlink="">
          <xdr:nvSpPr>
            <xdr:cNvPr id="1041" name="Check Box 17" hidden="1">
              <a:extLst>
                <a:ext uri="{63B3BB69-23CF-44E3-9099-C40C66FF867C}">
                  <a14:compatExt spid="_x0000_s1041"/>
                </a:ext>
                <a:ext uri="{FF2B5EF4-FFF2-40B4-BE49-F238E27FC236}">
                  <a16:creationId xmlns:a16="http://schemas.microsoft.com/office/drawing/2014/main" id="{00000000-0008-0000-0000-000011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5</xdr:col>
          <xdr:colOff>1038225</xdr:colOff>
          <xdr:row>51</xdr:row>
          <xdr:rowOff>104775</xdr:rowOff>
        </xdr:from>
        <xdr:to>
          <xdr:col>6</xdr:col>
          <xdr:colOff>171450</xdr:colOff>
          <xdr:row>53</xdr:row>
          <xdr:rowOff>47625</xdr:rowOff>
        </xdr:to>
        <xdr:sp macro="" textlink="">
          <xdr:nvSpPr>
            <xdr:cNvPr id="1042" name="Check Box 18" hidden="1">
              <a:extLst>
                <a:ext uri="{63B3BB69-23CF-44E3-9099-C40C66FF867C}">
                  <a14:compatExt spid="_x0000_s1042"/>
                </a:ext>
                <a:ext uri="{FF2B5EF4-FFF2-40B4-BE49-F238E27FC236}">
                  <a16:creationId xmlns:a16="http://schemas.microsoft.com/office/drawing/2014/main" id="{00000000-0008-0000-0000-000012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609600</xdr:colOff>
          <xdr:row>52</xdr:row>
          <xdr:rowOff>142875</xdr:rowOff>
        </xdr:from>
        <xdr:to>
          <xdr:col>4</xdr:col>
          <xdr:colOff>1295400</xdr:colOff>
          <xdr:row>54</xdr:row>
          <xdr:rowOff>47625</xdr:rowOff>
        </xdr:to>
        <xdr:sp macro="" textlink="">
          <xdr:nvSpPr>
            <xdr:cNvPr id="1043" name="Check Box 19" hidden="1">
              <a:extLst>
                <a:ext uri="{63B3BB69-23CF-44E3-9099-C40C66FF867C}">
                  <a14:compatExt spid="_x0000_s1043"/>
                </a:ext>
                <a:ext uri="{FF2B5EF4-FFF2-40B4-BE49-F238E27FC236}">
                  <a16:creationId xmlns:a16="http://schemas.microsoft.com/office/drawing/2014/main" id="{00000000-0008-0000-0000-000013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47</xdr:row>
          <xdr:rowOff>104775</xdr:rowOff>
        </xdr:from>
        <xdr:to>
          <xdr:col>3</xdr:col>
          <xdr:colOff>295275</xdr:colOff>
          <xdr:row>49</xdr:row>
          <xdr:rowOff>47625</xdr:rowOff>
        </xdr:to>
        <xdr:sp macro="" textlink="">
          <xdr:nvSpPr>
            <xdr:cNvPr id="1044" name="Check Box 20" hidden="1">
              <a:extLst>
                <a:ext uri="{63B3BB69-23CF-44E3-9099-C40C66FF867C}">
                  <a14:compatExt spid="_x0000_s1044"/>
                </a:ext>
                <a:ext uri="{FF2B5EF4-FFF2-40B4-BE49-F238E27FC236}">
                  <a16:creationId xmlns:a16="http://schemas.microsoft.com/office/drawing/2014/main" id="{00000000-0008-0000-0000-000014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104775</xdr:colOff>
          <xdr:row>48</xdr:row>
          <xdr:rowOff>104775</xdr:rowOff>
        </xdr:from>
        <xdr:to>
          <xdr:col>3</xdr:col>
          <xdr:colOff>295275</xdr:colOff>
          <xdr:row>50</xdr:row>
          <xdr:rowOff>47625</xdr:rowOff>
        </xdr:to>
        <xdr:sp macro="" textlink="">
          <xdr:nvSpPr>
            <xdr:cNvPr id="1045" name="Check Box 21" hidden="1">
              <a:extLst>
                <a:ext uri="{63B3BB69-23CF-44E3-9099-C40C66FF867C}">
                  <a14:compatExt spid="_x0000_s1045"/>
                </a:ext>
                <a:ext uri="{FF2B5EF4-FFF2-40B4-BE49-F238E27FC236}">
                  <a16:creationId xmlns:a16="http://schemas.microsoft.com/office/drawing/2014/main" id="{00000000-0008-0000-0000-00001504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editAs="oneCell">
    <xdr:from>
      <xdr:col>14</xdr:col>
      <xdr:colOff>271096</xdr:colOff>
      <xdr:row>57</xdr:row>
      <xdr:rowOff>77093</xdr:rowOff>
    </xdr:from>
    <xdr:to>
      <xdr:col>19</xdr:col>
      <xdr:colOff>271430</xdr:colOff>
      <xdr:row>61</xdr:row>
      <xdr:rowOff>153887</xdr:rowOff>
    </xdr:to>
    <xdr:pic>
      <xdr:nvPicPr>
        <xdr:cNvPr id="2" name="圖片 5">
          <a:extLst>
            <a:ext uri="{FF2B5EF4-FFF2-40B4-BE49-F238E27FC236}">
              <a16:creationId xmlns:a16="http://schemas.microsoft.com/office/drawing/2014/main" id="{30ED9060-CCF8-4D0C-9C81-41BC49A308E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374173" y="9125843"/>
          <a:ext cx="1465719" cy="765525"/>
        </a:xfrm>
        <a:prstGeom prst="rect">
          <a:avLst/>
        </a:prstGeom>
      </xdr:spPr>
    </xdr:pic>
    <xdr:clientData/>
  </xdr:twoCellAnchor>
  <xdr:twoCellAnchor editAs="oneCell">
    <xdr:from>
      <xdr:col>1</xdr:col>
      <xdr:colOff>0</xdr:colOff>
      <xdr:row>59</xdr:row>
      <xdr:rowOff>8287</xdr:rowOff>
    </xdr:from>
    <xdr:to>
      <xdr:col>10</xdr:col>
      <xdr:colOff>37484</xdr:colOff>
      <xdr:row>61</xdr:row>
      <xdr:rowOff>49699</xdr:rowOff>
    </xdr:to>
    <xdr:pic>
      <xdr:nvPicPr>
        <xdr:cNvPr id="3" name="圖片 3">
          <a:extLst>
            <a:ext uri="{FF2B5EF4-FFF2-40B4-BE49-F238E27FC236}">
              <a16:creationId xmlns:a16="http://schemas.microsoft.com/office/drawing/2014/main" id="{F07A93BD-785E-46C5-80AF-B6E78611D93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295275" y="9223725"/>
          <a:ext cx="2694959" cy="403362"/>
        </a:xfrm>
        <a:prstGeom prst="rect">
          <a:avLst/>
        </a:prstGeom>
      </xdr:spPr>
    </xdr:pic>
    <xdr:clientData/>
  </xdr:twoCellAnchor>
  <xdr:twoCellAnchor editAs="oneCell">
    <xdr:from>
      <xdr:col>15</xdr:col>
      <xdr:colOff>273327</xdr:colOff>
      <xdr:row>46</xdr:row>
      <xdr:rowOff>99391</xdr:rowOff>
    </xdr:from>
    <xdr:to>
      <xdr:col>19</xdr:col>
      <xdr:colOff>8285</xdr:colOff>
      <xdr:row>60</xdr:row>
      <xdr:rowOff>38403</xdr:rowOff>
    </xdr:to>
    <xdr:pic>
      <xdr:nvPicPr>
        <xdr:cNvPr id="4" name="Picture 3">
          <a:extLst>
            <a:ext uri="{FF2B5EF4-FFF2-40B4-BE49-F238E27FC236}">
              <a16:creationId xmlns:a16="http://schemas.microsoft.com/office/drawing/2014/main" id="{61A4177A-062E-48FC-9B00-88CB1610D184}"/>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4702452" y="7424116"/>
          <a:ext cx="916058" cy="2010700"/>
        </a:xfrm>
        <a:prstGeom prst="rect">
          <a:avLst/>
        </a:prstGeom>
      </xdr:spPr>
    </xdr:pic>
    <xdr:clientData/>
  </xdr:twoCellAnchor>
  <mc:AlternateContent xmlns:mc="http://schemas.openxmlformats.org/markup-compatibility/2006">
    <mc:Choice xmlns:a14="http://schemas.microsoft.com/office/drawing/2010/main" Requires="a14">
      <xdr:twoCellAnchor editAs="oneCell">
        <xdr:from>
          <xdr:col>0</xdr:col>
          <xdr:colOff>28575</xdr:colOff>
          <xdr:row>25</xdr:row>
          <xdr:rowOff>180975</xdr:rowOff>
        </xdr:from>
        <xdr:to>
          <xdr:col>0</xdr:col>
          <xdr:colOff>238125</xdr:colOff>
          <xdr:row>27</xdr:row>
          <xdr:rowOff>47625</xdr:rowOff>
        </xdr:to>
        <xdr:sp macro="" textlink="">
          <xdr:nvSpPr>
            <xdr:cNvPr id="2049" name="Check Box 1" hidden="1">
              <a:extLst>
                <a:ext uri="{63B3BB69-23CF-44E3-9099-C40C66FF867C}">
                  <a14:compatExt spid="_x0000_s2049"/>
                </a:ext>
                <a:ext uri="{FF2B5EF4-FFF2-40B4-BE49-F238E27FC236}">
                  <a16:creationId xmlns:a16="http://schemas.microsoft.com/office/drawing/2014/main" id="{00000000-0008-0000-0100-000001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28</xdr:row>
          <xdr:rowOff>85725</xdr:rowOff>
        </xdr:from>
        <xdr:to>
          <xdr:col>0</xdr:col>
          <xdr:colOff>238125</xdr:colOff>
          <xdr:row>29</xdr:row>
          <xdr:rowOff>104775</xdr:rowOff>
        </xdr:to>
        <xdr:sp macro="" textlink="">
          <xdr:nvSpPr>
            <xdr:cNvPr id="2050" name="Check Box 2" hidden="1">
              <a:extLst>
                <a:ext uri="{63B3BB69-23CF-44E3-9099-C40C66FF867C}">
                  <a14:compatExt spid="_x0000_s2050"/>
                </a:ext>
                <a:ext uri="{FF2B5EF4-FFF2-40B4-BE49-F238E27FC236}">
                  <a16:creationId xmlns:a16="http://schemas.microsoft.com/office/drawing/2014/main" id="{00000000-0008-0000-0100-000002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30</xdr:row>
          <xdr:rowOff>85725</xdr:rowOff>
        </xdr:from>
        <xdr:to>
          <xdr:col>0</xdr:col>
          <xdr:colOff>238125</xdr:colOff>
          <xdr:row>31</xdr:row>
          <xdr:rowOff>104775</xdr:rowOff>
        </xdr:to>
        <xdr:sp macro="" textlink="">
          <xdr:nvSpPr>
            <xdr:cNvPr id="2051" name="Check Box 3" hidden="1">
              <a:extLst>
                <a:ext uri="{63B3BB69-23CF-44E3-9099-C40C66FF867C}">
                  <a14:compatExt spid="_x0000_s2051"/>
                </a:ext>
                <a:ext uri="{FF2B5EF4-FFF2-40B4-BE49-F238E27FC236}">
                  <a16:creationId xmlns:a16="http://schemas.microsoft.com/office/drawing/2014/main" id="{00000000-0008-0000-0100-000003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32</xdr:row>
          <xdr:rowOff>161925</xdr:rowOff>
        </xdr:from>
        <xdr:to>
          <xdr:col>0</xdr:col>
          <xdr:colOff>238125</xdr:colOff>
          <xdr:row>34</xdr:row>
          <xdr:rowOff>28575</xdr:rowOff>
        </xdr:to>
        <xdr:sp macro="" textlink="">
          <xdr:nvSpPr>
            <xdr:cNvPr id="2052" name="Check Box 4" hidden="1">
              <a:extLst>
                <a:ext uri="{63B3BB69-23CF-44E3-9099-C40C66FF867C}">
                  <a14:compatExt spid="_x0000_s2052"/>
                </a:ext>
                <a:ext uri="{FF2B5EF4-FFF2-40B4-BE49-F238E27FC236}">
                  <a16:creationId xmlns:a16="http://schemas.microsoft.com/office/drawing/2014/main" id="{00000000-0008-0000-0100-000004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35</xdr:row>
          <xdr:rowOff>104775</xdr:rowOff>
        </xdr:from>
        <xdr:to>
          <xdr:col>0</xdr:col>
          <xdr:colOff>238125</xdr:colOff>
          <xdr:row>36</xdr:row>
          <xdr:rowOff>104775</xdr:rowOff>
        </xdr:to>
        <xdr:sp macro="" textlink="">
          <xdr:nvSpPr>
            <xdr:cNvPr id="2053" name="Check Box 5" hidden="1">
              <a:extLst>
                <a:ext uri="{63B3BB69-23CF-44E3-9099-C40C66FF867C}">
                  <a14:compatExt spid="_x0000_s2053"/>
                </a:ext>
                <a:ext uri="{FF2B5EF4-FFF2-40B4-BE49-F238E27FC236}">
                  <a16:creationId xmlns:a16="http://schemas.microsoft.com/office/drawing/2014/main" id="{00000000-0008-0000-0100-000005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37</xdr:row>
          <xdr:rowOff>85725</xdr:rowOff>
        </xdr:from>
        <xdr:to>
          <xdr:col>0</xdr:col>
          <xdr:colOff>257175</xdr:colOff>
          <xdr:row>38</xdr:row>
          <xdr:rowOff>104775</xdr:rowOff>
        </xdr:to>
        <xdr:sp macro="" textlink="">
          <xdr:nvSpPr>
            <xdr:cNvPr id="2054" name="Check Box 6" hidden="1">
              <a:extLst>
                <a:ext uri="{63B3BB69-23CF-44E3-9099-C40C66FF867C}">
                  <a14:compatExt spid="_x0000_s2054"/>
                </a:ext>
                <a:ext uri="{FF2B5EF4-FFF2-40B4-BE49-F238E27FC236}">
                  <a16:creationId xmlns:a16="http://schemas.microsoft.com/office/drawing/2014/main" id="{00000000-0008-0000-0100-000006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39</xdr:row>
          <xdr:rowOff>76200</xdr:rowOff>
        </xdr:from>
        <xdr:to>
          <xdr:col>0</xdr:col>
          <xdr:colOff>257175</xdr:colOff>
          <xdr:row>41</xdr:row>
          <xdr:rowOff>28575</xdr:rowOff>
        </xdr:to>
        <xdr:sp macro="" textlink="">
          <xdr:nvSpPr>
            <xdr:cNvPr id="2055" name="Check Box 7" hidden="1">
              <a:extLst>
                <a:ext uri="{63B3BB69-23CF-44E3-9099-C40C66FF867C}">
                  <a14:compatExt spid="_x0000_s2055"/>
                </a:ext>
                <a:ext uri="{FF2B5EF4-FFF2-40B4-BE49-F238E27FC236}">
                  <a16:creationId xmlns:a16="http://schemas.microsoft.com/office/drawing/2014/main" id="{00000000-0008-0000-0100-000007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0</xdr:col>
          <xdr:colOff>28575</xdr:colOff>
          <xdr:row>40</xdr:row>
          <xdr:rowOff>142875</xdr:rowOff>
        </xdr:from>
        <xdr:to>
          <xdr:col>0</xdr:col>
          <xdr:colOff>257175</xdr:colOff>
          <xdr:row>42</xdr:row>
          <xdr:rowOff>28575</xdr:rowOff>
        </xdr:to>
        <xdr:sp macro="" textlink="">
          <xdr:nvSpPr>
            <xdr:cNvPr id="2056" name="Check Box 8" hidden="1">
              <a:extLst>
                <a:ext uri="{63B3BB69-23CF-44E3-9099-C40C66FF867C}">
                  <a14:compatExt spid="_x0000_s2056"/>
                </a:ext>
                <a:ext uri="{FF2B5EF4-FFF2-40B4-BE49-F238E27FC236}">
                  <a16:creationId xmlns:a16="http://schemas.microsoft.com/office/drawing/2014/main" id="{00000000-0008-0000-0100-000008080000}"/>
                </a:ext>
              </a:extLst>
            </xdr:cNvPr>
            <xdr:cNvSpPr/>
          </xdr:nvSpPr>
          <xdr:spPr bwMode="auto">
            <a:xfrm>
              <a:off x="0" y="0"/>
              <a:ext cx="0" cy="0"/>
            </a:xfrm>
            <a:prstGeom prst="rect">
              <a:avLst/>
            </a:prstGeom>
            <a:noFill/>
            <a:ln>
              <a:noFill/>
            </a:ln>
            <a:extLst>
              <a:ext uri="{909E8E84-426E-40DD-AFC4-6F175D3DCCD1}">
                <a14:hiddenFill>
                  <a:solidFill>
                    <a:srgbClr val="FFFFFF"/>
                  </a:solidFill>
                </a14:hiddenFill>
              </a:ext>
              <a:ext uri="{91240B29-F687-4F45-9708-019B960494DF}">
                <a14:hiddenLine w="9525">
                  <a:solidFill>
                    <a:srgbClr val="000000"/>
                  </a:solidFill>
                  <a:miter lim="800000"/>
                  <a:headEnd/>
                  <a:tailEnd/>
                </a14:hiddenLine>
              </a:ext>
            </a:extLst>
          </xdr:spPr>
        </xdr:sp>
        <xdr:clientData/>
      </xdr:twoCellAnchor>
    </mc:Choice>
    <mc:Fallback/>
  </mc:AlternateContent>
  <xdr:twoCellAnchor editAs="oneCell">
    <xdr:from>
      <xdr:col>12</xdr:col>
      <xdr:colOff>87922</xdr:colOff>
      <xdr:row>54</xdr:row>
      <xdr:rowOff>117231</xdr:rowOff>
    </xdr:from>
    <xdr:to>
      <xdr:col>15</xdr:col>
      <xdr:colOff>115891</xdr:colOff>
      <xdr:row>60</xdr:row>
      <xdr:rowOff>65685</xdr:rowOff>
    </xdr:to>
    <xdr:grpSp>
      <xdr:nvGrpSpPr>
        <xdr:cNvPr id="13" name="群組 1">
          <a:extLst>
            <a:ext uri="{FF2B5EF4-FFF2-40B4-BE49-F238E27FC236}">
              <a16:creationId xmlns:a16="http://schemas.microsoft.com/office/drawing/2014/main" id="{F2758E88-04CB-4D5E-A16D-EC11E3B527D1}"/>
            </a:ext>
          </a:extLst>
        </xdr:cNvPr>
        <xdr:cNvGrpSpPr>
          <a:grpSpLocks/>
        </xdr:cNvGrpSpPr>
      </xdr:nvGrpSpPr>
      <xdr:grpSpPr>
        <a:xfrm>
          <a:off x="3604845" y="8704385"/>
          <a:ext cx="907200" cy="908281"/>
          <a:chOff x="6534152" y="1200149"/>
          <a:chExt cx="3734388" cy="3781066"/>
        </a:xfrm>
      </xdr:grpSpPr>
      <xdr:sp macro="" textlink="" fLocksText="0">
        <xdr:nvSpPr>
          <xdr:cNvPr id="14" name="橢圓 2">
            <a:extLst>
              <a:ext uri="{FF2B5EF4-FFF2-40B4-BE49-F238E27FC236}">
                <a16:creationId xmlns:a16="http://schemas.microsoft.com/office/drawing/2014/main" id="{267032A9-9494-9D1E-EE44-490EBD9E1157}"/>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15" name="橢圓 3">
            <a:extLst>
              <a:ext uri="{FF2B5EF4-FFF2-40B4-BE49-F238E27FC236}">
                <a16:creationId xmlns:a16="http://schemas.microsoft.com/office/drawing/2014/main" id="{84218F8E-0323-F7E9-1CC6-85164B49F170}"/>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16" name="橢圓 4">
            <a:extLst>
              <a:ext uri="{FF2B5EF4-FFF2-40B4-BE49-F238E27FC236}">
                <a16:creationId xmlns:a16="http://schemas.microsoft.com/office/drawing/2014/main" id="{C092FFF7-B3A0-BF01-231F-93DFEC035D23}"/>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476251</xdr:colOff>
      <xdr:row>34</xdr:row>
      <xdr:rowOff>152400</xdr:rowOff>
    </xdr:from>
    <xdr:to>
      <xdr:col>2</xdr:col>
      <xdr:colOff>323277</xdr:colOff>
      <xdr:row>39</xdr:row>
      <xdr:rowOff>108181</xdr:rowOff>
    </xdr:to>
    <xdr:grpSp>
      <xdr:nvGrpSpPr>
        <xdr:cNvPr id="2" name="群組 1">
          <a:extLst>
            <a:ext uri="{FF2B5EF4-FFF2-40B4-BE49-F238E27FC236}">
              <a16:creationId xmlns:a16="http://schemas.microsoft.com/office/drawing/2014/main" id="{DE281D1F-D83A-47C8-BA4D-DFCD0E5FC038}"/>
            </a:ext>
          </a:extLst>
        </xdr:cNvPr>
        <xdr:cNvGrpSpPr>
          <a:grpSpLocks/>
        </xdr:cNvGrpSpPr>
      </xdr:nvGrpSpPr>
      <xdr:grpSpPr>
        <a:xfrm>
          <a:off x="476251" y="6571422"/>
          <a:ext cx="907200" cy="908281"/>
          <a:chOff x="6534152" y="1200149"/>
          <a:chExt cx="3734388" cy="3781066"/>
        </a:xfrm>
      </xdr:grpSpPr>
      <xdr:sp macro="" textlink="" fLocksText="0">
        <xdr:nvSpPr>
          <xdr:cNvPr id="3" name="橢圓 2">
            <a:extLst>
              <a:ext uri="{FF2B5EF4-FFF2-40B4-BE49-F238E27FC236}">
                <a16:creationId xmlns:a16="http://schemas.microsoft.com/office/drawing/2014/main" id="{33922584-4F42-1BCA-6F5A-727FB1DCEAE0}"/>
              </a:ext>
            </a:extLst>
          </xdr:cNvPr>
          <xdr:cNvSpPr>
            <a:spLocks noChangeAspect="1"/>
          </xdr:cNvSpPr>
        </xdr:nvSpPr>
        <xdr:spPr>
          <a:xfrm>
            <a:off x="7305562" y="1981201"/>
            <a:ext cx="2191572" cy="22189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overflow" horzOverflow="overflow" wrap="none" lIns="36000" tIns="36000" rIns="36000" bIns="36000" rtlCol="0" anchor="ctr"/>
          <a:lstStyle/>
          <a:p>
            <a:pPr algn="ctr"/>
            <a:endParaRPr lang="en-US" altLang="en-US" sz="2700" b="0" i="0" u="none" strike="noStrike" cap="none" spc="0">
              <a:ln w="0"/>
              <a:solidFill>
                <a:schemeClr val="accent5">
                  <a:lumMod val="50000"/>
                </a:schemeClr>
              </a:solidFill>
              <a:effectLst/>
              <a:latin typeface="Times New Roman" panose="02020603050405020304" pitchFamily="18" charset="0"/>
              <a:ea typeface="新細明體"/>
              <a:cs typeface="Times New Roman" panose="02020603050405020304" pitchFamily="18" charset="0"/>
            </a:endParaRPr>
          </a:p>
        </xdr:txBody>
      </xdr:sp>
      <xdr:sp macro="" textlink="A2">
        <xdr:nvSpPr>
          <xdr:cNvPr id="4" name="橢圓 3">
            <a:extLst>
              <a:ext uri="{FF2B5EF4-FFF2-40B4-BE49-F238E27FC236}">
                <a16:creationId xmlns:a16="http://schemas.microsoft.com/office/drawing/2014/main" id="{4539BA93-F7F3-3065-2D92-8F1F20E942A2}"/>
              </a:ext>
            </a:extLst>
          </xdr:cNvPr>
          <xdr:cNvSpPr/>
        </xdr:nvSpPr>
        <xdr:spPr>
          <a:xfrm>
            <a:off x="6534152" y="1200149"/>
            <a:ext cx="3734388" cy="3781066"/>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prstTxWarp prst="textCircle">
              <a:avLst/>
            </a:prstTxWarp>
          </a:bodyPr>
          <a:lstStyle/>
          <a:p>
            <a:pPr algn="l"/>
            <a:fld id="{A041978C-B47D-4495-81B1-FD72F5BE14A2}" type="TxLink">
              <a:rPr lang="en-US" altLang="en-US" sz="1100" b="0" i="0" u="none" strike="noStrike" cap="none" spc="0">
                <a:ln w="0"/>
                <a:solidFill>
                  <a:srgbClr val="1F497D"/>
                </a:solidFill>
                <a:effectLst/>
                <a:latin typeface="Calibri"/>
                <a:ea typeface="Calibri"/>
                <a:cs typeface="Calibri"/>
              </a:rPr>
              <a:pPr algn="l"/>
              <a:t>* KIM LUNG SUPPLY CHAIN (GUANGZHOU) LIMITED.</a:t>
            </a:fld>
            <a:endParaRPr lang="en-US" altLang="en-US" sz="3600" b="0" i="0" u="none" strike="noStrike" cap="none" spc="0">
              <a:ln w="0"/>
              <a:solidFill>
                <a:schemeClr val="accent5">
                  <a:lumMod val="50000"/>
                </a:schemeClr>
              </a:solidFill>
              <a:effectLst/>
              <a:latin typeface="Times New Roman" panose="02020603050405020304" pitchFamily="18" charset="0"/>
              <a:ea typeface="標楷體" panose="03000509000000000000" pitchFamily="65" charset="-120"/>
              <a:cs typeface="Times New Roman" panose="02020603050405020304" pitchFamily="18" charset="0"/>
            </a:endParaRPr>
          </a:p>
        </xdr:txBody>
      </xdr:sp>
      <xdr:sp macro="" textlink="">
        <xdr:nvSpPr>
          <xdr:cNvPr id="5" name="橢圓 4">
            <a:extLst>
              <a:ext uri="{FF2B5EF4-FFF2-40B4-BE49-F238E27FC236}">
                <a16:creationId xmlns:a16="http://schemas.microsoft.com/office/drawing/2014/main" id="{5EC0BCF9-4B41-9F97-293B-136BE532FCD1}"/>
              </a:ext>
            </a:extLst>
          </xdr:cNvPr>
          <xdr:cNvSpPr/>
        </xdr:nvSpPr>
        <xdr:spPr>
          <a:xfrm>
            <a:off x="6668091" y="1335762"/>
            <a:ext cx="3466516" cy="3509842"/>
          </a:xfrm>
          <a:prstGeom prst="ellipse">
            <a:avLst/>
          </a:prstGeom>
          <a:noFill/>
          <a:ln w="19050">
            <a:solidFill>
              <a:srgbClr val="00206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zh-TW" altLang="en-US" sz="1100" b="0" cap="none" spc="0">
              <a:ln w="0"/>
              <a:solidFill>
                <a:schemeClr val="tx1"/>
              </a:solidFill>
              <a:effectLst>
                <a:outerShdw blurRad="38100" dist="19050" dir="2700000" algn="tl" rotWithShape="0">
                  <a:schemeClr val="dk1">
                    <a:alpha val="40000"/>
                  </a:schemeClr>
                </a:outerShdw>
              </a:effectLst>
            </a:endParaRPr>
          </a:p>
        </xdr:txBody>
      </xdr:sp>
    </xdr:grpSp>
    <xdr:clientData/>
  </xdr:twoCellAnchor>
  <xdr:twoCellAnchor editAs="oneCell">
    <xdr:from>
      <xdr:col>1</xdr:col>
      <xdr:colOff>265043</xdr:colOff>
      <xdr:row>29</xdr:row>
      <xdr:rowOff>121037</xdr:rowOff>
    </xdr:from>
    <xdr:to>
      <xdr:col>3</xdr:col>
      <xdr:colOff>132522</xdr:colOff>
      <xdr:row>40</xdr:row>
      <xdr:rowOff>43484</xdr:rowOff>
    </xdr:to>
    <xdr:pic>
      <xdr:nvPicPr>
        <xdr:cNvPr id="6" name="Picture 5">
          <a:extLst>
            <a:ext uri="{FF2B5EF4-FFF2-40B4-BE49-F238E27FC236}">
              <a16:creationId xmlns:a16="http://schemas.microsoft.com/office/drawing/2014/main" id="{AF7FFBF8-9FD3-4CA9-8C20-E2B0616EC5B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793681" y="5340737"/>
          <a:ext cx="924754" cy="1913172"/>
        </a:xfrm>
        <a:prstGeom prst="rect">
          <a:avLst/>
        </a:prstGeom>
      </xdr:spPr>
    </xdr:pic>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ctrlProp" Target="../ctrlProps/ctrlProp5.xml"/><Relationship Id="rId13" Type="http://schemas.openxmlformats.org/officeDocument/2006/relationships/ctrlProp" Target="../ctrlProps/ctrlProp10.xml"/><Relationship Id="rId18" Type="http://schemas.openxmlformats.org/officeDocument/2006/relationships/ctrlProp" Target="../ctrlProps/ctrlProp15.xml"/><Relationship Id="rId3" Type="http://schemas.openxmlformats.org/officeDocument/2006/relationships/vmlDrawing" Target="../drawings/vmlDrawing1.vml"/><Relationship Id="rId21" Type="http://schemas.openxmlformats.org/officeDocument/2006/relationships/ctrlProp" Target="../ctrlProps/ctrlProp18.xml"/><Relationship Id="rId7" Type="http://schemas.openxmlformats.org/officeDocument/2006/relationships/ctrlProp" Target="../ctrlProps/ctrlProp4.xml"/><Relationship Id="rId12" Type="http://schemas.openxmlformats.org/officeDocument/2006/relationships/ctrlProp" Target="../ctrlProps/ctrlProp9.xml"/><Relationship Id="rId17" Type="http://schemas.openxmlformats.org/officeDocument/2006/relationships/ctrlProp" Target="../ctrlProps/ctrlProp14.xml"/><Relationship Id="rId2" Type="http://schemas.openxmlformats.org/officeDocument/2006/relationships/drawing" Target="../drawings/drawing1.xml"/><Relationship Id="rId16" Type="http://schemas.openxmlformats.org/officeDocument/2006/relationships/ctrlProp" Target="../ctrlProps/ctrlProp13.xml"/><Relationship Id="rId20" Type="http://schemas.openxmlformats.org/officeDocument/2006/relationships/ctrlProp" Target="../ctrlProps/ctrlProp17.xml"/><Relationship Id="rId1" Type="http://schemas.openxmlformats.org/officeDocument/2006/relationships/printerSettings" Target="../printerSettings/printerSettings1.bin"/><Relationship Id="rId6" Type="http://schemas.openxmlformats.org/officeDocument/2006/relationships/ctrlProp" Target="../ctrlProps/ctrlProp3.xml"/><Relationship Id="rId11" Type="http://schemas.openxmlformats.org/officeDocument/2006/relationships/ctrlProp" Target="../ctrlProps/ctrlProp8.xml"/><Relationship Id="rId24" Type="http://schemas.openxmlformats.org/officeDocument/2006/relationships/ctrlProp" Target="../ctrlProps/ctrlProp21.xml"/><Relationship Id="rId5" Type="http://schemas.openxmlformats.org/officeDocument/2006/relationships/ctrlProp" Target="../ctrlProps/ctrlProp2.xml"/><Relationship Id="rId15" Type="http://schemas.openxmlformats.org/officeDocument/2006/relationships/ctrlProp" Target="../ctrlProps/ctrlProp12.xml"/><Relationship Id="rId23" Type="http://schemas.openxmlformats.org/officeDocument/2006/relationships/ctrlProp" Target="../ctrlProps/ctrlProp20.xml"/><Relationship Id="rId10" Type="http://schemas.openxmlformats.org/officeDocument/2006/relationships/ctrlProp" Target="../ctrlProps/ctrlProp7.xml"/><Relationship Id="rId19" Type="http://schemas.openxmlformats.org/officeDocument/2006/relationships/ctrlProp" Target="../ctrlProps/ctrlProp16.xml"/><Relationship Id="rId4" Type="http://schemas.openxmlformats.org/officeDocument/2006/relationships/ctrlProp" Target="../ctrlProps/ctrlProp1.xml"/><Relationship Id="rId9" Type="http://schemas.openxmlformats.org/officeDocument/2006/relationships/ctrlProp" Target="../ctrlProps/ctrlProp6.xml"/><Relationship Id="rId14" Type="http://schemas.openxmlformats.org/officeDocument/2006/relationships/ctrlProp" Target="../ctrlProps/ctrlProp11.xml"/><Relationship Id="rId22" Type="http://schemas.openxmlformats.org/officeDocument/2006/relationships/ctrlProp" Target="../ctrlProps/ctrlProp19.xml"/></Relationships>
</file>

<file path=xl/worksheets/_rels/sheet2.xml.rels><?xml version="1.0" encoding="UTF-8" standalone="yes"?>
<Relationships xmlns="http://schemas.openxmlformats.org/package/2006/relationships"><Relationship Id="rId8" Type="http://schemas.openxmlformats.org/officeDocument/2006/relationships/ctrlProp" Target="../ctrlProps/ctrlProp26.xml"/><Relationship Id="rId3" Type="http://schemas.openxmlformats.org/officeDocument/2006/relationships/vmlDrawing" Target="../drawings/vmlDrawing2.vml"/><Relationship Id="rId7" Type="http://schemas.openxmlformats.org/officeDocument/2006/relationships/ctrlProp" Target="../ctrlProps/ctrlProp25.x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trlProp" Target="../ctrlProps/ctrlProp24.xml"/><Relationship Id="rId11" Type="http://schemas.openxmlformats.org/officeDocument/2006/relationships/ctrlProp" Target="../ctrlProps/ctrlProp29.xml"/><Relationship Id="rId5" Type="http://schemas.openxmlformats.org/officeDocument/2006/relationships/ctrlProp" Target="../ctrlProps/ctrlProp23.xml"/><Relationship Id="rId10" Type="http://schemas.openxmlformats.org/officeDocument/2006/relationships/ctrlProp" Target="../ctrlProps/ctrlProp28.xml"/><Relationship Id="rId4" Type="http://schemas.openxmlformats.org/officeDocument/2006/relationships/ctrlProp" Target="../ctrlProps/ctrlProp22.xml"/><Relationship Id="rId9" Type="http://schemas.openxmlformats.org/officeDocument/2006/relationships/ctrlProp" Target="../ctrlProps/ctrlProp27.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E3BF5-CA0F-4712-BDD2-59B875C58E20}">
  <sheetPr codeName="Sheet1">
    <outlinePr summaryBelow="0" summaryRight="0"/>
    <pageSetUpPr fitToPage="1"/>
  </sheetPr>
  <dimension ref="A1:AI83"/>
  <sheetViews>
    <sheetView tabSelected="1" zoomScaleNormal="100" workbookViewId="0">
      <selection activeCell="C2" sqref="C2:C28"/>
    </sheetView>
  </sheetViews>
  <sheetFormatPr defaultColWidth="9" defaultRowHeight="15.6" customHeight="1"/>
  <cols>
    <col min="1" max="1" width="3" style="14" bestFit="1" customWidth="1"/>
    <col min="2" max="3" width="2.125" style="14" customWidth="1"/>
    <col min="4" max="4" width="30" style="1" customWidth="1"/>
    <col min="5" max="5" width="26.75" style="1" customWidth="1"/>
    <col min="6" max="6" width="20.5" style="1" customWidth="1"/>
    <col min="7" max="7" width="7.75" style="1" customWidth="1"/>
    <col min="8" max="8" width="8.25" style="1" customWidth="1"/>
    <col min="9" max="9" width="14.25" style="1" customWidth="1"/>
    <col min="10" max="35" width="9" style="1"/>
  </cols>
  <sheetData>
    <row r="1" spans="1:9" ht="15.6" customHeight="1">
      <c r="D1" s="45" t="s">
        <v>121</v>
      </c>
      <c r="E1" s="45"/>
      <c r="F1" s="44"/>
      <c r="G1" s="44"/>
      <c r="H1" s="44"/>
      <c r="I1" s="44"/>
    </row>
    <row r="2" spans="1:9" ht="12" customHeight="1">
      <c r="A2" s="96" t="s">
        <v>117</v>
      </c>
      <c r="B2" s="144" t="s">
        <v>115</v>
      </c>
      <c r="C2" s="120" t="s">
        <v>116</v>
      </c>
      <c r="D2" s="46" t="s">
        <v>128</v>
      </c>
      <c r="E2" s="62" t="s">
        <v>0</v>
      </c>
      <c r="F2" s="134" t="s">
        <v>122</v>
      </c>
      <c r="G2" s="135"/>
      <c r="H2" s="163"/>
      <c r="I2" s="164"/>
    </row>
    <row r="3" spans="1:9" s="2" customFormat="1" ht="12" customHeight="1">
      <c r="A3" s="96"/>
      <c r="B3" s="144"/>
      <c r="C3" s="120"/>
      <c r="D3" s="155" t="s">
        <v>120</v>
      </c>
      <c r="E3" s="156"/>
      <c r="F3" s="136"/>
      <c r="G3" s="137"/>
      <c r="H3" s="137"/>
      <c r="I3" s="148"/>
    </row>
    <row r="4" spans="1:9" s="2" customFormat="1" ht="12" customHeight="1">
      <c r="A4" s="96"/>
      <c r="B4" s="144"/>
      <c r="C4" s="120"/>
      <c r="D4" s="157"/>
      <c r="E4" s="156"/>
      <c r="F4" s="136"/>
      <c r="G4" s="137"/>
      <c r="H4" s="161"/>
      <c r="I4" s="162"/>
    </row>
    <row r="5" spans="1:9" s="2" customFormat="1" ht="12" customHeight="1">
      <c r="A5" s="96"/>
      <c r="B5" s="144"/>
      <c r="C5" s="120"/>
      <c r="D5" s="157"/>
      <c r="E5" s="156"/>
      <c r="F5" s="136"/>
      <c r="G5" s="137"/>
      <c r="H5" s="103"/>
      <c r="I5" s="104"/>
    </row>
    <row r="6" spans="1:9" s="2" customFormat="1" ht="23.25" customHeight="1">
      <c r="A6" s="96"/>
      <c r="B6" s="144"/>
      <c r="C6" s="120"/>
      <c r="D6" s="157"/>
      <c r="E6" s="156"/>
      <c r="F6" s="128"/>
      <c r="G6" s="129"/>
      <c r="H6" s="129"/>
      <c r="I6" s="130"/>
    </row>
    <row r="7" spans="1:9" s="2" customFormat="1" ht="24.75" customHeight="1">
      <c r="A7" s="96"/>
      <c r="B7" s="144"/>
      <c r="C7" s="120"/>
      <c r="D7" s="158"/>
      <c r="E7" s="159"/>
      <c r="F7" s="128"/>
      <c r="G7" s="129"/>
      <c r="H7" s="129"/>
      <c r="I7" s="130"/>
    </row>
    <row r="8" spans="1:9" ht="12" customHeight="1">
      <c r="A8" s="96"/>
      <c r="B8" s="144"/>
      <c r="C8" s="120"/>
      <c r="D8" s="46" t="s">
        <v>119</v>
      </c>
      <c r="E8" s="63"/>
      <c r="F8" s="128"/>
      <c r="G8" s="129"/>
      <c r="H8" s="129"/>
      <c r="I8" s="130"/>
    </row>
    <row r="9" spans="1:9" s="2" customFormat="1" ht="12" customHeight="1">
      <c r="A9" s="96"/>
      <c r="B9" s="144"/>
      <c r="C9" s="120"/>
      <c r="D9" s="121" t="s">
        <v>154</v>
      </c>
      <c r="E9" s="122"/>
      <c r="F9" s="128"/>
      <c r="G9" s="129"/>
      <c r="H9" s="129"/>
      <c r="I9" s="130"/>
    </row>
    <row r="10" spans="1:9" s="2" customFormat="1" ht="12" customHeight="1">
      <c r="A10" s="96"/>
      <c r="B10" s="144"/>
      <c r="C10" s="120"/>
      <c r="D10" s="121"/>
      <c r="E10" s="122"/>
      <c r="F10" s="128"/>
      <c r="G10" s="129"/>
      <c r="H10" s="129"/>
      <c r="I10" s="130"/>
    </row>
    <row r="11" spans="1:9" s="2" customFormat="1" ht="12" customHeight="1">
      <c r="A11" s="96"/>
      <c r="B11" s="144"/>
      <c r="C11" s="120"/>
      <c r="D11" s="121"/>
      <c r="E11" s="122"/>
      <c r="F11" s="128"/>
      <c r="G11" s="129"/>
      <c r="H11" s="129"/>
      <c r="I11" s="130"/>
    </row>
    <row r="12" spans="1:9" s="2" customFormat="1" ht="12" customHeight="1">
      <c r="A12" s="96"/>
      <c r="B12" s="144"/>
      <c r="C12" s="120"/>
      <c r="D12" s="121"/>
      <c r="E12" s="122"/>
      <c r="F12" s="128"/>
      <c r="G12" s="129"/>
      <c r="H12" s="129"/>
      <c r="I12" s="130"/>
    </row>
    <row r="13" spans="1:9" s="2" customFormat="1" ht="51" customHeight="1">
      <c r="A13" s="96"/>
      <c r="B13" s="144"/>
      <c r="C13" s="120"/>
      <c r="D13" s="123"/>
      <c r="E13" s="124"/>
      <c r="F13" s="131"/>
      <c r="G13" s="132"/>
      <c r="H13" s="132"/>
      <c r="I13" s="133"/>
    </row>
    <row r="14" spans="1:9" ht="12" customHeight="1">
      <c r="A14" s="96"/>
      <c r="B14" s="144"/>
      <c r="C14" s="120"/>
      <c r="D14" s="48" t="s">
        <v>1</v>
      </c>
      <c r="E14" s="54"/>
      <c r="F14" s="55" t="s">
        <v>2</v>
      </c>
      <c r="G14" s="56"/>
      <c r="H14" s="56"/>
      <c r="I14" s="57"/>
    </row>
    <row r="15" spans="1:9" s="3" customFormat="1" ht="12" customHeight="1">
      <c r="A15" s="96"/>
      <c r="B15" s="144"/>
      <c r="C15" s="120"/>
      <c r="D15" s="121" t="s">
        <v>3</v>
      </c>
      <c r="E15" s="145"/>
      <c r="F15" s="58"/>
      <c r="G15" s="59"/>
      <c r="H15" s="59"/>
      <c r="I15" s="60"/>
    </row>
    <row r="16" spans="1:9" s="3" customFormat="1" ht="12" customHeight="1">
      <c r="A16" s="96"/>
      <c r="B16" s="144"/>
      <c r="C16" s="120"/>
      <c r="D16" s="146"/>
      <c r="E16" s="145"/>
      <c r="F16" s="55" t="s">
        <v>4</v>
      </c>
      <c r="G16" s="83"/>
      <c r="H16" s="83"/>
      <c r="I16" s="84"/>
    </row>
    <row r="17" spans="1:9" s="3" customFormat="1" ht="12" customHeight="1">
      <c r="A17" s="96"/>
      <c r="B17" s="144"/>
      <c r="C17" s="120"/>
      <c r="D17" s="146"/>
      <c r="E17" s="145"/>
      <c r="F17" s="61"/>
      <c r="G17" s="85"/>
      <c r="H17" s="85"/>
      <c r="I17" s="86"/>
    </row>
    <row r="18" spans="1:9" s="3" customFormat="1" ht="12" customHeight="1">
      <c r="A18" s="96"/>
      <c r="B18" s="144"/>
      <c r="C18" s="120"/>
      <c r="D18" s="146"/>
      <c r="E18" s="145"/>
      <c r="F18" s="55"/>
      <c r="G18" s="83"/>
      <c r="H18" s="83"/>
      <c r="I18" s="84"/>
    </row>
    <row r="19" spans="1:9" s="3" customFormat="1" ht="12" customHeight="1">
      <c r="A19" s="96"/>
      <c r="B19" s="144"/>
      <c r="C19" s="120"/>
      <c r="D19" s="146"/>
      <c r="E19" s="145"/>
      <c r="F19" s="61"/>
      <c r="G19" s="85"/>
      <c r="H19" s="85"/>
      <c r="I19" s="86"/>
    </row>
    <row r="20" spans="1:9" s="3" customFormat="1" ht="12" customHeight="1">
      <c r="A20" s="96"/>
      <c r="B20" s="144"/>
      <c r="C20" s="120"/>
      <c r="D20" s="146"/>
      <c r="E20" s="145"/>
      <c r="F20" s="142" t="s">
        <v>124</v>
      </c>
      <c r="G20" s="138"/>
      <c r="H20" s="138"/>
      <c r="I20" s="139"/>
    </row>
    <row r="21" spans="1:9" s="3" customFormat="1" ht="12" customHeight="1">
      <c r="A21" s="96"/>
      <c r="B21" s="144"/>
      <c r="C21" s="120"/>
      <c r="D21" s="146"/>
      <c r="E21" s="145"/>
      <c r="F21" s="143"/>
      <c r="G21" s="140"/>
      <c r="H21" s="140"/>
      <c r="I21" s="141"/>
    </row>
    <row r="22" spans="1:9" ht="12" customHeight="1">
      <c r="A22" s="96"/>
      <c r="B22" s="144"/>
      <c r="C22" s="120"/>
      <c r="D22" s="82" t="s">
        <v>5</v>
      </c>
      <c r="E22" s="47" t="s">
        <v>6</v>
      </c>
      <c r="F22" s="147" t="s">
        <v>7</v>
      </c>
      <c r="G22" s="168"/>
      <c r="H22" s="168"/>
      <c r="I22" s="169"/>
    </row>
    <row r="23" spans="1:9" ht="21">
      <c r="A23" s="96"/>
      <c r="B23" s="144"/>
      <c r="C23" s="120"/>
      <c r="D23" s="41" t="s">
        <v>151</v>
      </c>
      <c r="E23" s="41" t="s">
        <v>123</v>
      </c>
      <c r="F23" s="147"/>
      <c r="G23" s="170"/>
      <c r="H23" s="170"/>
      <c r="I23" s="171"/>
    </row>
    <row r="24" spans="1:9" ht="12" customHeight="1">
      <c r="A24" s="96"/>
      <c r="B24" s="144"/>
      <c r="C24" s="120"/>
      <c r="D24" s="49" t="s">
        <v>125</v>
      </c>
      <c r="E24" s="49" t="s">
        <v>8</v>
      </c>
      <c r="F24" s="149" t="s">
        <v>126</v>
      </c>
      <c r="G24" s="150"/>
      <c r="H24" s="150"/>
      <c r="I24" s="151"/>
    </row>
    <row r="25" spans="1:9" ht="17.45" customHeight="1">
      <c r="A25" s="96"/>
      <c r="B25" s="144"/>
      <c r="C25" s="120"/>
      <c r="D25" s="41" t="s">
        <v>152</v>
      </c>
      <c r="E25" s="41" t="s">
        <v>9</v>
      </c>
      <c r="F25" s="149"/>
      <c r="G25" s="150"/>
      <c r="H25" s="150"/>
      <c r="I25" s="151"/>
    </row>
    <row r="26" spans="1:9" ht="12" customHeight="1">
      <c r="A26" s="96"/>
      <c r="B26" s="144"/>
      <c r="C26" s="120"/>
      <c r="D26" s="49" t="s">
        <v>10</v>
      </c>
      <c r="E26" s="49" t="s">
        <v>11</v>
      </c>
      <c r="F26" s="149"/>
      <c r="G26" s="150"/>
      <c r="H26" s="150"/>
      <c r="I26" s="151"/>
    </row>
    <row r="27" spans="1:9" ht="17.45" customHeight="1">
      <c r="A27" s="96"/>
      <c r="B27" s="144"/>
      <c r="C27" s="120"/>
      <c r="D27" s="41" t="s">
        <v>153</v>
      </c>
      <c r="E27" s="50"/>
      <c r="F27" s="152"/>
      <c r="G27" s="153"/>
      <c r="H27" s="153"/>
      <c r="I27" s="154"/>
    </row>
    <row r="28" spans="1:9" ht="16.5">
      <c r="A28" s="96"/>
      <c r="B28" s="144"/>
      <c r="C28" s="120"/>
      <c r="D28" s="51" t="s">
        <v>12</v>
      </c>
      <c r="E28" s="51" t="s">
        <v>13</v>
      </c>
      <c r="F28" s="52" t="s">
        <v>14</v>
      </c>
      <c r="G28" s="127" t="s">
        <v>15</v>
      </c>
      <c r="H28" s="127"/>
      <c r="I28" s="53" t="s">
        <v>16</v>
      </c>
    </row>
    <row r="29" spans="1:9" s="2" customFormat="1" ht="16.5" customHeight="1">
      <c r="A29" s="4"/>
      <c r="B29" s="4"/>
      <c r="C29" s="4"/>
      <c r="D29" s="7"/>
      <c r="E29" s="172" t="s">
        <v>145</v>
      </c>
      <c r="F29" s="92" t="s">
        <v>143</v>
      </c>
      <c r="G29" s="166" t="s">
        <v>144</v>
      </c>
      <c r="H29" s="167"/>
      <c r="I29" s="7"/>
    </row>
    <row r="30" spans="1:9" s="2" customFormat="1" ht="16.5" customHeight="1">
      <c r="A30" s="42"/>
      <c r="B30" s="120" t="s">
        <v>17</v>
      </c>
      <c r="C30" s="105" t="s">
        <v>18</v>
      </c>
      <c r="D30" s="7"/>
      <c r="E30" s="173"/>
      <c r="F30" s="93"/>
      <c r="G30" s="115"/>
      <c r="H30" s="116"/>
      <c r="I30" s="8"/>
    </row>
    <row r="31" spans="1:9" s="2" customFormat="1" ht="16.5" customHeight="1">
      <c r="A31" s="43"/>
      <c r="B31" s="120"/>
      <c r="C31" s="105"/>
      <c r="D31" s="8"/>
      <c r="E31" s="173"/>
      <c r="F31" s="94"/>
      <c r="G31" s="115"/>
      <c r="H31" s="116"/>
      <c r="I31" s="8"/>
    </row>
    <row r="32" spans="1:9" s="2" customFormat="1" ht="16.5" customHeight="1">
      <c r="A32" s="43"/>
      <c r="B32" s="120"/>
      <c r="C32" s="105"/>
      <c r="D32" s="12"/>
      <c r="E32" s="173"/>
      <c r="F32" s="94"/>
      <c r="G32" s="115"/>
      <c r="H32" s="116"/>
      <c r="I32" s="8"/>
    </row>
    <row r="33" spans="1:9" s="2" customFormat="1" ht="16.5" customHeight="1">
      <c r="A33" s="43"/>
      <c r="B33" s="120"/>
      <c r="C33" s="105"/>
      <c r="D33" s="12"/>
      <c r="E33" s="173"/>
      <c r="F33" s="94"/>
      <c r="G33" s="115"/>
      <c r="H33" s="116"/>
      <c r="I33" s="8"/>
    </row>
    <row r="34" spans="1:9" s="2" customFormat="1" ht="16.5" customHeight="1">
      <c r="A34" s="43"/>
      <c r="B34" s="120"/>
      <c r="C34" s="105"/>
      <c r="D34" s="12"/>
      <c r="E34" s="173"/>
      <c r="F34" s="94"/>
      <c r="G34" s="115"/>
      <c r="H34" s="116"/>
      <c r="I34" s="8"/>
    </row>
    <row r="35" spans="1:9" s="2" customFormat="1" ht="16.5" customHeight="1">
      <c r="A35" s="43"/>
      <c r="B35" s="120"/>
      <c r="C35" s="105"/>
      <c r="D35" s="12"/>
      <c r="E35" s="173"/>
      <c r="F35" s="94"/>
      <c r="G35" s="115"/>
      <c r="H35" s="116"/>
      <c r="I35" s="8"/>
    </row>
    <row r="36" spans="1:9" s="2" customFormat="1" ht="16.5" customHeight="1">
      <c r="A36" s="43"/>
      <c r="B36" s="120"/>
      <c r="C36" s="105"/>
      <c r="D36" s="12"/>
      <c r="E36" s="173"/>
      <c r="F36" s="94"/>
      <c r="G36" s="115"/>
      <c r="H36" s="116"/>
      <c r="I36" s="8"/>
    </row>
    <row r="37" spans="1:9" s="2" customFormat="1" ht="16.5" customHeight="1">
      <c r="A37" s="43"/>
      <c r="B37" s="120"/>
      <c r="C37" s="105"/>
      <c r="D37" s="12"/>
      <c r="E37" s="173"/>
      <c r="F37" s="94"/>
      <c r="G37" s="115"/>
      <c r="H37" s="116"/>
      <c r="I37" s="8"/>
    </row>
    <row r="38" spans="1:9" s="2" customFormat="1" ht="16.5" customHeight="1">
      <c r="A38" s="43"/>
      <c r="B38" s="120"/>
      <c r="C38" s="105"/>
      <c r="D38" s="12"/>
      <c r="E38" s="173"/>
      <c r="F38" s="94"/>
      <c r="G38" s="115"/>
      <c r="H38" s="116"/>
      <c r="I38" s="8"/>
    </row>
    <row r="39" spans="1:9" s="2" customFormat="1" ht="16.5" customHeight="1">
      <c r="A39" s="43"/>
      <c r="B39" s="120"/>
      <c r="C39" s="105"/>
      <c r="D39" s="12"/>
      <c r="E39" s="173"/>
      <c r="F39" s="94"/>
      <c r="G39" s="115"/>
      <c r="H39" s="116"/>
      <c r="I39" s="8"/>
    </row>
    <row r="40" spans="1:9" s="2" customFormat="1" ht="16.5" customHeight="1">
      <c r="A40" s="106" t="s">
        <v>19</v>
      </c>
      <c r="B40" s="120"/>
      <c r="C40" s="105"/>
      <c r="D40" s="12"/>
      <c r="E40" s="173"/>
      <c r="F40" s="94"/>
      <c r="G40" s="115"/>
      <c r="H40" s="116"/>
      <c r="I40" s="8"/>
    </row>
    <row r="41" spans="1:9" s="2" customFormat="1" ht="16.5" customHeight="1">
      <c r="A41" s="106"/>
      <c r="B41" s="120"/>
      <c r="C41" s="105"/>
      <c r="D41" s="12"/>
      <c r="E41" s="173"/>
      <c r="F41" s="94"/>
      <c r="G41" s="115"/>
      <c r="H41" s="116"/>
      <c r="I41" s="8"/>
    </row>
    <row r="42" spans="1:9" s="2" customFormat="1" ht="16.5" customHeight="1">
      <c r="A42" s="106"/>
      <c r="B42" s="120"/>
      <c r="C42" s="105"/>
      <c r="D42" s="12"/>
      <c r="E42" s="173"/>
      <c r="F42" s="94"/>
      <c r="G42" s="115"/>
      <c r="H42" s="116"/>
      <c r="I42" s="8"/>
    </row>
    <row r="43" spans="1:9" s="2" customFormat="1" ht="16.5" customHeight="1">
      <c r="A43" s="106"/>
      <c r="B43" s="120"/>
      <c r="C43" s="105"/>
      <c r="D43" s="12"/>
      <c r="E43" s="173"/>
      <c r="F43" s="94"/>
      <c r="G43" s="115"/>
      <c r="H43" s="116"/>
      <c r="I43" s="8"/>
    </row>
    <row r="44" spans="1:9" s="2" customFormat="1" ht="16.5" customHeight="1">
      <c r="A44" s="106"/>
      <c r="B44" s="120"/>
      <c r="C44" s="105"/>
      <c r="D44" s="12"/>
      <c r="E44" s="173"/>
      <c r="F44" s="94"/>
      <c r="G44" s="115"/>
      <c r="H44" s="116"/>
      <c r="I44" s="8"/>
    </row>
    <row r="45" spans="1:9" s="2" customFormat="1" ht="16.5" customHeight="1">
      <c r="A45" s="106"/>
      <c r="B45" s="120"/>
      <c r="C45" s="105"/>
      <c r="D45" s="13"/>
      <c r="E45" s="174"/>
      <c r="F45" s="95"/>
      <c r="G45" s="115"/>
      <c r="H45" s="116"/>
      <c r="I45" s="8"/>
    </row>
    <row r="46" spans="1:9" s="2" customFormat="1" ht="12" customHeight="1">
      <c r="A46" s="106"/>
      <c r="B46" s="120"/>
      <c r="C46" s="105"/>
      <c r="D46" s="112" t="s">
        <v>20</v>
      </c>
      <c r="E46" s="113"/>
      <c r="F46" s="113"/>
      <c r="G46" s="113"/>
      <c r="H46" s="113"/>
      <c r="I46" s="114"/>
    </row>
    <row r="47" spans="1:9" s="2" customFormat="1" ht="12" customHeight="1">
      <c r="A47" s="106"/>
      <c r="B47" s="120"/>
      <c r="C47" s="105"/>
      <c r="D47" s="117" t="s">
        <v>21</v>
      </c>
      <c r="E47" s="118"/>
      <c r="F47" s="118"/>
      <c r="G47" s="118"/>
      <c r="H47" s="118"/>
      <c r="I47" s="119"/>
    </row>
    <row r="48" spans="1:9" s="2" customFormat="1" ht="12" customHeight="1">
      <c r="A48" s="106"/>
      <c r="B48" s="120"/>
      <c r="C48" s="105"/>
      <c r="D48" s="117" t="s">
        <v>132</v>
      </c>
      <c r="E48" s="118"/>
      <c r="F48" s="118"/>
      <c r="G48" s="118"/>
      <c r="H48" s="118"/>
      <c r="I48" s="119"/>
    </row>
    <row r="49" spans="1:9" s="2" customFormat="1" ht="12" customHeight="1">
      <c r="A49" s="106"/>
      <c r="B49" s="120"/>
      <c r="C49" s="105"/>
      <c r="D49" s="117" t="s">
        <v>133</v>
      </c>
      <c r="E49" s="118"/>
      <c r="F49" s="118"/>
      <c r="G49" s="118"/>
      <c r="H49" s="118"/>
      <c r="I49" s="119"/>
    </row>
    <row r="50" spans="1:9" s="2" customFormat="1" ht="12" customHeight="1">
      <c r="A50" s="106"/>
      <c r="B50" s="120"/>
      <c r="C50" s="105"/>
      <c r="D50" s="97" t="s">
        <v>134</v>
      </c>
      <c r="E50" s="98"/>
      <c r="F50" s="98"/>
      <c r="G50" s="98"/>
      <c r="H50" s="98"/>
      <c r="I50" s="99"/>
    </row>
    <row r="51" spans="1:9" s="2" customFormat="1" ht="13.5" customHeight="1">
      <c r="A51" s="106"/>
      <c r="B51" s="120"/>
      <c r="C51" s="105"/>
      <c r="D51" s="125" t="s">
        <v>135</v>
      </c>
      <c r="E51" s="126"/>
      <c r="F51" s="125" t="s">
        <v>138</v>
      </c>
      <c r="G51" s="165"/>
      <c r="H51" s="165"/>
      <c r="I51" s="126"/>
    </row>
    <row r="52" spans="1:9" s="2" customFormat="1" ht="12" customHeight="1">
      <c r="A52" s="106"/>
      <c r="B52" s="120"/>
      <c r="C52" s="105"/>
      <c r="D52" s="175" t="s">
        <v>136</v>
      </c>
      <c r="E52" s="176"/>
      <c r="F52" s="100" t="s">
        <v>139</v>
      </c>
      <c r="G52" s="101"/>
      <c r="H52" s="101"/>
      <c r="I52" s="102"/>
    </row>
    <row r="53" spans="1:9" s="2" customFormat="1" ht="12" customHeight="1">
      <c r="A53" s="106"/>
      <c r="B53" s="120"/>
      <c r="C53" s="105"/>
      <c r="D53" s="100" t="s">
        <v>137</v>
      </c>
      <c r="E53" s="102"/>
      <c r="F53" s="100" t="s">
        <v>140</v>
      </c>
      <c r="G53" s="101"/>
      <c r="H53" s="101"/>
      <c r="I53" s="102"/>
    </row>
    <row r="54" spans="1:9" s="2" customFormat="1" ht="15" customHeight="1">
      <c r="A54" s="106"/>
      <c r="B54" s="120"/>
      <c r="C54" s="105"/>
      <c r="D54" s="125" t="s">
        <v>141</v>
      </c>
      <c r="E54" s="165"/>
      <c r="F54" s="165"/>
      <c r="G54" s="165"/>
      <c r="H54" s="165"/>
      <c r="I54" s="126"/>
    </row>
    <row r="55" spans="1:9" ht="12" customHeight="1">
      <c r="A55" s="106"/>
      <c r="B55" s="120"/>
      <c r="C55" s="105"/>
      <c r="D55" s="109" t="s">
        <v>142</v>
      </c>
      <c r="E55" s="110"/>
      <c r="F55" s="110"/>
      <c r="G55" s="110"/>
      <c r="H55" s="110"/>
      <c r="I55" s="111"/>
    </row>
    <row r="56" spans="1:9" ht="12" customHeight="1">
      <c r="A56" s="106"/>
      <c r="B56" s="120"/>
      <c r="C56" s="105"/>
      <c r="D56" s="64" t="s">
        <v>22</v>
      </c>
      <c r="E56" s="65" t="s">
        <v>23</v>
      </c>
      <c r="F56" s="65" t="s">
        <v>24</v>
      </c>
      <c r="G56" s="64" t="s">
        <v>25</v>
      </c>
      <c r="H56" s="66" t="s">
        <v>26</v>
      </c>
      <c r="I56" s="67"/>
    </row>
    <row r="57" spans="1:9" ht="12" customHeight="1">
      <c r="A57" s="106"/>
      <c r="B57" s="120"/>
      <c r="C57" s="105"/>
      <c r="D57" s="68"/>
      <c r="E57" s="69"/>
      <c r="F57" s="69"/>
      <c r="G57" s="68"/>
      <c r="H57" s="70"/>
      <c r="I57" s="71"/>
    </row>
    <row r="58" spans="1:9" s="5" customFormat="1" ht="15" customHeight="1">
      <c r="A58" s="106"/>
      <c r="B58" s="120"/>
      <c r="C58" s="105"/>
      <c r="D58" s="48" t="s">
        <v>27</v>
      </c>
      <c r="E58" s="72"/>
      <c r="F58" s="107"/>
      <c r="G58" s="107"/>
      <c r="H58" s="107"/>
      <c r="I58" s="108"/>
    </row>
    <row r="59" spans="1:9" ht="14.25" customHeight="1">
      <c r="A59" s="106"/>
      <c r="B59" s="120"/>
      <c r="C59" s="105"/>
      <c r="D59" s="40"/>
      <c r="E59" s="73"/>
      <c r="F59" s="73"/>
      <c r="G59" s="73"/>
      <c r="H59" s="73"/>
      <c r="I59" s="69"/>
    </row>
    <row r="60" spans="1:9" ht="14.25" customHeight="1">
      <c r="A60" s="106"/>
      <c r="B60" s="120"/>
      <c r="C60" s="105"/>
      <c r="D60" s="74" t="s">
        <v>28</v>
      </c>
      <c r="E60" s="75"/>
      <c r="F60" s="75"/>
      <c r="G60" s="75"/>
      <c r="H60" s="75"/>
      <c r="I60" s="76"/>
    </row>
    <row r="61" spans="1:9" ht="12" customHeight="1">
      <c r="A61" s="9"/>
      <c r="B61" s="9"/>
      <c r="C61" s="6"/>
      <c r="D61" s="77"/>
      <c r="E61" s="72"/>
      <c r="F61" s="81"/>
      <c r="G61" s="72"/>
      <c r="H61" s="72"/>
      <c r="I61" s="78"/>
    </row>
    <row r="62" spans="1:9" ht="12" customHeight="1">
      <c r="A62" s="9"/>
      <c r="B62" s="9"/>
      <c r="C62" s="6"/>
      <c r="D62" s="77"/>
      <c r="E62" s="72"/>
      <c r="F62" s="78"/>
      <c r="G62" s="72"/>
      <c r="H62" s="72"/>
      <c r="I62" s="78"/>
    </row>
    <row r="63" spans="1:9" ht="12" customHeight="1">
      <c r="A63" s="9"/>
      <c r="B63" s="9"/>
      <c r="C63" s="6"/>
      <c r="D63" s="77"/>
      <c r="E63" s="72"/>
      <c r="F63" s="78"/>
      <c r="G63" s="72"/>
      <c r="H63" s="72"/>
      <c r="I63" s="78"/>
    </row>
    <row r="64" spans="1:9" ht="12" customHeight="1">
      <c r="A64" s="9"/>
      <c r="B64" s="9"/>
      <c r="C64" s="6"/>
      <c r="D64" s="77"/>
      <c r="E64" s="72"/>
      <c r="F64" s="78"/>
      <c r="G64" s="72"/>
      <c r="H64" s="72"/>
      <c r="I64" s="78"/>
    </row>
    <row r="65" spans="1:9" ht="12" customHeight="1">
      <c r="A65" s="9"/>
      <c r="B65" s="9"/>
      <c r="C65" s="6"/>
      <c r="D65" s="77"/>
      <c r="E65" s="72"/>
      <c r="F65" s="78"/>
      <c r="G65" s="72"/>
      <c r="H65" s="72"/>
      <c r="I65" s="78"/>
    </row>
    <row r="66" spans="1:9" ht="12" customHeight="1">
      <c r="A66" s="9"/>
      <c r="B66" s="9"/>
      <c r="C66" s="6"/>
      <c r="D66" s="77"/>
      <c r="E66" s="72"/>
      <c r="F66" s="78"/>
      <c r="G66" s="72"/>
      <c r="H66" s="72"/>
      <c r="I66" s="78"/>
    </row>
    <row r="67" spans="1:9" ht="12" customHeight="1">
      <c r="A67" s="9"/>
      <c r="B67" s="9"/>
      <c r="C67" s="6"/>
      <c r="D67" s="77"/>
      <c r="E67" s="72"/>
      <c r="F67" s="78"/>
      <c r="G67" s="72"/>
      <c r="H67" s="72"/>
      <c r="I67" s="78"/>
    </row>
    <row r="68" spans="1:9" ht="12" customHeight="1">
      <c r="A68" s="9"/>
      <c r="B68" s="9"/>
      <c r="C68" s="6"/>
      <c r="D68" s="77"/>
      <c r="E68" s="80"/>
      <c r="F68" s="78"/>
      <c r="G68" s="72"/>
      <c r="H68" s="72"/>
      <c r="I68" s="78"/>
    </row>
    <row r="69" spans="1:9" ht="12" customHeight="1">
      <c r="A69" s="9"/>
      <c r="B69" s="9"/>
      <c r="C69" s="6"/>
      <c r="D69" s="77"/>
      <c r="E69" s="72"/>
      <c r="F69" s="78"/>
      <c r="G69" s="72"/>
      <c r="H69" s="72"/>
      <c r="I69" s="78"/>
    </row>
    <row r="70" spans="1:9" ht="12" customHeight="1">
      <c r="A70" s="9"/>
      <c r="B70" s="9"/>
      <c r="C70" s="6"/>
      <c r="D70" s="77"/>
      <c r="E70" s="72"/>
      <c r="F70" s="78"/>
      <c r="G70" s="72"/>
      <c r="H70" s="72"/>
      <c r="I70" s="78"/>
    </row>
    <row r="71" spans="1:9" ht="12" customHeight="1">
      <c r="A71" s="9"/>
      <c r="B71" s="9"/>
      <c r="C71" s="6"/>
      <c r="D71" s="48" t="s">
        <v>129</v>
      </c>
      <c r="E71" s="72"/>
      <c r="F71" s="78"/>
      <c r="G71" s="72"/>
      <c r="H71" s="72"/>
      <c r="I71" s="78"/>
    </row>
    <row r="72" spans="1:9" ht="12" customHeight="1">
      <c r="A72" s="9"/>
      <c r="B72" s="9"/>
      <c r="C72" s="6"/>
      <c r="D72" s="87">
        <v>46237</v>
      </c>
      <c r="E72" s="72"/>
      <c r="F72" s="78"/>
      <c r="G72" s="72"/>
      <c r="H72" s="72"/>
      <c r="I72" s="79"/>
    </row>
    <row r="73" spans="1:9" ht="10.5" customHeight="1">
      <c r="A73" s="9"/>
      <c r="B73" s="9"/>
      <c r="C73" s="6"/>
      <c r="D73" s="40"/>
      <c r="E73" s="73"/>
      <c r="F73" s="69"/>
      <c r="G73" s="73"/>
      <c r="H73" s="73"/>
      <c r="I73" s="69"/>
    </row>
    <row r="74" spans="1:9" ht="12" customHeight="1">
      <c r="A74" s="10"/>
      <c r="B74" s="11"/>
      <c r="C74" s="11"/>
      <c r="D74" s="160" t="s">
        <v>127</v>
      </c>
      <c r="E74" s="160"/>
      <c r="F74" s="160"/>
      <c r="G74" s="160"/>
      <c r="H74" s="160"/>
      <c r="I74" s="160"/>
    </row>
    <row r="75" spans="1:9" ht="12" customHeight="1">
      <c r="A75" s="10"/>
      <c r="B75" s="11"/>
      <c r="C75" s="11"/>
    </row>
    <row r="76" spans="1:9" ht="12" customHeight="1">
      <c r="A76" s="10"/>
      <c r="B76" s="11"/>
      <c r="C76" s="11"/>
    </row>
    <row r="77" spans="1:9" ht="12" customHeight="1">
      <c r="A77" s="10"/>
      <c r="B77" s="11"/>
      <c r="C77" s="11"/>
    </row>
    <row r="78" spans="1:9" ht="12" customHeight="1">
      <c r="A78" s="10"/>
      <c r="B78" s="11"/>
      <c r="C78" s="11"/>
    </row>
    <row r="79" spans="1:9" ht="12" customHeight="1">
      <c r="A79" s="10"/>
      <c r="B79" s="11"/>
      <c r="C79" s="11"/>
    </row>
    <row r="80" spans="1:9" ht="12" customHeight="1">
      <c r="A80" s="10"/>
      <c r="B80" s="11"/>
      <c r="C80" s="11"/>
    </row>
    <row r="81" spans="1:3" ht="15.6" customHeight="1">
      <c r="A81" s="10"/>
      <c r="B81" s="11"/>
      <c r="C81" s="11"/>
    </row>
    <row r="82" spans="1:3" ht="15.6" customHeight="1">
      <c r="A82" s="10"/>
      <c r="B82" s="11"/>
      <c r="C82" s="11"/>
    </row>
    <row r="83" spans="1:3" ht="15.6" customHeight="1">
      <c r="A83" s="10"/>
      <c r="B83" s="11"/>
      <c r="C83" s="11"/>
    </row>
  </sheetData>
  <mergeCells count="54">
    <mergeCell ref="D74:I74"/>
    <mergeCell ref="H4:I4"/>
    <mergeCell ref="C2:C28"/>
    <mergeCell ref="H2:I2"/>
    <mergeCell ref="G31:H31"/>
    <mergeCell ref="D54:I54"/>
    <mergeCell ref="F52:I52"/>
    <mergeCell ref="G29:H29"/>
    <mergeCell ref="F51:I51"/>
    <mergeCell ref="G22:I23"/>
    <mergeCell ref="G37:H37"/>
    <mergeCell ref="G33:H33"/>
    <mergeCell ref="E29:E45"/>
    <mergeCell ref="D53:E53"/>
    <mergeCell ref="D49:I49"/>
    <mergeCell ref="D52:E52"/>
    <mergeCell ref="B2:B28"/>
    <mergeCell ref="D15:E21"/>
    <mergeCell ref="G44:H44"/>
    <mergeCell ref="G42:H42"/>
    <mergeCell ref="G40:H40"/>
    <mergeCell ref="G35:H35"/>
    <mergeCell ref="G36:H36"/>
    <mergeCell ref="F22:F23"/>
    <mergeCell ref="H3:I3"/>
    <mergeCell ref="G38:H38"/>
    <mergeCell ref="F24:I27"/>
    <mergeCell ref="G34:H34"/>
    <mergeCell ref="G32:H32"/>
    <mergeCell ref="D3:E7"/>
    <mergeCell ref="D51:E51"/>
    <mergeCell ref="G28:H28"/>
    <mergeCell ref="F6:I13"/>
    <mergeCell ref="D47:I47"/>
    <mergeCell ref="F2:G5"/>
    <mergeCell ref="G20:I21"/>
    <mergeCell ref="F20:F21"/>
    <mergeCell ref="G39:H39"/>
    <mergeCell ref="A2:A28"/>
    <mergeCell ref="D50:I50"/>
    <mergeCell ref="F53:I53"/>
    <mergeCell ref="H5:I5"/>
    <mergeCell ref="C30:C60"/>
    <mergeCell ref="A40:A60"/>
    <mergeCell ref="F58:I58"/>
    <mergeCell ref="D55:I55"/>
    <mergeCell ref="D46:I46"/>
    <mergeCell ref="G45:H45"/>
    <mergeCell ref="G43:H43"/>
    <mergeCell ref="G41:H41"/>
    <mergeCell ref="D48:I48"/>
    <mergeCell ref="G30:H30"/>
    <mergeCell ref="B30:B60"/>
    <mergeCell ref="D9:E13"/>
  </mergeCells>
  <phoneticPr fontId="1" type="noConversion"/>
  <printOptions horizontalCentered="1" verticalCentered="1"/>
  <pageMargins left="0.59055118110236227" right="0.59055118110236227" top="0.59055118110236227" bottom="0.59055118110236227" header="0.31496062992125984" footer="0.31496062992125984"/>
  <pageSetup scale="70" fitToWidth="0"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1027" r:id="rId4" name="Check Box 3">
              <controlPr defaultSize="0" autoFill="0" autoLine="0" autoPict="0">
                <anchor moveWithCells="1">
                  <from>
                    <xdr:col>7</xdr:col>
                    <xdr:colOff>76200</xdr:colOff>
                    <xdr:row>13</xdr:row>
                    <xdr:rowOff>19050</xdr:rowOff>
                  </from>
                  <to>
                    <xdr:col>8</xdr:col>
                    <xdr:colOff>704850</xdr:colOff>
                    <xdr:row>13</xdr:row>
                    <xdr:rowOff>152400</xdr:rowOff>
                  </to>
                </anchor>
              </controlPr>
            </control>
          </mc:Choice>
        </mc:AlternateContent>
        <mc:AlternateContent xmlns:mc="http://schemas.openxmlformats.org/markup-compatibility/2006">
          <mc:Choice Requires="x14">
            <control shapeId="1028" r:id="rId5" name="Check Box 4">
              <controlPr defaultSize="0" autoFill="0" autoLine="0" autoPict="0">
                <anchor moveWithCells="1">
                  <from>
                    <xdr:col>7</xdr:col>
                    <xdr:colOff>76200</xdr:colOff>
                    <xdr:row>15</xdr:row>
                    <xdr:rowOff>19050</xdr:rowOff>
                  </from>
                  <to>
                    <xdr:col>8</xdr:col>
                    <xdr:colOff>704850</xdr:colOff>
                    <xdr:row>15</xdr:row>
                    <xdr:rowOff>152400</xdr:rowOff>
                  </to>
                </anchor>
              </controlPr>
            </control>
          </mc:Choice>
        </mc:AlternateContent>
        <mc:AlternateContent xmlns:mc="http://schemas.openxmlformats.org/markup-compatibility/2006">
          <mc:Choice Requires="x14">
            <control shapeId="1033" r:id="rId6" name="Check Box 9">
              <controlPr defaultSize="0" autoFill="0" autoLine="0" autoPict="0">
                <anchor moveWithCells="1">
                  <from>
                    <xdr:col>3</xdr:col>
                    <xdr:colOff>95250</xdr:colOff>
                    <xdr:row>57</xdr:row>
                    <xdr:rowOff>152400</xdr:rowOff>
                  </from>
                  <to>
                    <xdr:col>3</xdr:col>
                    <xdr:colOff>1133475</xdr:colOff>
                    <xdr:row>59</xdr:row>
                    <xdr:rowOff>38100</xdr:rowOff>
                  </to>
                </anchor>
              </controlPr>
            </control>
          </mc:Choice>
        </mc:AlternateContent>
        <mc:AlternateContent xmlns:mc="http://schemas.openxmlformats.org/markup-compatibility/2006">
          <mc:Choice Requires="x14">
            <control shapeId="1034" r:id="rId7" name="Check Box 10">
              <controlPr defaultSize="0" autoFill="0" autoLine="0" autoPict="0">
                <anchor moveWithCells="1">
                  <from>
                    <xdr:col>3</xdr:col>
                    <xdr:colOff>1295400</xdr:colOff>
                    <xdr:row>57</xdr:row>
                    <xdr:rowOff>152400</xdr:rowOff>
                  </from>
                  <to>
                    <xdr:col>4</xdr:col>
                    <xdr:colOff>323850</xdr:colOff>
                    <xdr:row>59</xdr:row>
                    <xdr:rowOff>38100</xdr:rowOff>
                  </to>
                </anchor>
              </controlPr>
            </control>
          </mc:Choice>
        </mc:AlternateContent>
        <mc:AlternateContent xmlns:mc="http://schemas.openxmlformats.org/markup-compatibility/2006">
          <mc:Choice Requires="x14">
            <control shapeId="1035" r:id="rId8" name="Check Box 11">
              <controlPr defaultSize="0" autoFill="0" autoLine="0" autoPict="0">
                <anchor moveWithCells="1">
                  <from>
                    <xdr:col>4</xdr:col>
                    <xdr:colOff>619125</xdr:colOff>
                    <xdr:row>57</xdr:row>
                    <xdr:rowOff>152400</xdr:rowOff>
                  </from>
                  <to>
                    <xdr:col>4</xdr:col>
                    <xdr:colOff>1933575</xdr:colOff>
                    <xdr:row>59</xdr:row>
                    <xdr:rowOff>38100</xdr:rowOff>
                  </to>
                </anchor>
              </controlPr>
            </control>
          </mc:Choice>
        </mc:AlternateContent>
        <mc:AlternateContent xmlns:mc="http://schemas.openxmlformats.org/markup-compatibility/2006">
          <mc:Choice Requires="x14">
            <control shapeId="1036" r:id="rId9" name="Check Box 12">
              <controlPr defaultSize="0" autoFill="0" autoLine="0" autoPict="0">
                <anchor moveWithCells="1">
                  <from>
                    <xdr:col>5</xdr:col>
                    <xdr:colOff>95250</xdr:colOff>
                    <xdr:row>57</xdr:row>
                    <xdr:rowOff>152400</xdr:rowOff>
                  </from>
                  <to>
                    <xdr:col>5</xdr:col>
                    <xdr:colOff>1409700</xdr:colOff>
                    <xdr:row>59</xdr:row>
                    <xdr:rowOff>38100</xdr:rowOff>
                  </to>
                </anchor>
              </controlPr>
            </control>
          </mc:Choice>
        </mc:AlternateContent>
        <mc:AlternateContent xmlns:mc="http://schemas.openxmlformats.org/markup-compatibility/2006">
          <mc:Choice Requires="x14">
            <control shapeId="1039" r:id="rId10" name="Check Box 15">
              <controlPr defaultSize="0" autoFill="0" autoLine="0" autoPict="0">
                <anchor moveWithCells="1">
                  <from>
                    <xdr:col>3</xdr:col>
                    <xdr:colOff>1266825</xdr:colOff>
                    <xdr:row>50</xdr:row>
                    <xdr:rowOff>123825</xdr:rowOff>
                  </from>
                  <to>
                    <xdr:col>3</xdr:col>
                    <xdr:colOff>1952625</xdr:colOff>
                    <xdr:row>52</xdr:row>
                    <xdr:rowOff>47625</xdr:rowOff>
                  </to>
                </anchor>
              </controlPr>
            </control>
          </mc:Choice>
        </mc:AlternateContent>
        <mc:AlternateContent xmlns:mc="http://schemas.openxmlformats.org/markup-compatibility/2006">
          <mc:Choice Requires="x14">
            <control shapeId="1040" r:id="rId11" name="Check Box 16">
              <controlPr defaultSize="0" autoFill="0" autoLine="0" autoPict="0">
                <anchor moveWithCells="1">
                  <from>
                    <xdr:col>3</xdr:col>
                    <xdr:colOff>1266825</xdr:colOff>
                    <xdr:row>51</xdr:row>
                    <xdr:rowOff>104775</xdr:rowOff>
                  </from>
                  <to>
                    <xdr:col>3</xdr:col>
                    <xdr:colOff>1952625</xdr:colOff>
                    <xdr:row>53</xdr:row>
                    <xdr:rowOff>47625</xdr:rowOff>
                  </to>
                </anchor>
              </controlPr>
            </control>
          </mc:Choice>
        </mc:AlternateContent>
        <mc:AlternateContent xmlns:mc="http://schemas.openxmlformats.org/markup-compatibility/2006">
          <mc:Choice Requires="x14">
            <control shapeId="1041" r:id="rId12" name="Check Box 17">
              <controlPr defaultSize="0" autoFill="0" autoLine="0" autoPict="0">
                <anchor moveWithCells="1">
                  <from>
                    <xdr:col>5</xdr:col>
                    <xdr:colOff>1038225</xdr:colOff>
                    <xdr:row>50</xdr:row>
                    <xdr:rowOff>123825</xdr:rowOff>
                  </from>
                  <to>
                    <xdr:col>6</xdr:col>
                    <xdr:colOff>171450</xdr:colOff>
                    <xdr:row>52</xdr:row>
                    <xdr:rowOff>47625</xdr:rowOff>
                  </to>
                </anchor>
              </controlPr>
            </control>
          </mc:Choice>
        </mc:AlternateContent>
        <mc:AlternateContent xmlns:mc="http://schemas.openxmlformats.org/markup-compatibility/2006">
          <mc:Choice Requires="x14">
            <control shapeId="1042" r:id="rId13" name="Check Box 18">
              <controlPr defaultSize="0" autoFill="0" autoLine="0" autoPict="0">
                <anchor moveWithCells="1">
                  <from>
                    <xdr:col>5</xdr:col>
                    <xdr:colOff>1038225</xdr:colOff>
                    <xdr:row>51</xdr:row>
                    <xdr:rowOff>104775</xdr:rowOff>
                  </from>
                  <to>
                    <xdr:col>6</xdr:col>
                    <xdr:colOff>171450</xdr:colOff>
                    <xdr:row>53</xdr:row>
                    <xdr:rowOff>47625</xdr:rowOff>
                  </to>
                </anchor>
              </controlPr>
            </control>
          </mc:Choice>
        </mc:AlternateContent>
        <mc:AlternateContent xmlns:mc="http://schemas.openxmlformats.org/markup-compatibility/2006">
          <mc:Choice Requires="x14">
            <control shapeId="1043" r:id="rId14" name="Check Box 19">
              <controlPr defaultSize="0" autoFill="0" autoLine="0" autoPict="0">
                <anchor moveWithCells="1">
                  <from>
                    <xdr:col>4</xdr:col>
                    <xdr:colOff>609600</xdr:colOff>
                    <xdr:row>52</xdr:row>
                    <xdr:rowOff>142875</xdr:rowOff>
                  </from>
                  <to>
                    <xdr:col>4</xdr:col>
                    <xdr:colOff>1295400</xdr:colOff>
                    <xdr:row>54</xdr:row>
                    <xdr:rowOff>47625</xdr:rowOff>
                  </to>
                </anchor>
              </controlPr>
            </control>
          </mc:Choice>
        </mc:AlternateContent>
        <mc:AlternateContent xmlns:mc="http://schemas.openxmlformats.org/markup-compatibility/2006">
          <mc:Choice Requires="x14">
            <control shapeId="1037" r:id="rId15" name="Check Box 13">
              <controlPr defaultSize="0" autoFill="0" autoLine="0" autoPict="0">
                <anchor moveWithCells="1">
                  <from>
                    <xdr:col>3</xdr:col>
                    <xdr:colOff>676275</xdr:colOff>
                    <xdr:row>49</xdr:row>
                    <xdr:rowOff>123825</xdr:rowOff>
                  </from>
                  <to>
                    <xdr:col>3</xdr:col>
                    <xdr:colOff>1371600</xdr:colOff>
                    <xdr:row>51</xdr:row>
                    <xdr:rowOff>47625</xdr:rowOff>
                  </to>
                </anchor>
              </controlPr>
            </control>
          </mc:Choice>
        </mc:AlternateContent>
        <mc:AlternateContent xmlns:mc="http://schemas.openxmlformats.org/markup-compatibility/2006">
          <mc:Choice Requires="x14">
            <control shapeId="1038" r:id="rId16" name="Check Box 14">
              <controlPr defaultSize="0" autoFill="0" autoLine="0" autoPict="0">
                <anchor moveWithCells="1">
                  <from>
                    <xdr:col>5</xdr:col>
                    <xdr:colOff>390525</xdr:colOff>
                    <xdr:row>49</xdr:row>
                    <xdr:rowOff>123825</xdr:rowOff>
                  </from>
                  <to>
                    <xdr:col>5</xdr:col>
                    <xdr:colOff>1076325</xdr:colOff>
                    <xdr:row>51</xdr:row>
                    <xdr:rowOff>47625</xdr:rowOff>
                  </to>
                </anchor>
              </controlPr>
            </control>
          </mc:Choice>
        </mc:AlternateContent>
        <mc:AlternateContent xmlns:mc="http://schemas.openxmlformats.org/markup-compatibility/2006">
          <mc:Choice Requires="x14">
            <control shapeId="1044" r:id="rId17" name="Check Box 20">
              <controlPr defaultSize="0" autoFill="0" autoLine="0" autoPict="0">
                <anchor moveWithCells="1">
                  <from>
                    <xdr:col>3</xdr:col>
                    <xdr:colOff>104775</xdr:colOff>
                    <xdr:row>47</xdr:row>
                    <xdr:rowOff>104775</xdr:rowOff>
                  </from>
                  <to>
                    <xdr:col>3</xdr:col>
                    <xdr:colOff>295275</xdr:colOff>
                    <xdr:row>49</xdr:row>
                    <xdr:rowOff>47625</xdr:rowOff>
                  </to>
                </anchor>
              </controlPr>
            </control>
          </mc:Choice>
        </mc:AlternateContent>
        <mc:AlternateContent xmlns:mc="http://schemas.openxmlformats.org/markup-compatibility/2006">
          <mc:Choice Requires="x14">
            <control shapeId="1045" r:id="rId18" name="Check Box 21">
              <controlPr defaultSize="0" autoFill="0" autoLine="0" autoPict="0">
                <anchor moveWithCells="1">
                  <from>
                    <xdr:col>3</xdr:col>
                    <xdr:colOff>104775</xdr:colOff>
                    <xdr:row>48</xdr:row>
                    <xdr:rowOff>104775</xdr:rowOff>
                  </from>
                  <to>
                    <xdr:col>3</xdr:col>
                    <xdr:colOff>295275</xdr:colOff>
                    <xdr:row>50</xdr:row>
                    <xdr:rowOff>47625</xdr:rowOff>
                  </to>
                </anchor>
              </controlPr>
            </control>
          </mc:Choice>
        </mc:AlternateContent>
        <mc:AlternateContent xmlns:mc="http://schemas.openxmlformats.org/markup-compatibility/2006">
          <mc:Choice Requires="x14">
            <control shapeId="1031" r:id="rId19" name="Check Box 7">
              <controlPr defaultSize="0" autoFill="0" autoLine="0" autoPict="0">
                <anchor moveWithCells="1">
                  <from>
                    <xdr:col>4</xdr:col>
                    <xdr:colOff>133350</xdr:colOff>
                    <xdr:row>25</xdr:row>
                    <xdr:rowOff>114300</xdr:rowOff>
                  </from>
                  <to>
                    <xdr:col>4</xdr:col>
                    <xdr:colOff>628650</xdr:colOff>
                    <xdr:row>27</xdr:row>
                    <xdr:rowOff>9525</xdr:rowOff>
                  </to>
                </anchor>
              </controlPr>
            </control>
          </mc:Choice>
        </mc:AlternateContent>
        <mc:AlternateContent xmlns:mc="http://schemas.openxmlformats.org/markup-compatibility/2006">
          <mc:Choice Requires="x14">
            <control shapeId="1032" r:id="rId20" name="Check Box 8">
              <controlPr defaultSize="0" autoFill="0" autoLine="0" autoPict="0">
                <anchor moveWithCells="1">
                  <from>
                    <xdr:col>4</xdr:col>
                    <xdr:colOff>1009650</xdr:colOff>
                    <xdr:row>25</xdr:row>
                    <xdr:rowOff>114300</xdr:rowOff>
                  </from>
                  <to>
                    <xdr:col>4</xdr:col>
                    <xdr:colOff>1504950</xdr:colOff>
                    <xdr:row>27</xdr:row>
                    <xdr:rowOff>9525</xdr:rowOff>
                  </to>
                </anchor>
              </controlPr>
            </control>
          </mc:Choice>
        </mc:AlternateContent>
        <mc:AlternateContent xmlns:mc="http://schemas.openxmlformats.org/markup-compatibility/2006">
          <mc:Choice Requires="x14">
            <control shapeId="1030" r:id="rId21" name="Check Box 6">
              <controlPr defaultSize="0" autoFill="0" autoLine="0" autoPict="0">
                <anchor moveWithCells="1">
                  <from>
                    <xdr:col>7</xdr:col>
                    <xdr:colOff>76200</xdr:colOff>
                    <xdr:row>16</xdr:row>
                    <xdr:rowOff>104775</xdr:rowOff>
                  </from>
                  <to>
                    <xdr:col>8</xdr:col>
                    <xdr:colOff>619125</xdr:colOff>
                    <xdr:row>18</xdr:row>
                    <xdr:rowOff>66675</xdr:rowOff>
                  </to>
                </anchor>
              </controlPr>
            </control>
          </mc:Choice>
        </mc:AlternateContent>
        <mc:AlternateContent xmlns:mc="http://schemas.openxmlformats.org/markup-compatibility/2006">
          <mc:Choice Requires="x14">
            <control shapeId="1025" r:id="rId22" name="Check Box 1">
              <controlPr defaultSize="0" autoFill="0" autoLine="0" autoPict="0">
                <anchor moveWithCells="1">
                  <from>
                    <xdr:col>5</xdr:col>
                    <xdr:colOff>1076325</xdr:colOff>
                    <xdr:row>12</xdr:row>
                    <xdr:rowOff>600075</xdr:rowOff>
                  </from>
                  <to>
                    <xdr:col>7</xdr:col>
                    <xdr:colOff>95250</xdr:colOff>
                    <xdr:row>14</xdr:row>
                    <xdr:rowOff>66675</xdr:rowOff>
                  </to>
                </anchor>
              </controlPr>
            </control>
          </mc:Choice>
        </mc:AlternateContent>
        <mc:AlternateContent xmlns:mc="http://schemas.openxmlformats.org/markup-compatibility/2006">
          <mc:Choice Requires="x14">
            <control shapeId="1026" r:id="rId23" name="Check Box 2">
              <controlPr defaultSize="0" autoFill="0" autoLine="0" autoPict="0">
                <anchor moveWithCells="1">
                  <from>
                    <xdr:col>5</xdr:col>
                    <xdr:colOff>1076325</xdr:colOff>
                    <xdr:row>14</xdr:row>
                    <xdr:rowOff>104775</xdr:rowOff>
                  </from>
                  <to>
                    <xdr:col>7</xdr:col>
                    <xdr:colOff>95250</xdr:colOff>
                    <xdr:row>16</xdr:row>
                    <xdr:rowOff>66675</xdr:rowOff>
                  </to>
                </anchor>
              </controlPr>
            </control>
          </mc:Choice>
        </mc:AlternateContent>
        <mc:AlternateContent xmlns:mc="http://schemas.openxmlformats.org/markup-compatibility/2006">
          <mc:Choice Requires="x14">
            <control shapeId="1029" r:id="rId24" name="Check Box 5">
              <controlPr defaultSize="0" autoFill="0" autoLine="0" autoPict="0">
                <anchor moveWithCells="1">
                  <from>
                    <xdr:col>5</xdr:col>
                    <xdr:colOff>1076325</xdr:colOff>
                    <xdr:row>16</xdr:row>
                    <xdr:rowOff>104775</xdr:rowOff>
                  </from>
                  <to>
                    <xdr:col>7</xdr:col>
                    <xdr:colOff>95250</xdr:colOff>
                    <xdr:row>18</xdr:row>
                    <xdr:rowOff>66675</xdr:rowOff>
                  </to>
                </anchor>
              </controlPr>
            </control>
          </mc:Choice>
        </mc:AlternateContent>
      </controls>
    </mc:Choice>
  </mc:AlternateConten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049ED-993F-4A18-9741-C7084ED30499}">
  <sheetPr codeName="Sheet2"/>
  <dimension ref="A1:V69"/>
  <sheetViews>
    <sheetView topLeftCell="A34" zoomScale="130" zoomScaleNormal="130" workbookViewId="0">
      <selection activeCell="U56" sqref="U56"/>
    </sheetView>
  </sheetViews>
  <sheetFormatPr defaultColWidth="8.5" defaultRowHeight="15"/>
  <cols>
    <col min="1" max="20" width="3.875" style="16" customWidth="1"/>
    <col min="21" max="16384" width="8.5" style="16"/>
  </cols>
  <sheetData>
    <row r="1" spans="1:20" ht="26.25" customHeight="1">
      <c r="A1" s="177" t="s">
        <v>131</v>
      </c>
      <c r="B1" s="178"/>
      <c r="C1" s="178"/>
      <c r="D1" s="178"/>
      <c r="E1" s="178"/>
      <c r="F1" s="178"/>
      <c r="G1" s="178"/>
      <c r="H1" s="178"/>
      <c r="I1" s="178"/>
      <c r="J1" s="178"/>
      <c r="K1" s="178"/>
      <c r="L1" s="178"/>
      <c r="M1" s="178"/>
      <c r="N1" s="178"/>
      <c r="O1" s="178"/>
      <c r="P1" s="178"/>
      <c r="Q1" s="178"/>
      <c r="R1" s="178"/>
      <c r="S1" s="178"/>
      <c r="T1" s="178"/>
    </row>
    <row r="2" spans="1:20" s="17" customFormat="1" ht="12" hidden="1" customHeight="1">
      <c r="A2" s="179" t="str">
        <f>CONCATENATE("* ",A1)</f>
        <v>* KIM LUNG SUPPLY CHAIN (GUANGZHOU) LIMITED.</v>
      </c>
      <c r="B2" s="179"/>
      <c r="C2" s="179"/>
      <c r="D2" s="179"/>
      <c r="E2" s="179"/>
      <c r="F2" s="179"/>
      <c r="G2" s="179"/>
      <c r="H2" s="179"/>
      <c r="I2" s="179"/>
      <c r="J2" s="179"/>
      <c r="K2" s="179"/>
      <c r="L2" s="179"/>
      <c r="M2" s="179"/>
      <c r="N2" s="179"/>
      <c r="O2" s="179"/>
      <c r="P2" s="179"/>
      <c r="Q2" s="179"/>
      <c r="R2" s="179"/>
      <c r="S2" s="179"/>
      <c r="T2" s="179"/>
    </row>
    <row r="3" spans="1:20">
      <c r="A3" s="180" t="s">
        <v>32</v>
      </c>
      <c r="B3" s="180"/>
      <c r="C3" s="180"/>
      <c r="D3" s="180"/>
      <c r="E3" s="180"/>
      <c r="F3" s="180"/>
      <c r="G3" s="180"/>
      <c r="H3" s="180"/>
      <c r="I3" s="180"/>
      <c r="J3" s="180"/>
      <c r="K3" s="180"/>
      <c r="L3" s="180"/>
      <c r="M3" s="180"/>
      <c r="N3" s="180"/>
      <c r="O3" s="180"/>
      <c r="P3" s="180"/>
      <c r="Q3" s="180"/>
      <c r="R3" s="180"/>
      <c r="S3" s="180"/>
      <c r="T3" s="180"/>
    </row>
    <row r="4" spans="1:20" s="19" customFormat="1" ht="7.5" customHeight="1">
      <c r="A4" s="181"/>
      <c r="B4" s="181"/>
      <c r="C4" s="181"/>
      <c r="D4" s="181"/>
      <c r="E4" s="181"/>
      <c r="F4" s="181"/>
      <c r="G4" s="181"/>
      <c r="H4" s="181"/>
      <c r="I4" s="181"/>
      <c r="J4" s="181"/>
    </row>
    <row r="5" spans="1:20" ht="15" customHeight="1">
      <c r="A5" s="182" t="s">
        <v>33</v>
      </c>
      <c r="B5" s="182"/>
      <c r="C5" s="183" t="s">
        <v>34</v>
      </c>
      <c r="D5" s="183"/>
      <c r="E5" s="183"/>
      <c r="F5" s="183"/>
      <c r="G5" s="183"/>
      <c r="H5" s="183"/>
      <c r="I5" s="183"/>
      <c r="J5" s="183"/>
      <c r="K5" s="183"/>
      <c r="L5" s="183"/>
      <c r="M5" s="183"/>
      <c r="N5" s="183"/>
      <c r="O5" s="183"/>
      <c r="P5" s="183"/>
      <c r="Q5" s="183"/>
      <c r="R5" s="183"/>
      <c r="S5" s="183"/>
      <c r="T5" s="183"/>
    </row>
    <row r="6" spans="1:20">
      <c r="A6" s="185"/>
      <c r="B6" s="185"/>
      <c r="C6" s="183" t="s">
        <v>35</v>
      </c>
      <c r="D6" s="183"/>
      <c r="E6" s="183"/>
      <c r="F6" s="183"/>
      <c r="G6" s="183"/>
      <c r="H6" s="183"/>
      <c r="I6" s="183"/>
      <c r="J6" s="183"/>
      <c r="K6" s="183"/>
      <c r="L6" s="183"/>
      <c r="M6" s="183"/>
      <c r="N6" s="183"/>
      <c r="O6" s="183"/>
      <c r="P6" s="183"/>
      <c r="Q6" s="183"/>
      <c r="R6" s="183"/>
      <c r="S6" s="183"/>
      <c r="T6" s="183"/>
    </row>
    <row r="7" spans="1:20" s="21" customFormat="1" ht="12.75">
      <c r="A7" s="20" t="s">
        <v>36</v>
      </c>
    </row>
    <row r="8" spans="1:20" s="19" customFormat="1" ht="15.75">
      <c r="A8" s="186" t="s">
        <v>37</v>
      </c>
      <c r="B8" s="186"/>
      <c r="C8" s="186"/>
      <c r="D8" s="186"/>
      <c r="E8" s="186"/>
      <c r="F8" s="187" t="s">
        <v>150</v>
      </c>
      <c r="G8" s="187"/>
      <c r="H8" s="187"/>
      <c r="I8" s="187"/>
      <c r="J8" s="187"/>
      <c r="K8" s="186" t="s">
        <v>38</v>
      </c>
      <c r="L8" s="186"/>
      <c r="M8" s="186"/>
      <c r="N8" s="186"/>
      <c r="O8" s="186"/>
      <c r="P8" s="188" t="s">
        <v>39</v>
      </c>
      <c r="Q8" s="188"/>
      <c r="R8" s="188"/>
      <c r="S8" s="188"/>
      <c r="T8" s="188"/>
    </row>
    <row r="9" spans="1:20" s="19" customFormat="1" ht="12">
      <c r="A9" s="184" t="s">
        <v>40</v>
      </c>
      <c r="B9" s="189"/>
      <c r="C9" s="189"/>
      <c r="D9" s="189"/>
      <c r="E9" s="189"/>
    </row>
    <row r="10" spans="1:20" s="19" customFormat="1" ht="7.5" customHeight="1"/>
    <row r="11" spans="1:20" s="19" customFormat="1" ht="15.75">
      <c r="A11" s="186" t="s">
        <v>41</v>
      </c>
      <c r="B11" s="186"/>
      <c r="C11" s="186"/>
      <c r="D11" s="186"/>
      <c r="E11" s="186"/>
      <c r="F11" s="190"/>
      <c r="G11" s="188"/>
      <c r="H11" s="188"/>
      <c r="I11" s="188"/>
      <c r="J11" s="188"/>
      <c r="K11" s="186" t="s">
        <v>42</v>
      </c>
      <c r="L11" s="186"/>
      <c r="M11" s="186"/>
      <c r="N11" s="186"/>
      <c r="O11" s="186"/>
      <c r="P11" s="188" t="s">
        <v>147</v>
      </c>
      <c r="Q11" s="188"/>
      <c r="R11" s="188"/>
      <c r="S11" s="188"/>
      <c r="T11" s="188"/>
    </row>
    <row r="12" spans="1:20" s="19" customFormat="1" ht="12">
      <c r="A12" s="184" t="s">
        <v>43</v>
      </c>
      <c r="B12" s="184"/>
      <c r="C12" s="184"/>
      <c r="D12" s="184"/>
      <c r="E12" s="184"/>
    </row>
    <row r="13" spans="1:20" s="19" customFormat="1" ht="7.5" customHeight="1"/>
    <row r="14" spans="1:20" ht="7.5" customHeight="1">
      <c r="A14" s="23"/>
      <c r="B14" s="24"/>
      <c r="C14" s="24"/>
      <c r="D14" s="24"/>
      <c r="E14" s="24"/>
      <c r="F14" s="24"/>
      <c r="G14" s="24"/>
      <c r="H14" s="24"/>
      <c r="I14" s="24"/>
      <c r="J14" s="25"/>
      <c r="K14" s="23"/>
      <c r="L14" s="24"/>
      <c r="M14" s="24"/>
      <c r="N14" s="24"/>
      <c r="O14" s="24"/>
      <c r="P14" s="24"/>
      <c r="Q14" s="24"/>
      <c r="R14" s="24"/>
      <c r="S14" s="24"/>
      <c r="T14" s="25"/>
    </row>
    <row r="15" spans="1:20" s="19" customFormat="1" ht="12">
      <c r="A15" s="26" t="s">
        <v>44</v>
      </c>
      <c r="J15" s="27"/>
      <c r="K15" s="26" t="s">
        <v>45</v>
      </c>
      <c r="T15" s="27"/>
    </row>
    <row r="16" spans="1:20">
      <c r="A16" s="191" t="s">
        <v>46</v>
      </c>
      <c r="B16" s="186"/>
      <c r="C16" s="192" t="s">
        <v>130</v>
      </c>
      <c r="D16" s="192"/>
      <c r="E16" s="192"/>
      <c r="F16" s="192"/>
      <c r="G16" s="192"/>
      <c r="H16" s="192"/>
      <c r="I16" s="192"/>
      <c r="J16" s="193"/>
      <c r="K16" s="191" t="s">
        <v>46</v>
      </c>
      <c r="L16" s="186"/>
      <c r="M16" s="192" t="s">
        <v>148</v>
      </c>
      <c r="N16" s="192"/>
      <c r="O16" s="192"/>
      <c r="P16" s="192"/>
      <c r="Q16" s="192"/>
      <c r="R16" s="192"/>
      <c r="S16" s="192"/>
      <c r="T16" s="193"/>
    </row>
    <row r="17" spans="1:22" ht="15" customHeight="1">
      <c r="A17" s="191" t="s">
        <v>47</v>
      </c>
      <c r="B17" s="186"/>
      <c r="C17" s="192"/>
      <c r="D17" s="192"/>
      <c r="E17" s="192"/>
      <c r="F17" s="192"/>
      <c r="G17" s="192"/>
      <c r="H17" s="192"/>
      <c r="I17" s="192"/>
      <c r="J17" s="193"/>
      <c r="K17" s="191" t="s">
        <v>47</v>
      </c>
      <c r="L17" s="186"/>
      <c r="M17" s="192"/>
      <c r="N17" s="192"/>
      <c r="O17" s="192"/>
      <c r="P17" s="192"/>
      <c r="Q17" s="192"/>
      <c r="R17" s="192"/>
      <c r="S17" s="192"/>
      <c r="T17" s="193"/>
    </row>
    <row r="18" spans="1:22" ht="15" customHeight="1">
      <c r="A18" s="28"/>
      <c r="C18" s="192"/>
      <c r="D18" s="192"/>
      <c r="E18" s="192"/>
      <c r="F18" s="192"/>
      <c r="G18" s="192"/>
      <c r="H18" s="192"/>
      <c r="I18" s="192"/>
      <c r="J18" s="193"/>
      <c r="K18" s="28"/>
      <c r="M18" s="192"/>
      <c r="N18" s="192"/>
      <c r="O18" s="192"/>
      <c r="P18" s="192"/>
      <c r="Q18" s="192"/>
      <c r="R18" s="192"/>
      <c r="S18" s="192"/>
      <c r="T18" s="193"/>
    </row>
    <row r="19" spans="1:22">
      <c r="A19" s="28"/>
      <c r="C19" s="192"/>
      <c r="D19" s="192"/>
      <c r="E19" s="192"/>
      <c r="F19" s="192"/>
      <c r="G19" s="192"/>
      <c r="H19" s="192"/>
      <c r="I19" s="192"/>
      <c r="J19" s="193"/>
      <c r="K19" s="28"/>
      <c r="M19" s="192"/>
      <c r="N19" s="192"/>
      <c r="O19" s="192"/>
      <c r="P19" s="192"/>
      <c r="Q19" s="192"/>
      <c r="R19" s="192"/>
      <c r="S19" s="192"/>
      <c r="T19" s="193"/>
    </row>
    <row r="20" spans="1:22" ht="15" customHeight="1">
      <c r="A20" s="28"/>
      <c r="C20" s="194"/>
      <c r="D20" s="194"/>
      <c r="E20" s="194"/>
      <c r="F20" s="194"/>
      <c r="G20" s="194"/>
      <c r="H20" s="194"/>
      <c r="I20" s="194"/>
      <c r="J20" s="195"/>
      <c r="K20" s="28"/>
      <c r="M20" s="194"/>
      <c r="N20" s="194"/>
      <c r="O20" s="194"/>
      <c r="P20" s="194"/>
      <c r="Q20" s="194"/>
      <c r="R20" s="194"/>
      <c r="S20" s="194"/>
      <c r="T20" s="195"/>
    </row>
    <row r="21" spans="1:22">
      <c r="A21" s="191" t="s">
        <v>48</v>
      </c>
      <c r="B21" s="186"/>
      <c r="C21" s="186"/>
      <c r="D21" s="196" t="s">
        <v>49</v>
      </c>
      <c r="E21" s="197"/>
      <c r="F21" s="197"/>
      <c r="G21" s="197"/>
      <c r="H21" s="197"/>
      <c r="I21" s="197"/>
      <c r="J21" s="198"/>
      <c r="K21" s="191" t="s">
        <v>48</v>
      </c>
      <c r="L21" s="186"/>
      <c r="M21" s="186"/>
      <c r="N21" s="199" t="s">
        <v>149</v>
      </c>
      <c r="O21" s="197"/>
      <c r="P21" s="197"/>
      <c r="Q21" s="197"/>
      <c r="R21" s="197"/>
      <c r="S21" s="197"/>
      <c r="T21" s="198"/>
    </row>
    <row r="22" spans="1:22" ht="7.5" customHeight="1">
      <c r="A22" s="29"/>
      <c r="B22" s="30"/>
      <c r="C22" s="30"/>
      <c r="D22" s="30"/>
      <c r="E22" s="30"/>
      <c r="F22" s="30"/>
      <c r="G22" s="30"/>
      <c r="H22" s="30"/>
      <c r="I22" s="30"/>
      <c r="J22" s="31"/>
      <c r="K22" s="29"/>
      <c r="L22" s="30"/>
      <c r="M22" s="30"/>
      <c r="N22" s="30"/>
      <c r="O22" s="30"/>
      <c r="P22" s="30"/>
      <c r="Q22" s="30"/>
      <c r="R22" s="30"/>
      <c r="S22" s="30"/>
      <c r="T22" s="31"/>
    </row>
    <row r="23" spans="1:22" s="19" customFormat="1" ht="7.5" customHeight="1"/>
    <row r="24" spans="1:22">
      <c r="A24" s="19" t="s">
        <v>50</v>
      </c>
    </row>
    <row r="25" spans="1:22" s="32" customFormat="1">
      <c r="B25" s="200" t="s">
        <v>51</v>
      </c>
      <c r="C25" s="201"/>
      <c r="D25" s="201"/>
      <c r="E25" s="201"/>
      <c r="F25" s="201"/>
      <c r="G25" s="201"/>
      <c r="H25" s="201"/>
      <c r="I25" s="201"/>
      <c r="J25" s="201"/>
      <c r="K25" s="33"/>
      <c r="L25" s="200" t="s">
        <v>52</v>
      </c>
      <c r="M25" s="201"/>
      <c r="N25" s="202"/>
      <c r="O25" s="200" t="s">
        <v>53</v>
      </c>
      <c r="P25" s="201"/>
      <c r="Q25" s="201"/>
      <c r="R25" s="201"/>
      <c r="S25" s="201"/>
      <c r="T25" s="202"/>
    </row>
    <row r="26" spans="1:22" s="19" customFormat="1" ht="15" customHeight="1">
      <c r="B26" s="203" t="s">
        <v>54</v>
      </c>
      <c r="C26" s="204"/>
      <c r="D26" s="204"/>
      <c r="E26" s="204"/>
      <c r="F26" s="205"/>
      <c r="G26" s="206" t="s">
        <v>55</v>
      </c>
      <c r="H26" s="207"/>
      <c r="I26" s="207"/>
      <c r="J26" s="207"/>
      <c r="K26" s="207"/>
      <c r="L26" s="208"/>
      <c r="M26" s="209"/>
      <c r="N26" s="210"/>
      <c r="O26" s="217"/>
      <c r="P26" s="218"/>
      <c r="Q26" s="218"/>
      <c r="R26" s="218"/>
      <c r="S26" s="218"/>
      <c r="T26" s="219"/>
      <c r="V26" s="19" t="s">
        <v>56</v>
      </c>
    </row>
    <row r="27" spans="1:22" s="19" customFormat="1" ht="12" customHeight="1">
      <c r="B27" s="226" t="s">
        <v>57</v>
      </c>
      <c r="C27" s="181"/>
      <c r="D27" s="181"/>
      <c r="E27" s="181"/>
      <c r="F27" s="227"/>
      <c r="G27" s="206" t="s">
        <v>58</v>
      </c>
      <c r="H27" s="207"/>
      <c r="I27" s="207"/>
      <c r="J27" s="207"/>
      <c r="K27" s="207"/>
      <c r="L27" s="211"/>
      <c r="M27" s="212"/>
      <c r="N27" s="213"/>
      <c r="O27" s="220"/>
      <c r="P27" s="221"/>
      <c r="Q27" s="221"/>
      <c r="R27" s="221"/>
      <c r="S27" s="221"/>
      <c r="T27" s="222"/>
      <c r="V27" s="19" t="s">
        <v>59</v>
      </c>
    </row>
    <row r="28" spans="1:22" s="19" customFormat="1" ht="12" customHeight="1">
      <c r="B28" s="228" t="s">
        <v>60</v>
      </c>
      <c r="C28" s="229"/>
      <c r="D28" s="229"/>
      <c r="E28" s="229"/>
      <c r="F28" s="230"/>
      <c r="G28" s="206" t="s">
        <v>61</v>
      </c>
      <c r="H28" s="207"/>
      <c r="I28" s="207"/>
      <c r="J28" s="207"/>
      <c r="K28" s="207"/>
      <c r="L28" s="214"/>
      <c r="M28" s="215"/>
      <c r="N28" s="216"/>
      <c r="O28" s="223"/>
      <c r="P28" s="224"/>
      <c r="Q28" s="224"/>
      <c r="R28" s="224"/>
      <c r="S28" s="224"/>
      <c r="T28" s="225"/>
      <c r="V28" s="19" t="s">
        <v>62</v>
      </c>
    </row>
    <row r="29" spans="1:22" s="19" customFormat="1" ht="15" customHeight="1">
      <c r="B29" s="203" t="s">
        <v>63</v>
      </c>
      <c r="C29" s="231"/>
      <c r="D29" s="231"/>
      <c r="E29" s="231"/>
      <c r="F29" s="231"/>
      <c r="G29" s="231"/>
      <c r="H29" s="231"/>
      <c r="I29" s="231"/>
      <c r="J29" s="231"/>
      <c r="K29" s="232"/>
      <c r="L29" s="208"/>
      <c r="M29" s="209"/>
      <c r="N29" s="210"/>
      <c r="O29" s="217"/>
      <c r="P29" s="218"/>
      <c r="Q29" s="218"/>
      <c r="R29" s="218"/>
      <c r="S29" s="218"/>
      <c r="T29" s="219"/>
    </row>
    <row r="30" spans="1:22" s="19" customFormat="1" ht="12">
      <c r="B30" s="228" t="s">
        <v>64</v>
      </c>
      <c r="C30" s="229"/>
      <c r="D30" s="229"/>
      <c r="E30" s="229"/>
      <c r="F30" s="229"/>
      <c r="G30" s="229"/>
      <c r="H30" s="229"/>
      <c r="I30" s="229"/>
      <c r="J30" s="229"/>
      <c r="K30" s="230"/>
      <c r="L30" s="214"/>
      <c r="M30" s="215"/>
      <c r="N30" s="216"/>
      <c r="O30" s="223"/>
      <c r="P30" s="224"/>
      <c r="Q30" s="224"/>
      <c r="R30" s="224"/>
      <c r="S30" s="224"/>
      <c r="T30" s="225"/>
      <c r="U30" s="34"/>
      <c r="V30" s="34" t="s">
        <v>65</v>
      </c>
    </row>
    <row r="31" spans="1:22" s="19" customFormat="1" ht="15" customHeight="1">
      <c r="B31" s="203" t="s">
        <v>66</v>
      </c>
      <c r="C31" s="231"/>
      <c r="D31" s="231"/>
      <c r="E31" s="231"/>
      <c r="F31" s="231"/>
      <c r="G31" s="231"/>
      <c r="H31" s="231"/>
      <c r="I31" s="231"/>
      <c r="J31" s="231"/>
      <c r="K31" s="232"/>
      <c r="L31" s="208"/>
      <c r="M31" s="209"/>
      <c r="N31" s="210"/>
      <c r="O31" s="217" t="s">
        <v>67</v>
      </c>
      <c r="P31" s="218"/>
      <c r="Q31" s="218"/>
      <c r="R31" s="218"/>
      <c r="S31" s="218"/>
      <c r="T31" s="219"/>
    </row>
    <row r="32" spans="1:22" s="19" customFormat="1" ht="12" customHeight="1">
      <c r="B32" s="228" t="s">
        <v>68</v>
      </c>
      <c r="C32" s="229"/>
      <c r="D32" s="229"/>
      <c r="E32" s="229"/>
      <c r="F32" s="229"/>
      <c r="G32" s="229"/>
      <c r="H32" s="229"/>
      <c r="I32" s="229"/>
      <c r="J32" s="229"/>
      <c r="K32" s="230"/>
      <c r="L32" s="214"/>
      <c r="M32" s="215"/>
      <c r="N32" s="216"/>
      <c r="O32" s="223"/>
      <c r="P32" s="224"/>
      <c r="Q32" s="224"/>
      <c r="R32" s="224"/>
      <c r="S32" s="224"/>
      <c r="T32" s="225"/>
    </row>
    <row r="33" spans="1:22" s="19" customFormat="1" ht="15" customHeight="1">
      <c r="B33" s="203" t="s">
        <v>69</v>
      </c>
      <c r="C33" s="231"/>
      <c r="D33" s="231"/>
      <c r="E33" s="231"/>
      <c r="F33" s="232"/>
      <c r="G33" s="206" t="s">
        <v>70</v>
      </c>
      <c r="H33" s="207"/>
      <c r="I33" s="207"/>
      <c r="J33" s="207"/>
      <c r="K33" s="207"/>
      <c r="L33" s="208"/>
      <c r="M33" s="209"/>
      <c r="N33" s="210"/>
      <c r="O33" s="217"/>
      <c r="P33" s="218"/>
      <c r="Q33" s="218"/>
      <c r="R33" s="218"/>
      <c r="S33" s="218"/>
      <c r="T33" s="219"/>
      <c r="V33" s="19" t="s">
        <v>56</v>
      </c>
    </row>
    <row r="34" spans="1:22" s="19" customFormat="1" ht="12" customHeight="1">
      <c r="B34" s="226" t="s">
        <v>71</v>
      </c>
      <c r="C34" s="181"/>
      <c r="D34" s="181"/>
      <c r="E34" s="181"/>
      <c r="F34" s="227"/>
      <c r="G34" s="206" t="s">
        <v>72</v>
      </c>
      <c r="H34" s="207"/>
      <c r="I34" s="207"/>
      <c r="J34" s="207"/>
      <c r="K34" s="207"/>
      <c r="L34" s="211"/>
      <c r="M34" s="212"/>
      <c r="N34" s="213"/>
      <c r="O34" s="220"/>
      <c r="P34" s="221"/>
      <c r="Q34" s="221"/>
      <c r="R34" s="221"/>
      <c r="S34" s="221"/>
      <c r="T34" s="222"/>
      <c r="V34" s="19" t="s">
        <v>59</v>
      </c>
    </row>
    <row r="35" spans="1:22" s="19" customFormat="1" ht="12" customHeight="1">
      <c r="B35" s="228" t="s">
        <v>73</v>
      </c>
      <c r="C35" s="229"/>
      <c r="D35" s="229"/>
      <c r="E35" s="229"/>
      <c r="F35" s="230"/>
      <c r="G35" s="206" t="s">
        <v>74</v>
      </c>
      <c r="H35" s="207"/>
      <c r="I35" s="207"/>
      <c r="J35" s="207"/>
      <c r="K35" s="207"/>
      <c r="L35" s="214"/>
      <c r="M35" s="215"/>
      <c r="N35" s="216"/>
      <c r="O35" s="223"/>
      <c r="P35" s="224"/>
      <c r="Q35" s="224"/>
      <c r="R35" s="224"/>
      <c r="S35" s="224"/>
      <c r="T35" s="225"/>
      <c r="V35" s="19" t="s">
        <v>62</v>
      </c>
    </row>
    <row r="36" spans="1:22" s="19" customFormat="1" ht="15" customHeight="1">
      <c r="B36" s="203" t="s">
        <v>75</v>
      </c>
      <c r="C36" s="231"/>
      <c r="D36" s="231"/>
      <c r="E36" s="231"/>
      <c r="F36" s="231"/>
      <c r="G36" s="231"/>
      <c r="H36" s="231"/>
      <c r="I36" s="231"/>
      <c r="J36" s="231"/>
      <c r="K36" s="232"/>
      <c r="L36" s="208"/>
      <c r="M36" s="209"/>
      <c r="N36" s="210"/>
      <c r="O36" s="217"/>
      <c r="P36" s="218"/>
      <c r="Q36" s="218"/>
      <c r="R36" s="218"/>
      <c r="S36" s="218"/>
      <c r="T36" s="219"/>
    </row>
    <row r="37" spans="1:22" s="19" customFormat="1" ht="12" customHeight="1">
      <c r="B37" s="228" t="s">
        <v>76</v>
      </c>
      <c r="C37" s="229"/>
      <c r="D37" s="229"/>
      <c r="E37" s="229"/>
      <c r="F37" s="229"/>
      <c r="G37" s="229"/>
      <c r="H37" s="229"/>
      <c r="I37" s="229"/>
      <c r="J37" s="229"/>
      <c r="K37" s="230"/>
      <c r="L37" s="214"/>
      <c r="M37" s="215"/>
      <c r="N37" s="216"/>
      <c r="O37" s="223"/>
      <c r="P37" s="224"/>
      <c r="Q37" s="224"/>
      <c r="R37" s="224"/>
      <c r="S37" s="224"/>
      <c r="T37" s="225"/>
      <c r="V37" s="19" t="s">
        <v>77</v>
      </c>
    </row>
    <row r="38" spans="1:22" s="19" customFormat="1" ht="15" customHeight="1">
      <c r="B38" s="203" t="s">
        <v>78</v>
      </c>
      <c r="C38" s="231"/>
      <c r="D38" s="231"/>
      <c r="E38" s="231"/>
      <c r="F38" s="231"/>
      <c r="G38" s="231"/>
      <c r="H38" s="231"/>
      <c r="I38" s="231"/>
      <c r="J38" s="231"/>
      <c r="K38" s="232"/>
      <c r="L38" s="208"/>
      <c r="M38" s="209"/>
      <c r="N38" s="210"/>
      <c r="O38" s="217"/>
      <c r="P38" s="218"/>
      <c r="Q38" s="218"/>
      <c r="R38" s="218"/>
      <c r="S38" s="218"/>
      <c r="T38" s="219"/>
    </row>
    <row r="39" spans="1:22" s="19" customFormat="1" ht="12" customHeight="1">
      <c r="B39" s="228" t="s">
        <v>79</v>
      </c>
      <c r="C39" s="229"/>
      <c r="D39" s="229"/>
      <c r="E39" s="229"/>
      <c r="F39" s="229"/>
      <c r="G39" s="229"/>
      <c r="H39" s="229"/>
      <c r="I39" s="229"/>
      <c r="J39" s="229"/>
      <c r="K39" s="230"/>
      <c r="L39" s="214"/>
      <c r="M39" s="215"/>
      <c r="N39" s="216"/>
      <c r="O39" s="223"/>
      <c r="P39" s="224"/>
      <c r="Q39" s="224"/>
      <c r="R39" s="224"/>
      <c r="S39" s="224"/>
      <c r="T39" s="225"/>
    </row>
    <row r="40" spans="1:22" s="19" customFormat="1" ht="7.5" customHeight="1"/>
    <row r="41" spans="1:22" s="19" customFormat="1" ht="12">
      <c r="B41" s="19" t="s">
        <v>80</v>
      </c>
    </row>
    <row r="42" spans="1:22" s="19" customFormat="1" ht="12">
      <c r="B42" s="19" t="s">
        <v>81</v>
      </c>
    </row>
    <row r="43" spans="1:22" s="19" customFormat="1" ht="12">
      <c r="A43" s="35"/>
      <c r="B43" s="88" t="s">
        <v>82</v>
      </c>
    </row>
    <row r="44" spans="1:22" s="19" customFormat="1" ht="12">
      <c r="A44" s="35" t="s">
        <v>83</v>
      </c>
      <c r="B44" s="88" t="s">
        <v>84</v>
      </c>
    </row>
    <row r="45" spans="1:22" s="19" customFormat="1" ht="12">
      <c r="A45" s="35" t="s">
        <v>83</v>
      </c>
      <c r="B45" s="88" t="s">
        <v>85</v>
      </c>
    </row>
    <row r="46" spans="1:22" s="19" customFormat="1" ht="12">
      <c r="A46" s="22"/>
      <c r="B46" s="91" t="s">
        <v>86</v>
      </c>
    </row>
    <row r="47" spans="1:22" s="19" customFormat="1" ht="12">
      <c r="A47" s="22"/>
      <c r="B47" s="89" t="s">
        <v>87</v>
      </c>
      <c r="C47" s="37"/>
      <c r="D47" s="37"/>
      <c r="E47" s="37"/>
      <c r="F47" s="37"/>
      <c r="G47" s="37"/>
      <c r="H47" s="37"/>
      <c r="I47" s="37"/>
      <c r="J47" s="37"/>
      <c r="K47" s="37"/>
      <c r="L47" s="37"/>
      <c r="M47" s="37"/>
      <c r="N47" s="37"/>
      <c r="O47" s="37"/>
      <c r="P47" s="37"/>
      <c r="Q47" s="37"/>
      <c r="R47" s="37"/>
      <c r="S47" s="37"/>
      <c r="T47" s="37"/>
    </row>
    <row r="48" spans="1:22" s="19" customFormat="1" ht="12">
      <c r="A48" s="22"/>
      <c r="B48" s="90" t="s">
        <v>88</v>
      </c>
      <c r="C48" s="38"/>
      <c r="D48" s="38"/>
      <c r="E48" s="38"/>
      <c r="F48" s="38"/>
      <c r="G48" s="38"/>
      <c r="H48" s="38"/>
      <c r="I48" s="38"/>
      <c r="J48" s="38"/>
      <c r="K48" s="38"/>
      <c r="L48" s="38"/>
      <c r="M48" s="38"/>
      <c r="N48" s="38"/>
      <c r="O48" s="38"/>
      <c r="P48" s="38"/>
      <c r="Q48" s="38"/>
      <c r="R48" s="38"/>
      <c r="S48" s="38"/>
      <c r="T48" s="38"/>
    </row>
    <row r="49" spans="1:20" s="19" customFormat="1" ht="12">
      <c r="A49" s="22"/>
      <c r="B49" s="90" t="s">
        <v>89</v>
      </c>
      <c r="C49" s="38"/>
      <c r="D49" s="38"/>
      <c r="E49" s="38"/>
      <c r="F49" s="38"/>
      <c r="G49" s="38"/>
      <c r="H49" s="38"/>
      <c r="I49" s="38"/>
      <c r="J49" s="38"/>
      <c r="K49" s="38"/>
      <c r="L49" s="38"/>
      <c r="M49" s="38"/>
      <c r="N49" s="38"/>
      <c r="O49" s="38"/>
      <c r="P49" s="38"/>
      <c r="Q49" s="38"/>
      <c r="R49" s="38"/>
      <c r="S49" s="38"/>
      <c r="T49" s="38"/>
    </row>
    <row r="50" spans="1:20" s="19" customFormat="1" ht="7.5" customHeight="1">
      <c r="A50" s="22"/>
    </row>
    <row r="51" spans="1:20" s="19" customFormat="1" ht="12" customHeight="1">
      <c r="A51" s="35" t="s">
        <v>83</v>
      </c>
      <c r="B51" s="36" t="s">
        <v>90</v>
      </c>
      <c r="I51" s="235" t="s">
        <v>146</v>
      </c>
      <c r="J51" s="229"/>
      <c r="K51" s="229"/>
      <c r="L51" s="229"/>
      <c r="M51" s="229"/>
      <c r="N51" s="229"/>
      <c r="O51" s="229"/>
      <c r="P51" s="229"/>
      <c r="Q51" s="229"/>
      <c r="R51" s="229"/>
      <c r="S51" s="229"/>
      <c r="T51" s="229"/>
    </row>
    <row r="52" spans="1:20" s="19" customFormat="1" ht="12" customHeight="1">
      <c r="A52" s="22"/>
      <c r="J52" s="181" t="s">
        <v>91</v>
      </c>
      <c r="K52" s="181"/>
      <c r="L52" s="181"/>
      <c r="M52" s="181"/>
      <c r="N52" s="181"/>
      <c r="O52" s="181"/>
      <c r="P52" s="181"/>
      <c r="Q52" s="181"/>
      <c r="R52" s="181"/>
      <c r="S52" s="181"/>
      <c r="T52" s="181"/>
    </row>
    <row r="53" spans="1:20" s="19" customFormat="1" ht="12">
      <c r="A53" s="35" t="s">
        <v>83</v>
      </c>
      <c r="B53" s="19" t="s">
        <v>92</v>
      </c>
    </row>
    <row r="54" spans="1:20" s="19" customFormat="1" ht="12">
      <c r="B54" s="229"/>
      <c r="C54" s="229"/>
      <c r="D54" s="229"/>
      <c r="E54" s="229"/>
      <c r="F54" s="229"/>
      <c r="G54" s="229"/>
      <c r="H54" s="229"/>
      <c r="I54" s="229"/>
      <c r="K54" s="233" t="s">
        <v>46</v>
      </c>
      <c r="L54" s="233"/>
      <c r="M54" s="233"/>
      <c r="N54" s="229" t="s">
        <v>93</v>
      </c>
      <c r="O54" s="229"/>
      <c r="P54" s="229"/>
      <c r="Q54" s="229"/>
      <c r="R54" s="229"/>
      <c r="S54" s="229"/>
      <c r="T54" s="229"/>
    </row>
    <row r="55" spans="1:20" s="19" customFormat="1" ht="12">
      <c r="B55" s="229"/>
      <c r="C55" s="229"/>
      <c r="D55" s="229"/>
      <c r="E55" s="229"/>
      <c r="F55" s="229"/>
      <c r="G55" s="229"/>
      <c r="H55" s="229"/>
      <c r="I55" s="229"/>
      <c r="N55" s="204"/>
      <c r="O55" s="204"/>
      <c r="P55" s="204"/>
      <c r="Q55" s="204"/>
      <c r="R55" s="204"/>
      <c r="S55" s="204"/>
      <c r="T55" s="204"/>
    </row>
    <row r="56" spans="1:20" s="19" customFormat="1" ht="12">
      <c r="B56" s="18"/>
      <c r="C56" s="18"/>
      <c r="D56" s="18"/>
      <c r="E56" s="18"/>
      <c r="F56" s="18"/>
      <c r="G56" s="18"/>
      <c r="H56" s="18"/>
      <c r="I56" s="18"/>
      <c r="N56" s="18"/>
      <c r="O56" s="18"/>
      <c r="P56" s="18"/>
      <c r="Q56" s="18"/>
      <c r="R56" s="18"/>
      <c r="S56" s="18"/>
      <c r="T56" s="18"/>
    </row>
    <row r="57" spans="1:20" s="19" customFormat="1" ht="12">
      <c r="K57" s="233" t="s">
        <v>94</v>
      </c>
      <c r="L57" s="233"/>
      <c r="M57" s="233"/>
      <c r="N57" s="234">
        <v>46236</v>
      </c>
      <c r="O57" s="234"/>
      <c r="P57" s="234"/>
      <c r="Q57" s="234"/>
      <c r="R57" s="234"/>
      <c r="S57" s="234"/>
      <c r="T57" s="234"/>
    </row>
    <row r="58" spans="1:20" s="19" customFormat="1" ht="12"/>
    <row r="59" spans="1:20" s="19" customFormat="1" ht="12"/>
    <row r="60" spans="1:20">
      <c r="M60" s="19"/>
      <c r="N60" s="19"/>
    </row>
    <row r="61" spans="1:20">
      <c r="M61" s="19"/>
      <c r="N61" s="19"/>
    </row>
    <row r="62" spans="1:20">
      <c r="M62" s="19"/>
      <c r="N62" s="19"/>
    </row>
    <row r="63" spans="1:20">
      <c r="M63" s="19"/>
      <c r="N63" s="19"/>
    </row>
    <row r="64" spans="1:20">
      <c r="M64" s="19"/>
      <c r="N64" s="19"/>
    </row>
    <row r="65" spans="13:14">
      <c r="M65" s="19"/>
      <c r="N65" s="19"/>
    </row>
    <row r="66" spans="13:14">
      <c r="M66" s="19"/>
      <c r="N66" s="19"/>
    </row>
    <row r="67" spans="13:14">
      <c r="M67" s="19"/>
      <c r="N67" s="19"/>
    </row>
    <row r="68" spans="13:14">
      <c r="M68" s="19"/>
      <c r="N68" s="19"/>
    </row>
    <row r="69" spans="13:14">
      <c r="M69" s="19"/>
      <c r="N69" s="19"/>
    </row>
  </sheetData>
  <mergeCells count="72">
    <mergeCell ref="K57:M57"/>
    <mergeCell ref="N57:T57"/>
    <mergeCell ref="I51:T51"/>
    <mergeCell ref="J52:T52"/>
    <mergeCell ref="B54:I54"/>
    <mergeCell ref="K54:M54"/>
    <mergeCell ref="N54:T54"/>
    <mergeCell ref="B55:I55"/>
    <mergeCell ref="N55:T55"/>
    <mergeCell ref="B36:K36"/>
    <mergeCell ref="L36:N37"/>
    <mergeCell ref="O36:T37"/>
    <mergeCell ref="B37:K37"/>
    <mergeCell ref="B38:K38"/>
    <mergeCell ref="L38:N39"/>
    <mergeCell ref="O38:T39"/>
    <mergeCell ref="B39:K39"/>
    <mergeCell ref="B33:F33"/>
    <mergeCell ref="G33:K33"/>
    <mergeCell ref="L33:N35"/>
    <mergeCell ref="O33:T35"/>
    <mergeCell ref="B34:F34"/>
    <mergeCell ref="G34:K34"/>
    <mergeCell ref="B35:F35"/>
    <mergeCell ref="G35:K35"/>
    <mergeCell ref="B29:K29"/>
    <mergeCell ref="L29:N30"/>
    <mergeCell ref="O29:T30"/>
    <mergeCell ref="B30:K30"/>
    <mergeCell ref="B31:K31"/>
    <mergeCell ref="L31:N32"/>
    <mergeCell ref="O31:T32"/>
    <mergeCell ref="B32:K32"/>
    <mergeCell ref="B26:F26"/>
    <mergeCell ref="G26:K26"/>
    <mergeCell ref="L26:N28"/>
    <mergeCell ref="O26:T28"/>
    <mergeCell ref="B27:F27"/>
    <mergeCell ref="G27:K27"/>
    <mergeCell ref="B28:F28"/>
    <mergeCell ref="G28:K28"/>
    <mergeCell ref="A21:C21"/>
    <mergeCell ref="D21:J21"/>
    <mergeCell ref="K21:M21"/>
    <mergeCell ref="N21:T21"/>
    <mergeCell ref="B25:J25"/>
    <mergeCell ref="L25:N25"/>
    <mergeCell ref="O25:T25"/>
    <mergeCell ref="A16:B16"/>
    <mergeCell ref="C16:J20"/>
    <mergeCell ref="K16:L16"/>
    <mergeCell ref="M16:T20"/>
    <mergeCell ref="A17:B17"/>
    <mergeCell ref="K17:L17"/>
    <mergeCell ref="A12:E12"/>
    <mergeCell ref="A6:B6"/>
    <mergeCell ref="C6:T6"/>
    <mergeCell ref="A8:E8"/>
    <mergeCell ref="F8:J8"/>
    <mergeCell ref="K8:O8"/>
    <mergeCell ref="P8:T8"/>
    <mergeCell ref="A9:E9"/>
    <mergeCell ref="A11:E11"/>
    <mergeCell ref="F11:J11"/>
    <mergeCell ref="K11:O11"/>
    <mergeCell ref="P11:T11"/>
    <mergeCell ref="A1:T1"/>
    <mergeCell ref="A2:T2"/>
    <mergeCell ref="A3:T3"/>
    <mergeCell ref="A4:J4"/>
    <mergeCell ref="A5:B5"/>
    <mergeCell ref="C5:T5"/>
  </mergeCells>
  <phoneticPr fontId="35" type="noConversion"/>
  <printOptions horizontalCentered="1" verticalCentered="1"/>
  <pageMargins left="0.39370078740157483" right="0.39370078740157483" top="0.74803149606299213" bottom="0.74803149606299213" header="0.31496062992125984" footer="0.31496062992125984"/>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2049" r:id="rId4" name="Check Box 1">
              <controlPr defaultSize="0" autoFill="0" autoLine="0" autoPict="0">
                <anchor moveWithCells="1">
                  <from>
                    <xdr:col>0</xdr:col>
                    <xdr:colOff>28575</xdr:colOff>
                    <xdr:row>25</xdr:row>
                    <xdr:rowOff>180975</xdr:rowOff>
                  </from>
                  <to>
                    <xdr:col>0</xdr:col>
                    <xdr:colOff>238125</xdr:colOff>
                    <xdr:row>27</xdr:row>
                    <xdr:rowOff>47625</xdr:rowOff>
                  </to>
                </anchor>
              </controlPr>
            </control>
          </mc:Choice>
        </mc:AlternateContent>
        <mc:AlternateContent xmlns:mc="http://schemas.openxmlformats.org/markup-compatibility/2006">
          <mc:Choice Requires="x14">
            <control shapeId="2050" r:id="rId5" name="Check Box 2">
              <controlPr defaultSize="0" autoFill="0" autoLine="0" autoPict="0">
                <anchor moveWithCells="1">
                  <from>
                    <xdr:col>0</xdr:col>
                    <xdr:colOff>28575</xdr:colOff>
                    <xdr:row>28</xdr:row>
                    <xdr:rowOff>85725</xdr:rowOff>
                  </from>
                  <to>
                    <xdr:col>0</xdr:col>
                    <xdr:colOff>238125</xdr:colOff>
                    <xdr:row>29</xdr:row>
                    <xdr:rowOff>104775</xdr:rowOff>
                  </to>
                </anchor>
              </controlPr>
            </control>
          </mc:Choice>
        </mc:AlternateContent>
        <mc:AlternateContent xmlns:mc="http://schemas.openxmlformats.org/markup-compatibility/2006">
          <mc:Choice Requires="x14">
            <control shapeId="2051" r:id="rId6" name="Check Box 3">
              <controlPr defaultSize="0" autoFill="0" autoLine="0" autoPict="0">
                <anchor moveWithCells="1">
                  <from>
                    <xdr:col>0</xdr:col>
                    <xdr:colOff>28575</xdr:colOff>
                    <xdr:row>30</xdr:row>
                    <xdr:rowOff>85725</xdr:rowOff>
                  </from>
                  <to>
                    <xdr:col>0</xdr:col>
                    <xdr:colOff>238125</xdr:colOff>
                    <xdr:row>31</xdr:row>
                    <xdr:rowOff>104775</xdr:rowOff>
                  </to>
                </anchor>
              </controlPr>
            </control>
          </mc:Choice>
        </mc:AlternateContent>
        <mc:AlternateContent xmlns:mc="http://schemas.openxmlformats.org/markup-compatibility/2006">
          <mc:Choice Requires="x14">
            <control shapeId="2052" r:id="rId7" name="Check Box 4">
              <controlPr defaultSize="0" autoFill="0" autoLine="0" autoPict="0">
                <anchor moveWithCells="1">
                  <from>
                    <xdr:col>0</xdr:col>
                    <xdr:colOff>28575</xdr:colOff>
                    <xdr:row>32</xdr:row>
                    <xdr:rowOff>161925</xdr:rowOff>
                  </from>
                  <to>
                    <xdr:col>0</xdr:col>
                    <xdr:colOff>238125</xdr:colOff>
                    <xdr:row>34</xdr:row>
                    <xdr:rowOff>28575</xdr:rowOff>
                  </to>
                </anchor>
              </controlPr>
            </control>
          </mc:Choice>
        </mc:AlternateContent>
        <mc:AlternateContent xmlns:mc="http://schemas.openxmlformats.org/markup-compatibility/2006">
          <mc:Choice Requires="x14">
            <control shapeId="2053" r:id="rId8" name="Check Box 5">
              <controlPr defaultSize="0" autoFill="0" autoLine="0" autoPict="0">
                <anchor moveWithCells="1">
                  <from>
                    <xdr:col>0</xdr:col>
                    <xdr:colOff>28575</xdr:colOff>
                    <xdr:row>35</xdr:row>
                    <xdr:rowOff>104775</xdr:rowOff>
                  </from>
                  <to>
                    <xdr:col>0</xdr:col>
                    <xdr:colOff>238125</xdr:colOff>
                    <xdr:row>36</xdr:row>
                    <xdr:rowOff>104775</xdr:rowOff>
                  </to>
                </anchor>
              </controlPr>
            </control>
          </mc:Choice>
        </mc:AlternateContent>
        <mc:AlternateContent xmlns:mc="http://schemas.openxmlformats.org/markup-compatibility/2006">
          <mc:Choice Requires="x14">
            <control shapeId="2054" r:id="rId9" name="Check Box 6">
              <controlPr defaultSize="0" autoFill="0" autoLine="0" autoPict="0">
                <anchor moveWithCells="1">
                  <from>
                    <xdr:col>0</xdr:col>
                    <xdr:colOff>28575</xdr:colOff>
                    <xdr:row>37</xdr:row>
                    <xdr:rowOff>85725</xdr:rowOff>
                  </from>
                  <to>
                    <xdr:col>0</xdr:col>
                    <xdr:colOff>257175</xdr:colOff>
                    <xdr:row>38</xdr:row>
                    <xdr:rowOff>104775</xdr:rowOff>
                  </to>
                </anchor>
              </controlPr>
            </control>
          </mc:Choice>
        </mc:AlternateContent>
        <mc:AlternateContent xmlns:mc="http://schemas.openxmlformats.org/markup-compatibility/2006">
          <mc:Choice Requires="x14">
            <control shapeId="2055" r:id="rId10" name="Check Box 7">
              <controlPr defaultSize="0" autoFill="0" autoLine="0" autoPict="0">
                <anchor moveWithCells="1">
                  <from>
                    <xdr:col>0</xdr:col>
                    <xdr:colOff>28575</xdr:colOff>
                    <xdr:row>39</xdr:row>
                    <xdr:rowOff>76200</xdr:rowOff>
                  </from>
                  <to>
                    <xdr:col>0</xdr:col>
                    <xdr:colOff>257175</xdr:colOff>
                    <xdr:row>41</xdr:row>
                    <xdr:rowOff>28575</xdr:rowOff>
                  </to>
                </anchor>
              </controlPr>
            </control>
          </mc:Choice>
        </mc:AlternateContent>
        <mc:AlternateContent xmlns:mc="http://schemas.openxmlformats.org/markup-compatibility/2006">
          <mc:Choice Requires="x14">
            <control shapeId="2056" r:id="rId11" name="Check Box 8">
              <controlPr defaultSize="0" autoFill="0" autoLine="0" autoPict="0">
                <anchor moveWithCells="1">
                  <from>
                    <xdr:col>0</xdr:col>
                    <xdr:colOff>28575</xdr:colOff>
                    <xdr:row>40</xdr:row>
                    <xdr:rowOff>142875</xdr:rowOff>
                  </from>
                  <to>
                    <xdr:col>0</xdr:col>
                    <xdr:colOff>257175</xdr:colOff>
                    <xdr:row>42</xdr:row>
                    <xdr:rowOff>28575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C08B5A-41A3-4A4D-85FE-C37BBD7233C9}">
  <sheetPr codeName="Sheet3"/>
  <dimension ref="A1:J45"/>
  <sheetViews>
    <sheetView topLeftCell="A24" zoomScale="115" zoomScaleNormal="115" workbookViewId="0">
      <selection activeCell="C7" sqref="C7"/>
    </sheetView>
  </sheetViews>
  <sheetFormatPr defaultColWidth="8.5" defaultRowHeight="15"/>
  <cols>
    <col min="1" max="10" width="7" style="39" customWidth="1"/>
    <col min="11" max="16384" width="8.5" style="39"/>
  </cols>
  <sheetData>
    <row r="1" spans="1:10" ht="24.95" customHeight="1">
      <c r="A1" s="236" t="str">
        <f>'ELI LETTER'!A1</f>
        <v>KIM LUNG SUPPLY CHAIN (GUANGZHOU) LIMITED.</v>
      </c>
      <c r="B1" s="236"/>
      <c r="C1" s="236"/>
      <c r="D1" s="236"/>
      <c r="E1" s="236"/>
      <c r="F1" s="236"/>
      <c r="G1" s="236"/>
      <c r="H1" s="236"/>
      <c r="I1" s="236"/>
      <c r="J1" s="236"/>
    </row>
    <row r="2" spans="1:10" hidden="1">
      <c r="A2" s="237" t="str">
        <f>CONCATENATE("* ",A1)</f>
        <v>* KIM LUNG SUPPLY CHAIN (GUANGZHOU) LIMITED.</v>
      </c>
      <c r="B2" s="237"/>
      <c r="C2" s="237"/>
      <c r="D2" s="237"/>
      <c r="E2" s="237"/>
      <c r="F2" s="237"/>
      <c r="G2" s="237"/>
      <c r="H2" s="237"/>
      <c r="I2" s="237"/>
      <c r="J2" s="237"/>
    </row>
    <row r="4" spans="1:10">
      <c r="A4" s="238" t="s">
        <v>94</v>
      </c>
      <c r="B4" s="238"/>
      <c r="C4" s="239">
        <f ca="1">TODAY()-1</f>
        <v>46247</v>
      </c>
      <c r="D4" s="239"/>
      <c r="E4" s="239"/>
      <c r="F4" s="239"/>
      <c r="G4" s="239"/>
      <c r="H4" s="239"/>
      <c r="I4" s="239"/>
      <c r="J4" s="239"/>
    </row>
    <row r="6" spans="1:10">
      <c r="A6" s="238" t="s">
        <v>95</v>
      </c>
      <c r="B6" s="238"/>
      <c r="C6" s="240" t="str">
        <f>'ELI LETTER'!F8</f>
        <v>157-87751101</v>
      </c>
      <c r="D6" s="240"/>
      <c r="E6" s="240"/>
      <c r="F6" s="240"/>
      <c r="G6" s="240"/>
      <c r="H6" s="240"/>
      <c r="I6" s="240"/>
      <c r="J6" s="240"/>
    </row>
    <row r="8" spans="1:10">
      <c r="A8" s="238" t="s">
        <v>96</v>
      </c>
      <c r="B8" s="238"/>
      <c r="C8" s="241" t="str">
        <f>A1</f>
        <v>KIM LUNG SUPPLY CHAIN (GUANGZHOU) LIMITED.</v>
      </c>
      <c r="D8" s="241"/>
      <c r="E8" s="241"/>
      <c r="F8" s="241"/>
      <c r="G8" s="241"/>
      <c r="H8" s="241"/>
      <c r="I8" s="241"/>
      <c r="J8" s="241"/>
    </row>
    <row r="10" spans="1:10">
      <c r="A10" s="238" t="s">
        <v>97</v>
      </c>
      <c r="B10" s="238"/>
      <c r="C10" s="242" t="s">
        <v>98</v>
      </c>
      <c r="D10" s="241"/>
      <c r="E10" s="241"/>
      <c r="F10" s="241"/>
      <c r="G10" s="241"/>
      <c r="H10" s="241"/>
      <c r="I10" s="241"/>
      <c r="J10" s="241"/>
    </row>
    <row r="12" spans="1:10">
      <c r="A12" s="238" t="s">
        <v>99</v>
      </c>
      <c r="B12" s="238"/>
      <c r="C12" s="241" t="s">
        <v>118</v>
      </c>
      <c r="D12" s="241"/>
      <c r="E12" s="241"/>
      <c r="F12" s="241"/>
      <c r="G12" s="241"/>
      <c r="H12" s="241"/>
      <c r="I12" s="241"/>
      <c r="J12" s="241"/>
    </row>
    <row r="16" spans="1:10" ht="15.75">
      <c r="A16" s="243" t="s">
        <v>100</v>
      </c>
      <c r="B16" s="243"/>
      <c r="C16" s="243"/>
      <c r="D16" s="243"/>
      <c r="E16" s="243"/>
      <c r="F16" s="243"/>
      <c r="G16" s="243"/>
      <c r="H16" s="243"/>
      <c r="I16" s="243"/>
      <c r="J16" s="243"/>
    </row>
    <row r="18" spans="1:10">
      <c r="A18" s="241" t="s">
        <v>101</v>
      </c>
      <c r="B18" s="241"/>
      <c r="C18" s="241"/>
      <c r="D18" s="241"/>
      <c r="E18" s="241"/>
      <c r="F18" s="241"/>
      <c r="G18" s="241"/>
      <c r="H18" s="241"/>
      <c r="I18" s="241"/>
      <c r="J18" s="241"/>
    </row>
    <row r="19" spans="1:10">
      <c r="A19" s="241" t="s">
        <v>102</v>
      </c>
      <c r="B19" s="241"/>
      <c r="C19" s="241"/>
      <c r="D19" s="241"/>
      <c r="E19" s="241"/>
      <c r="F19" s="241"/>
      <c r="G19" s="241"/>
      <c r="H19" s="241"/>
      <c r="I19" s="241"/>
      <c r="J19" s="241"/>
    </row>
    <row r="20" spans="1:10">
      <c r="A20" s="241" t="s">
        <v>103</v>
      </c>
      <c r="B20" s="241"/>
      <c r="C20" s="241"/>
      <c r="D20" s="241"/>
      <c r="E20" s="241"/>
      <c r="F20" s="241"/>
      <c r="G20" s="241"/>
      <c r="H20" s="241"/>
      <c r="I20" s="241"/>
      <c r="J20" s="241"/>
    </row>
    <row r="21" spans="1:10">
      <c r="A21" s="241" t="s">
        <v>104</v>
      </c>
      <c r="B21" s="241"/>
      <c r="C21" s="241"/>
      <c r="D21" s="241"/>
      <c r="E21" s="241"/>
      <c r="F21" s="241"/>
      <c r="G21" s="241"/>
      <c r="H21" s="241"/>
      <c r="I21" s="241"/>
      <c r="J21" s="241"/>
    </row>
    <row r="22" spans="1:10">
      <c r="A22" s="241" t="s">
        <v>105</v>
      </c>
      <c r="B22" s="241"/>
      <c r="C22" s="241"/>
      <c r="D22" s="241"/>
      <c r="E22" s="241"/>
      <c r="F22" s="241"/>
      <c r="G22" s="241"/>
      <c r="H22" s="241"/>
      <c r="I22" s="241"/>
      <c r="J22" s="241"/>
    </row>
    <row r="23" spans="1:10">
      <c r="A23" s="241" t="s">
        <v>106</v>
      </c>
      <c r="B23" s="241"/>
      <c r="C23" s="241"/>
      <c r="D23" s="241"/>
      <c r="E23" s="241"/>
      <c r="F23" s="241"/>
      <c r="G23" s="241"/>
      <c r="H23" s="241"/>
      <c r="I23" s="241"/>
      <c r="J23" s="241"/>
    </row>
    <row r="24" spans="1:10">
      <c r="A24" s="241" t="s">
        <v>107</v>
      </c>
      <c r="B24" s="241"/>
      <c r="C24" s="241"/>
      <c r="D24" s="241"/>
      <c r="E24" s="241"/>
      <c r="F24" s="241"/>
      <c r="G24" s="241"/>
      <c r="H24" s="241"/>
      <c r="I24" s="241"/>
      <c r="J24" s="241"/>
    </row>
    <row r="25" spans="1:10">
      <c r="A25" s="241"/>
      <c r="B25" s="241"/>
      <c r="C25" s="241"/>
      <c r="D25" s="241"/>
      <c r="E25" s="241"/>
      <c r="F25" s="241"/>
      <c r="G25" s="241"/>
      <c r="H25" s="241"/>
      <c r="I25" s="241"/>
      <c r="J25" s="241"/>
    </row>
    <row r="26" spans="1:10">
      <c r="A26" s="241" t="s">
        <v>108</v>
      </c>
      <c r="B26" s="241"/>
      <c r="C26" s="241"/>
      <c r="D26" s="241"/>
      <c r="E26" s="241"/>
      <c r="F26" s="241"/>
      <c r="G26" s="241"/>
      <c r="H26" s="241"/>
      <c r="I26" s="241"/>
      <c r="J26" s="241"/>
    </row>
    <row r="27" spans="1:10">
      <c r="A27" s="241"/>
      <c r="B27" s="241"/>
      <c r="C27" s="241"/>
      <c r="D27" s="241"/>
      <c r="E27" s="241"/>
      <c r="F27" s="241"/>
      <c r="G27" s="241"/>
      <c r="H27" s="241"/>
      <c r="I27" s="241"/>
      <c r="J27" s="241"/>
    </row>
    <row r="28" spans="1:10">
      <c r="A28" s="241" t="s">
        <v>109</v>
      </c>
      <c r="B28" s="241"/>
      <c r="C28" s="241"/>
      <c r="D28" s="241"/>
      <c r="E28" s="241"/>
      <c r="F28" s="241"/>
      <c r="G28" s="241"/>
      <c r="H28" s="241"/>
      <c r="I28" s="241"/>
      <c r="J28" s="241"/>
    </row>
    <row r="29" spans="1:10">
      <c r="A29" s="241" t="s">
        <v>110</v>
      </c>
      <c r="B29" s="241"/>
      <c r="C29" s="241"/>
      <c r="D29" s="241"/>
      <c r="E29" s="241"/>
      <c r="F29" s="241"/>
      <c r="G29" s="241"/>
      <c r="H29" s="241"/>
      <c r="I29" s="241"/>
      <c r="J29" s="241"/>
    </row>
    <row r="30" spans="1:10">
      <c r="A30" s="241" t="s">
        <v>111</v>
      </c>
      <c r="B30" s="241"/>
      <c r="C30" s="241"/>
      <c r="D30" s="241"/>
      <c r="E30" s="241"/>
      <c r="F30" s="241"/>
      <c r="G30" s="241"/>
      <c r="H30" s="241"/>
      <c r="I30" s="241"/>
      <c r="J30" s="241"/>
    </row>
    <row r="31" spans="1:10">
      <c r="A31" s="241"/>
      <c r="B31" s="241"/>
      <c r="C31" s="241"/>
      <c r="D31" s="241"/>
      <c r="E31" s="241"/>
      <c r="F31" s="241"/>
      <c r="G31" s="241"/>
      <c r="H31" s="241"/>
      <c r="I31" s="241"/>
      <c r="J31" s="241"/>
    </row>
    <row r="32" spans="1:10">
      <c r="A32" s="241"/>
      <c r="B32" s="241"/>
      <c r="C32" s="241"/>
      <c r="D32" s="241"/>
      <c r="E32" s="241"/>
      <c r="F32" s="241"/>
      <c r="G32" s="241"/>
      <c r="H32" s="241"/>
      <c r="I32" s="241"/>
      <c r="J32" s="241"/>
    </row>
    <row r="33" spans="1:10">
      <c r="A33" s="241" t="s">
        <v>112</v>
      </c>
      <c r="B33" s="241"/>
      <c r="C33" s="241"/>
      <c r="D33" s="241"/>
      <c r="E33" s="241"/>
      <c r="F33" s="241"/>
      <c r="G33" s="241"/>
      <c r="H33" s="241"/>
      <c r="I33" s="241"/>
      <c r="J33" s="241"/>
    </row>
    <row r="34" spans="1:10">
      <c r="A34" s="241"/>
      <c r="B34" s="241"/>
      <c r="C34" s="241"/>
      <c r="D34" s="241"/>
      <c r="E34" s="241"/>
      <c r="F34" s="241"/>
      <c r="G34" s="241"/>
      <c r="H34" s="241"/>
      <c r="I34" s="241"/>
      <c r="J34" s="241"/>
    </row>
    <row r="35" spans="1:10">
      <c r="A35" s="241" t="s">
        <v>113</v>
      </c>
      <c r="B35" s="241"/>
      <c r="C35" s="241"/>
      <c r="D35" s="241"/>
      <c r="E35" s="241"/>
      <c r="F35" s="241"/>
      <c r="G35" s="241"/>
      <c r="H35" s="241"/>
      <c r="I35" s="241"/>
      <c r="J35" s="241"/>
    </row>
    <row r="36" spans="1:10">
      <c r="A36" s="241"/>
      <c r="B36" s="241"/>
      <c r="C36" s="241"/>
      <c r="D36" s="241"/>
      <c r="E36" s="241"/>
      <c r="F36" s="241"/>
      <c r="G36" s="241"/>
      <c r="H36" s="241"/>
      <c r="I36" s="241"/>
      <c r="J36" s="241"/>
    </row>
    <row r="37" spans="1:10">
      <c r="A37" s="241"/>
      <c r="B37" s="241"/>
      <c r="C37" s="241"/>
      <c r="D37" s="241"/>
      <c r="E37" s="241"/>
      <c r="F37" s="241"/>
      <c r="G37" s="241"/>
      <c r="H37" s="241"/>
      <c r="I37" s="241"/>
      <c r="J37" s="241"/>
    </row>
    <row r="38" spans="1:10">
      <c r="A38" s="241"/>
      <c r="B38" s="241"/>
      <c r="C38" s="241"/>
      <c r="D38" s="241"/>
      <c r="E38" s="241"/>
      <c r="F38" s="241"/>
      <c r="G38" s="241"/>
      <c r="H38" s="241"/>
      <c r="I38" s="241"/>
      <c r="J38" s="241"/>
    </row>
    <row r="39" spans="1:10">
      <c r="A39" s="241"/>
      <c r="B39" s="241"/>
      <c r="C39" s="241"/>
      <c r="D39" s="241"/>
      <c r="E39" s="241"/>
      <c r="F39" s="241"/>
      <c r="G39" s="241"/>
      <c r="H39" s="241"/>
      <c r="I39" s="241"/>
      <c r="J39" s="241"/>
    </row>
    <row r="40" spans="1:10">
      <c r="A40" s="241"/>
      <c r="B40" s="241"/>
      <c r="C40" s="241"/>
      <c r="D40" s="241"/>
      <c r="E40" s="241"/>
      <c r="F40" s="241"/>
      <c r="G40" s="241"/>
      <c r="H40" s="241"/>
      <c r="I40" s="241"/>
      <c r="J40" s="241"/>
    </row>
    <row r="41" spans="1:10">
      <c r="A41" s="241" t="s">
        <v>114</v>
      </c>
      <c r="B41" s="241"/>
      <c r="C41" s="241"/>
      <c r="D41" s="241"/>
      <c r="E41" s="241"/>
      <c r="F41" s="241"/>
      <c r="G41" s="241"/>
      <c r="H41" s="241"/>
      <c r="I41" s="241"/>
      <c r="J41" s="241"/>
    </row>
    <row r="42" spans="1:10">
      <c r="A42" s="241"/>
      <c r="B42" s="241"/>
      <c r="C42" s="241"/>
      <c r="D42" s="241"/>
      <c r="E42" s="241"/>
      <c r="F42" s="241"/>
      <c r="G42" s="241"/>
      <c r="H42" s="241"/>
      <c r="I42" s="241"/>
      <c r="J42" s="241"/>
    </row>
    <row r="43" spans="1:10">
      <c r="A43" s="241"/>
      <c r="B43" s="241"/>
      <c r="C43" s="241"/>
      <c r="D43" s="241"/>
      <c r="E43" s="241"/>
      <c r="F43" s="241"/>
      <c r="G43" s="241"/>
      <c r="H43" s="241"/>
      <c r="I43" s="241"/>
      <c r="J43" s="241"/>
    </row>
    <row r="44" spans="1:10">
      <c r="A44" s="241"/>
      <c r="B44" s="241"/>
      <c r="C44" s="241"/>
      <c r="D44" s="241"/>
      <c r="E44" s="241"/>
      <c r="F44" s="241"/>
      <c r="G44" s="241"/>
      <c r="H44" s="241"/>
      <c r="I44" s="241"/>
      <c r="J44" s="241"/>
    </row>
    <row r="45" spans="1:10">
      <c r="A45" s="241"/>
      <c r="B45" s="241"/>
      <c r="C45" s="241"/>
      <c r="D45" s="241"/>
      <c r="E45" s="241"/>
      <c r="F45" s="241"/>
      <c r="G45" s="241"/>
      <c r="H45" s="241"/>
      <c r="I45" s="241"/>
      <c r="J45" s="241"/>
    </row>
  </sheetData>
  <mergeCells count="41">
    <mergeCell ref="A41:J41"/>
    <mergeCell ref="A42:J42"/>
    <mergeCell ref="A43:J43"/>
    <mergeCell ref="A44:J44"/>
    <mergeCell ref="A45:J45"/>
    <mergeCell ref="A40:J40"/>
    <mergeCell ref="A29:J29"/>
    <mergeCell ref="A30:J30"/>
    <mergeCell ref="A31:J31"/>
    <mergeCell ref="A32:J32"/>
    <mergeCell ref="A33:J33"/>
    <mergeCell ref="A34:J34"/>
    <mergeCell ref="A35:J35"/>
    <mergeCell ref="A36:J36"/>
    <mergeCell ref="A37:J37"/>
    <mergeCell ref="A38:J38"/>
    <mergeCell ref="A39:J39"/>
    <mergeCell ref="A28:J28"/>
    <mergeCell ref="A16:J16"/>
    <mergeCell ref="A18:J18"/>
    <mergeCell ref="A19:J19"/>
    <mergeCell ref="A20:J20"/>
    <mergeCell ref="A21:J21"/>
    <mergeCell ref="A22:J22"/>
    <mergeCell ref="A23:J23"/>
    <mergeCell ref="A24:J24"/>
    <mergeCell ref="A25:J25"/>
    <mergeCell ref="A26:J26"/>
    <mergeCell ref="A27:J27"/>
    <mergeCell ref="A8:B8"/>
    <mergeCell ref="C8:J8"/>
    <mergeCell ref="A10:B10"/>
    <mergeCell ref="C10:J10"/>
    <mergeCell ref="A12:B12"/>
    <mergeCell ref="C12:J12"/>
    <mergeCell ref="A1:J1"/>
    <mergeCell ref="A2:J2"/>
    <mergeCell ref="A4:B4"/>
    <mergeCell ref="C4:J4"/>
    <mergeCell ref="A6:B6"/>
    <mergeCell ref="C6:J6"/>
  </mergeCells>
  <phoneticPr fontId="35" type="noConversion"/>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CF2144-3123-4753-99B9-36FB656BD074}">
  <sheetPr codeName="Sheet4">
    <outlinePr summaryBelow="0" summaryRight="0"/>
  </sheetPr>
  <dimension ref="G7:G9"/>
  <sheetViews>
    <sheetView workbookViewId="0"/>
  </sheetViews>
  <sheetFormatPr defaultColWidth="8.875" defaultRowHeight="15.75" customHeight="1"/>
  <sheetData>
    <row r="7" spans="7:7" ht="15.75" customHeight="1">
      <c r="G7" s="15" t="s">
        <v>29</v>
      </c>
    </row>
    <row r="8" spans="7:7" ht="15.75" customHeight="1">
      <c r="G8" s="15" t="s">
        <v>30</v>
      </c>
    </row>
    <row r="9" spans="7:7" ht="15.75" customHeight="1">
      <c r="G9" s="15" t="s">
        <v>31</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4</vt:i4>
      </vt:variant>
      <vt:variant>
        <vt:lpstr>Named Ranges</vt:lpstr>
      </vt:variant>
      <vt:variant>
        <vt:i4>3</vt:i4>
      </vt:variant>
    </vt:vector>
  </HeadingPairs>
  <TitlesOfParts>
    <vt:vector size="7" baseType="lpstr">
      <vt:lpstr>air</vt:lpstr>
      <vt:lpstr>ELI LETTER</vt:lpstr>
      <vt:lpstr>LIQ LETTER</vt:lpstr>
      <vt:lpstr>Sheet1</vt:lpstr>
      <vt:lpstr>air!Print_Area</vt:lpstr>
      <vt:lpstr>'ELI LETTER'!Print_Area</vt:lpstr>
      <vt:lpstr>'LIQ LETTER'!Print_Area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Beta LAU</cp:lastModifiedBy>
  <cp:lastPrinted>2026-08-14T10:33:02Z</cp:lastPrinted>
  <dcterms:created xsi:type="dcterms:W3CDTF">2006-09-16T00:00:00Z</dcterms:created>
  <dcterms:modified xsi:type="dcterms:W3CDTF">2026-08-14T10:33:03Z</dcterms:modified>
</cp:coreProperties>
</file>